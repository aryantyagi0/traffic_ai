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traffic_ai\"/>
    </mc:Choice>
  </mc:AlternateContent>
  <bookViews>
    <workbookView xWindow="0" yWindow="760" windowWidth="30240" windowHeight="17900" tabRatio="703"/>
  </bookViews>
  <sheets>
    <sheet name="Traffic-Status" sheetId="1" r:id="rId1"/>
    <sheet name="Keywords" sheetId="2" r:id="rId2"/>
    <sheet name="Old Targeted Generic Keywords" sheetId="3" state="hidden" r:id="rId3"/>
    <sheet name="Keywords Removed From List" sheetId="4" state="hidden" r:id="rId4"/>
  </sheets>
  <calcPr calcId="162913"/>
</workbook>
</file>

<file path=xl/calcChain.xml><?xml version="1.0" encoding="utf-8"?>
<calcChain xmlns="http://schemas.openxmlformats.org/spreadsheetml/2006/main">
  <c r="IS77" i="4" l="1"/>
  <c r="IS76" i="4"/>
  <c r="IS75" i="4"/>
  <c r="IS74" i="4"/>
  <c r="IS73" i="4"/>
  <c r="IS72" i="4"/>
  <c r="IS71" i="4"/>
  <c r="IS70" i="4"/>
  <c r="IS69" i="4"/>
  <c r="IS68" i="4"/>
  <c r="IS67" i="4"/>
  <c r="IS66" i="4"/>
  <c r="IS65" i="4"/>
  <c r="IS64" i="4"/>
  <c r="IS63" i="4"/>
  <c r="IS62" i="4"/>
  <c r="IS61" i="4"/>
  <c r="IS60" i="4"/>
  <c r="IS59" i="4"/>
  <c r="IS58" i="4"/>
  <c r="IS57" i="4"/>
  <c r="IS56" i="4"/>
  <c r="IS55" i="4"/>
  <c r="IS54" i="4"/>
  <c r="IS53" i="4"/>
  <c r="IS52" i="4"/>
  <c r="IS51" i="4"/>
  <c r="IS50" i="4"/>
  <c r="IS49" i="4"/>
  <c r="IS48" i="4"/>
  <c r="IS47" i="4"/>
  <c r="IS46" i="4"/>
  <c r="IS45" i="4"/>
  <c r="IS44" i="4"/>
  <c r="IS43" i="4"/>
  <c r="IS42" i="4"/>
  <c r="IS41" i="4"/>
  <c r="IS40" i="4"/>
  <c r="IS39" i="4"/>
  <c r="IS38" i="4"/>
  <c r="IS37" i="4"/>
  <c r="IS36" i="4"/>
  <c r="IS35" i="4"/>
  <c r="IS34" i="4"/>
  <c r="IS33" i="4"/>
  <c r="IS32" i="4"/>
  <c r="IS31" i="4"/>
  <c r="IS30" i="4"/>
  <c r="IS29" i="4"/>
  <c r="IS28" i="4"/>
  <c r="IS27" i="4"/>
  <c r="IS26" i="4"/>
  <c r="IS25" i="4"/>
  <c r="IS24" i="4"/>
  <c r="IS23" i="4"/>
  <c r="IS22" i="4"/>
  <c r="IS21" i="4"/>
  <c r="IS20" i="4"/>
  <c r="IS19" i="4"/>
  <c r="IS18" i="4"/>
  <c r="IS17" i="4"/>
  <c r="IS16" i="4"/>
  <c r="IS15" i="4"/>
  <c r="IS14" i="4"/>
  <c r="IS13" i="4"/>
  <c r="IS12" i="4"/>
  <c r="IS11" i="4"/>
  <c r="IS10" i="4"/>
  <c r="IS9" i="4"/>
  <c r="IS8" i="4"/>
  <c r="IS7" i="4"/>
  <c r="IS6" i="4"/>
  <c r="IS5" i="4"/>
  <c r="IS4" i="4"/>
  <c r="C57" i="3"/>
  <c r="C58" i="3" s="1"/>
  <c r="C59" i="3" s="1"/>
  <c r="C60" i="3" s="1"/>
  <c r="C61" i="3" s="1"/>
  <c r="C56" i="3"/>
  <c r="C62" i="3" s="1"/>
  <c r="IX52" i="3"/>
  <c r="IX51" i="3"/>
  <c r="IX50" i="3"/>
  <c r="IX49" i="3"/>
  <c r="IX48" i="3"/>
  <c r="IX47" i="3"/>
  <c r="IX46" i="3"/>
  <c r="IX45" i="3"/>
  <c r="IX44" i="3"/>
  <c r="IX43" i="3"/>
  <c r="IX42" i="3"/>
  <c r="IX41" i="3"/>
  <c r="IX40" i="3"/>
  <c r="IX39" i="3"/>
  <c r="IX38" i="3"/>
  <c r="IX37" i="3"/>
  <c r="IX36" i="3"/>
  <c r="IX35" i="3"/>
  <c r="IX34" i="3"/>
  <c r="IX33" i="3"/>
  <c r="IX32" i="3"/>
  <c r="IX31" i="3"/>
  <c r="IX30" i="3"/>
  <c r="IX29" i="3"/>
  <c r="IX28" i="3"/>
  <c r="IX27" i="3"/>
  <c r="IX26" i="3"/>
  <c r="IX25" i="3"/>
  <c r="IX24" i="3"/>
  <c r="IX23" i="3"/>
  <c r="IX22" i="3"/>
  <c r="IX21" i="3"/>
  <c r="IX20" i="3"/>
  <c r="IX19" i="3"/>
  <c r="IX18" i="3"/>
  <c r="IX17" i="3"/>
  <c r="IX16" i="3"/>
  <c r="IX15" i="3"/>
  <c r="IX14" i="3"/>
  <c r="IX13" i="3"/>
  <c r="IX12" i="3"/>
  <c r="IX11" i="3"/>
  <c r="IX10" i="3"/>
  <c r="IX9" i="3"/>
  <c r="IX8" i="3"/>
</calcChain>
</file>

<file path=xl/sharedStrings.xml><?xml version="1.0" encoding="utf-8"?>
<sst xmlns="http://schemas.openxmlformats.org/spreadsheetml/2006/main" count="7528" uniqueCount="222">
  <si>
    <t>Monthly Traffic Status and Comparison Report - https://www.aumcore.com/</t>
  </si>
  <si>
    <t>Total Visits (Sessions)</t>
  </si>
  <si>
    <t>Month</t>
  </si>
  <si>
    <t>Sessions (GA4) Year-2023</t>
  </si>
  <si>
    <t>Sessions (GA4) Year-2024</t>
  </si>
  <si>
    <t>Sessions (GA4) Year-2025</t>
  </si>
  <si>
    <t>YOY % (2024-2025)</t>
  </si>
  <si>
    <t>LM% (2025)</t>
  </si>
  <si>
    <t>In August, overall website traffic experienced a decrease of 30.1% compared to the same month last year. This decline is significantly more pronounced than the adjacent-month change of -8.32%. The year-to-date change up to August stands at -18.29%. The distribution of adjacent-month changes reveals 1 positive change and 6 negative changes, with an average absolute adjacent-month change magnitude of 4.49%. 
- Year-over-year change for August: -30.1%
- Year-to-date change up to August: -18.29%
It is essential to monitor future measured changes closely. This interpretation reflects a comparison between measured data points rather than a sustained trend.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</si>
  <si>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</si>
  <si>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</si>
  <si>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</si>
  <si>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</si>
  <si>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</si>
  <si>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</si>
  <si>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</si>
  <si>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</si>
  <si>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</si>
  <si>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</si>
  <si>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</si>
  <si>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</si>
  <si>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</si>
  <si>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% Change</t>
  </si>
  <si>
    <t>Total Visits
 (Engaged Sessions)</t>
  </si>
  <si>
    <t>Year-2023</t>
  </si>
  <si>
    <t>Year-2024</t>
  </si>
  <si>
    <t>Year-2025</t>
  </si>
  <si>
    <t>In August, social media traffic experienced a decrease of 17.26%. This adjacent-month change is less favorable than the same-month year-over-year change of 34.11%. The year-to-date change up to August compared to the same period last year stands at -17.42%. The distribution of adjacent-month changes includes 1 positive change and 6 negative changes, with an average absolute adjacent-month change magnitude of 6.02%. 
- Year-over-year change for August: -34.11%
- Year-to-date change up to August: -17.42%
It is essential to monitor future measured changes closely. This interpretation reflects a comparison between measured data points rather than a sustained trend.</t>
  </si>
  <si>
    <t>Total US Visits (Sessions)</t>
  </si>
  <si>
    <t>In August, blog traffic experienced a decrease of 3.81%. This adjacent-month change is less favorable than the same-month year-over-year change, which recorded a decline of 6.02%. The year-to-date change up to August indicates a reduction of 6.35% compared to the same period last year. The distribution of adjacent-month changes reveals 2 months with positive changes and 5 months with negative changes, with an average absolute adjacent-month change magnitude of 8.48%.
- August adjacent-month change: -3.81%
- August year-over-year change: -6.02%
It is essential to monitor future measured changes closely. This interpretation reflects a comparison between measured data points rather than a sustained trend.</t>
  </si>
  <si>
    <t>Search Engine Traffic (Organic)</t>
  </si>
  <si>
    <t>In August, mobile traffic experienced a decrease of 6.64%. This adjacent-month change is notably less favorable than the same-month year-over-year change of -36.39%. The year-to-date change up to August stands at -22.27%. Across the measured months, there were 0 positive adjacent-month changes and 7 negative adjacent-month changes, with an average absolute adjacent-month change magnitude of 7.11%.
- Year-over-year change for August: -36.39%
- Year-to-date change up to August: -22.27%
It is essential to monitor future measured changes closely. Continued observation of mobile traffic metrics will provide further insights. This interpretation reflects a comparison between measured data points rather than a sustained trend.</t>
  </si>
  <si>
    <t>US Search Engine Traffic</t>
  </si>
  <si>
    <t>In August, desktop traffic experienced an observed change of 3.62%. This adjacent-month increase contrasts with the same-month year-over-year change, which recorded a decline of 6.54%. The year-to-date change up to August indicates a decrease of 2.93% compared to the same period last year. The distribution of adjacent-month changes shows 2 positive changes and 5 negative changes, with an average absolute adjacent-month change magnitude of 13.6%.
- August adjacent-month change: 3.62%
- August year-over-year change: -6.54%
It is essential to monitor future measured changes closely. This interpretation reflects a comparison between measured data points rather than a sustained trend.</t>
  </si>
  <si>
    <t>Direct Traffic</t>
  </si>
  <si>
    <t>In August, referral traffic experienced a decrease of 12.49%. This adjacent-month change is less favorable than the same-month year-over-year change of -18.69%. The year-to-date change up to August compared to the same period last year is 0.85%. Across the measured months, there were 4 positive adjacent-month changes and 3 negative adjacent-month changes, with an average absolute adjacent-month change magnitude of 9.34%.
- August adjacent-month change: -12.49%
- August year-over-year change: -18.69%
Future measured changes should be closely monitored for further insights. This interpretation reflects a comparison between measured data points rather than a sustained trend.</t>
  </si>
  <si>
    <t>Referral Traffic</t>
  </si>
  <si>
    <t>In August, this traffic segment experienced a change of -12.32%. In comparison, the same-month year-over-year change for August was significantly more severe at -44.75%. The year-to-date change up to August stands at -49.33%. The distribution of adjacent-month changes reveals 2 positive changes and 5 negative changes, with an average absolute adjacent-month change magnitude of 23.2%.
- August adjacent-month change: -12.32%
- August year-over-year change: -44.75%
It is essential to monitor future measured changes closely. Continued observation of this traffic segment will provide further insights into its performance dynamics. This interpretation reflects a comparison between measured data points rather than a sustained trend.</t>
  </si>
  <si>
    <t>Paid Traffic</t>
  </si>
  <si>
    <t>YOY % (2022-2023)</t>
  </si>
  <si>
    <t>Social media Traffic</t>
  </si>
  <si>
    <t>In August, referral traffic experienced a significant adjacent-month change of 139.13%. This change contrasts sharply with the same-month year-over-year comparison, which shows a decline of 22.54%. The year-to-date change up to August indicates a decrease of 19.29% compared to the same period last year. The distribution of adjacent-month changes reveals 3 months with positive changes and 4 months with negative changes, with an average absolute adjacent-month change magnitude of 42.46%.
- Adjacent-month change for August: 139.13%
- Same-month year-over-year change for August: -22.54%
Future measured changes should be closely monitored. Future measured changes should be closely monitored. This interpretation reflects a comparison between measured data points rather than a sustained trend.</t>
  </si>
  <si>
    <t>Based on Search Engine</t>
  </si>
  <si>
    <t>Google</t>
  </si>
  <si>
    <t>In August, google search traffic experienced a decrease of 42.88% compared to the same month last year. This decline is significantly more pronounced than the adjacent-month change of -9.78%. The year-to-date change up to August stands at -31.36%. Across the measured months, there was 1 positive adjacent-month change and 6 negative adjacent-month changes, with an average absolute adjacent-month change magnitude of 8.66%.
- Year-over-year change for August: -42.88%
- Adjacent-month change for August: -9.78%
Monitoring of future measured changes will be essential. This interpretation reflects a comparison between measured data points rather than a sustained trend.</t>
  </si>
  <si>
    <t>Yahoo</t>
  </si>
  <si>
    <t>In August, yahoo search traffic experienced a decrease of 50.0% compared to the same month last year. This decline is more pronounced than the adjacent-month change of -42.86%. The year-to-date change up to August compared to the same period last year is -8.62%. The distribution of adjacent-month changes includes 2 positive changes and 5 negative changes, with an average absolute adjacent-month change magnitude of 126.87%.
- Year-over-year change for August: -50.0%
- Adjacent-month change for August: -42.86%
It is essential to monitor future measured changes closely. This interpretation reflects a comparison between measured data points rather than a sustained trend.</t>
  </si>
  <si>
    <t>Bing</t>
  </si>
  <si>
    <t>In August, bing search traffic experienced a decrease of 6.63% compared to the previous month. In contrast, the same-month year-over-year change for August shows a significant increase of 490.32%. The year-to-date change up to August compared to the same period last year is 524.4%. The distribution of adjacent-month changes includes 3 positive changes and 4 negative changes, with an average absolute adjacent-month change magnitude of 31.45%.
- August adjacent-month change: -6.63%
- August year-over-year change: 490.32%
This interpretation reflects a comparison between measured data points rather than a sustained trend.</t>
  </si>
  <si>
    <t>Devices Traffic</t>
  </si>
  <si>
    <t>Desktop</t>
  </si>
  <si>
    <t>In August, this traffic segment experienced a change of -8.11%. When comparing this adjacent-month change to the same-month year-over-year change, the latter shows a more significant decline of -27.31%. The year-to-date change up to August stands at -13.77%. The distribution of adjacent-month changes reveals 2 positive changes and 5 negative changes, with an average absolute adjacent-month change magnitude of 4.62%.
- August adjacent-month change: -8.11%
- August year-over-year change: -27.31%
It is essential to monitor future measured changes in this traffic segment. Continued observation will provide further insights into the performance of this traffic segment. 
This interpretation reflects a comparison between measured data points rather than a sustained trend.</t>
  </si>
  <si>
    <t>Mobile (Smartphone + Tablet)</t>
  </si>
  <si>
    <t>In August, desktop traffic experienced a change of -7.54%. This adjacent-month change is significantly less favorable when compared to the same-month year-over-year change of -47.65%. The year-to-date change up to August stands at -39.8%. The distribution of adjacent-month changes includes 2 positive changes and 5 negative changes, with an average absolute adjacent-month change magnitude of 10.33%.
- Year-over-year change for August: -47.65%
- Year-to-date change up to August: -39.8%
Future measured changes should be closely monitored for further insights. Future measured changes should be closely monitored for further insights. 
This interpretation reflects a comparison between measured data points rather than a sustained trend.</t>
  </si>
  <si>
    <t>Blog Traffic (Sessions)</t>
  </si>
  <si>
    <t>In August, mobile traffic experienced a decrease of 35.98%. This adjacent-month change is notably more significant than the same-month year-over-year change of -25.85%. The year-to-date change up to August stands at -24.08%. The distribution of adjacent-month changes includes 4 positive changes and 3 negative changes, with an average absolute adjacent-month change magnitude of 14.76%.
- Adjacent-month change for August: -35.98%
- Same-month year-over-year change for August: -25.85%
Future measured changes should be closely monitored for further insights. Future measured changes should be closely monitored for further insights. This interpretation reflects a comparison between measured data points rather than a sustained trend.</t>
  </si>
  <si>
    <t>Note: All the Data extracted from Google Analytics on June 5th 2024</t>
  </si>
  <si>
    <t>SN</t>
  </si>
  <si>
    <t>Local Keyword Ideas</t>
  </si>
  <si>
    <t>Targeted Page</t>
  </si>
  <si>
    <t xml:space="preserve">Google Rank </t>
  </si>
  <si>
    <t>Google Places</t>
  </si>
  <si>
    <t>Google Links</t>
  </si>
  <si>
    <t>home delivery food near me</t>
  </si>
  <si>
    <t>https://www.omorganickitchen.com/</t>
  </si>
  <si>
    <t>tiffin service provider</t>
  </si>
  <si>
    <t>tiffin service in noida</t>
  </si>
  <si>
    <t>tiffin service online</t>
  </si>
  <si>
    <t>healthy food online</t>
  </si>
  <si>
    <t>organic food near me</t>
  </si>
  <si>
    <t>meal delivery service</t>
  </si>
  <si>
    <t>food delivery in noida</t>
  </si>
  <si>
    <t>tiffin delivery service</t>
  </si>
  <si>
    <t>organic food delivery</t>
  </si>
  <si>
    <t>corporate tiffin services</t>
  </si>
  <si>
    <t>online tiffin service in noida</t>
  </si>
  <si>
    <t>corporate lunch menu</t>
  </si>
  <si>
    <t>organic food menu</t>
  </si>
  <si>
    <t>organic tiffin services</t>
  </si>
  <si>
    <t>corporate food catering</t>
  </si>
  <si>
    <t>meals delivered to your home</t>
  </si>
  <si>
    <t>organic lunch near me</t>
  </si>
  <si>
    <t>organic meal delivery</t>
  </si>
  <si>
    <t>organic meal subscription</t>
  </si>
  <si>
    <t>Keywords Ranking Status Report</t>
  </si>
  <si>
    <t>Benchmark Data</t>
  </si>
  <si>
    <t>Keyword Ideas</t>
  </si>
  <si>
    <t>Avg Monthly Search Volume (US)</t>
  </si>
  <si>
    <t>Avg Monthly Search Volume (US)           05-Jul-2022</t>
  </si>
  <si>
    <t>Avg Monthly Search Volume (US)           03-Jan-2024</t>
  </si>
  <si>
    <t>Keyword Trending
 (May - June 24)</t>
  </si>
  <si>
    <t>Focus Keywords  - Generic</t>
  </si>
  <si>
    <t>SEO Services Agency</t>
  </si>
  <si>
    <t>Digital Marketing Agency</t>
  </si>
  <si>
    <t>Digital Agency</t>
  </si>
  <si>
    <t>Voice Search Agency</t>
  </si>
  <si>
    <t>Web Design Services</t>
  </si>
  <si>
    <t>Web Design Agency</t>
  </si>
  <si>
    <t>Social Media Marketing Services</t>
  </si>
  <si>
    <t>Internet Marketing Agency</t>
  </si>
  <si>
    <t>Content Marketing Agency</t>
  </si>
  <si>
    <t>Social Media Marketing Company</t>
  </si>
  <si>
    <t>Social Media Marketing Agency</t>
  </si>
  <si>
    <t>Web Development Services</t>
  </si>
  <si>
    <t>Global Digital Marketing Agency</t>
  </si>
  <si>
    <t>Corporate Brand Identity Services</t>
  </si>
  <si>
    <t>Enterprise Web Development</t>
  </si>
  <si>
    <t>PPC Services</t>
  </si>
  <si>
    <t>Android mobile application development</t>
  </si>
  <si>
    <t>SEO Agency</t>
  </si>
  <si>
    <t>Mobile Application Development Services</t>
  </si>
  <si>
    <t>Copywriting Agency</t>
  </si>
  <si>
    <t>Digital Design Services</t>
  </si>
  <si>
    <t>UX Design Agency</t>
  </si>
  <si>
    <t>Interactive Marketing Solutions</t>
  </si>
  <si>
    <t>Brand Strategy Agency</t>
  </si>
  <si>
    <t>Print Design Services</t>
  </si>
  <si>
    <t>SEO Copywriting Services</t>
  </si>
  <si>
    <t>Brand Marketing Agency</t>
  </si>
  <si>
    <t>Enterprise Web Development Service</t>
  </si>
  <si>
    <t>Mobile Website optimization services</t>
  </si>
  <si>
    <t>Creative Digital Marketing Agency</t>
  </si>
  <si>
    <t>Brand Identity Design Services</t>
  </si>
  <si>
    <t>Brand Identity Design</t>
  </si>
  <si>
    <t>Brand Identity Services</t>
  </si>
  <si>
    <t>mobile site optimization</t>
  </si>
  <si>
    <t>NA</t>
  </si>
  <si>
    <t>mobile website seo</t>
  </si>
  <si>
    <t>mobile search optimization</t>
  </si>
  <si>
    <t>sitecore cms development</t>
  </si>
  <si>
    <t>sitecore web content management</t>
  </si>
  <si>
    <t>sitecore development services</t>
  </si>
  <si>
    <t>sitecore development agency</t>
  </si>
  <si>
    <t xml:space="preserve">voice search optimization services  </t>
  </si>
  <si>
    <t>voice search engine optimization agency</t>
  </si>
  <si>
    <t>sitecore agency</t>
  </si>
  <si>
    <t>Certified Sitecore Partner</t>
  </si>
  <si>
    <t>Sitecore Consulting and Development Partner</t>
  </si>
  <si>
    <t>S.N</t>
  </si>
  <si>
    <t>Keywords Position</t>
  </si>
  <si>
    <t>Number of Keywords</t>
  </si>
  <si>
    <t>Ranking in Between - 1 To 10</t>
  </si>
  <si>
    <t>Ranking in Between - 10 To 20</t>
  </si>
  <si>
    <t>Ranking in Between - 20 To 30</t>
  </si>
  <si>
    <t>Ranking in Between - 30 To 40</t>
  </si>
  <si>
    <t>Ranking in Between - 40 To 50</t>
  </si>
  <si>
    <t>Ranking in Between - 50 To 100</t>
  </si>
  <si>
    <t>Avg Monthly Search Volume (US)
 05-Jul-2022</t>
  </si>
  <si>
    <t>Avg Monthly Search Volume (US)           04-Jan-2023</t>
  </si>
  <si>
    <t>Keyword Trending (Nov - Dec)</t>
  </si>
  <si>
    <t>Responsive Web Design Firm</t>
  </si>
  <si>
    <t>Voice search optimization services</t>
  </si>
  <si>
    <t>data driven digital marketing agency</t>
  </si>
  <si>
    <t>PPC Services NYC</t>
  </si>
  <si>
    <t>branding and identity services</t>
  </si>
  <si>
    <t>Creative Infographic Services Agency</t>
  </si>
  <si>
    <t>Creative Copywriting Services</t>
  </si>
  <si>
    <t>Creative online marketing Agency</t>
  </si>
  <si>
    <t>Enterprise CMS Web Development Services</t>
  </si>
  <si>
    <t>Search Engine Optimization services Agency</t>
  </si>
  <si>
    <t>Video Ad Creative Agency</t>
  </si>
  <si>
    <t>Enterprise Custom Web Development Service</t>
  </si>
  <si>
    <t>Creative Content Marketing Plan</t>
  </si>
  <si>
    <t>Mobile User Experience Design services</t>
  </si>
  <si>
    <t>Website Development</t>
  </si>
  <si>
    <t>Flyers Design</t>
  </si>
  <si>
    <t>Digital Asset Management</t>
  </si>
  <si>
    <t>Web application development</t>
  </si>
  <si>
    <t>Creative Services</t>
  </si>
  <si>
    <t>Content Writing services</t>
  </si>
  <si>
    <t>PR Agency</t>
  </si>
  <si>
    <t>Digital Asset Management Software</t>
  </si>
  <si>
    <t>Mobile App Developers</t>
  </si>
  <si>
    <t>Interactive Mobile App development Services</t>
  </si>
  <si>
    <t>Logo Design Services</t>
  </si>
  <si>
    <t>Web Development Agency</t>
  </si>
  <si>
    <t>ios Mobile App Development Services</t>
  </si>
  <si>
    <t>Brand Photography Services</t>
  </si>
  <si>
    <t>Effective PR Communication Services</t>
  </si>
  <si>
    <t>Digital Asset Management Solutions</t>
  </si>
  <si>
    <t>Digital Asset Management for Photographers</t>
  </si>
  <si>
    <t>System Integration services</t>
  </si>
  <si>
    <t>Engaging Storytelling Marketing Strategy</t>
  </si>
  <si>
    <t>Corporate Presentation Design</t>
  </si>
  <si>
    <t>Creative Web Design Services</t>
  </si>
  <si>
    <t>Application Integration Services</t>
  </si>
  <si>
    <t>Creative Photographic Agency</t>
  </si>
  <si>
    <t>Ecommerce Platform Development Solutions</t>
  </si>
  <si>
    <t>CMS Web Design Services</t>
  </si>
  <si>
    <t>Digital Asset Management Company</t>
  </si>
  <si>
    <t>Platform Integration Services</t>
  </si>
  <si>
    <t>Digital Asset Management Services</t>
  </si>
  <si>
    <t>Mobile SEO</t>
  </si>
  <si>
    <t>Mobile Website SEO Services</t>
  </si>
  <si>
    <t>App Store Optimization Services</t>
  </si>
  <si>
    <t>Creative Infographic Design Services</t>
  </si>
  <si>
    <t>content writing services</t>
  </si>
  <si>
    <t xml:space="preserve">copywriting services </t>
  </si>
  <si>
    <t>seo content writing</t>
  </si>
  <si>
    <t>commercial video production</t>
  </si>
  <si>
    <t>marketing video production</t>
  </si>
  <si>
    <t>mobile seo</t>
  </si>
  <si>
    <t>video marketing services</t>
  </si>
  <si>
    <t>video marketing agency</t>
  </si>
  <si>
    <t>video production agency</t>
  </si>
  <si>
    <t>voice search seo</t>
  </si>
  <si>
    <t>website content writing services</t>
  </si>
  <si>
    <t>app store optimization services</t>
  </si>
  <si>
    <t>content writing agency</t>
  </si>
  <si>
    <t>online video advertising</t>
  </si>
  <si>
    <t>small business video marketing</t>
  </si>
  <si>
    <t>voice search optimization</t>
  </si>
  <si>
    <t>mobile video advertising</t>
  </si>
  <si>
    <t>mobile website optimization services</t>
  </si>
  <si>
    <t xml:space="preserve">mobile website seo services </t>
  </si>
  <si>
    <t>video advertising agency</t>
  </si>
  <si>
    <t>mobile seo services</t>
  </si>
  <si>
    <t>mobile search engine optimization</t>
  </si>
  <si>
    <t>optimize for voice search</t>
  </si>
  <si>
    <t>storytelling content</t>
  </si>
  <si>
    <t>360 video production</t>
  </si>
  <si>
    <t>ecommerce video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</si>
</sst>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mmm\-yy"/>
    <numFmt numFmtId="165" formatCode="[$-409]d\-mmm\-yy"/>
    <numFmt numFmtId="166" formatCode="[$-409]dd\-mmm\-yy"/>
    <numFmt numFmtId="167" formatCode="[$-409]d\-mmm"/>
  </numFmts>
  <fonts count="46">
    <font>
      <sz val="10"/>
      <color rgb="FF000000"/>
      <name val="Arial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rgb="FF333333"/>
      <name val="Century Gothic"/>
      <family val="2"/>
    </font>
    <font>
      <b/>
      <i/>
      <sz val="10"/>
      <color rgb="FFFFFFCC"/>
      <name val="Century Gothic"/>
      <family val="2"/>
    </font>
    <font>
      <b/>
      <sz val="10"/>
      <color rgb="FFB2B2B2"/>
      <name val="Century Gothic"/>
      <family val="2"/>
    </font>
    <font>
      <b/>
      <i/>
      <sz val="10"/>
      <color rgb="FFB2B2B2"/>
      <name val="Century Gothic"/>
      <family val="2"/>
    </font>
    <font>
      <sz val="11"/>
      <color theme="1"/>
      <name val="Century Gothic"/>
      <family val="2"/>
    </font>
    <font>
      <sz val="11"/>
      <color rgb="FF222222"/>
      <name val="Century Gothic"/>
      <family val="2"/>
    </font>
    <font>
      <sz val="10"/>
      <color rgb="FFB2B2B2"/>
      <name val="Century Gothic"/>
      <family val="2"/>
    </font>
    <font>
      <sz val="10"/>
      <color rgb="FF222222"/>
      <name val="Century Gothic"/>
      <family val="2"/>
    </font>
    <font>
      <sz val="11"/>
      <color rgb="FFB2B2B2"/>
      <name val="Century Gothic"/>
      <family val="2"/>
    </font>
    <font>
      <sz val="11"/>
      <color rgb="FFFFFFCC"/>
      <name val="Century Gothic"/>
      <family val="2"/>
    </font>
    <font>
      <sz val="10"/>
      <color rgb="FFFFFFCC"/>
      <name val="Century Gothic"/>
      <family val="2"/>
    </font>
    <font>
      <sz val="10"/>
      <color rgb="FF000000"/>
      <name val="Century Gothic"/>
      <family val="2"/>
    </font>
    <font>
      <sz val="10"/>
      <color rgb="FFFFFFFF"/>
      <name val="Century Gothic"/>
      <family val="2"/>
    </font>
    <font>
      <sz val="10"/>
      <color rgb="FF333333"/>
      <name val="Century Gothic"/>
      <family val="2"/>
    </font>
    <font>
      <b/>
      <i/>
      <sz val="10"/>
      <color theme="1"/>
      <name val="Century Gothic"/>
      <family val="2"/>
    </font>
    <font>
      <sz val="11"/>
      <color theme="0"/>
      <name val="Century Gothic"/>
      <family val="2"/>
    </font>
    <font>
      <sz val="10"/>
      <color rgb="FFFF0000"/>
      <name val="Century Gothic"/>
      <family val="2"/>
    </font>
    <font>
      <sz val="10"/>
      <color theme="0"/>
      <name val="Century Gothic"/>
      <family val="2"/>
    </font>
    <font>
      <sz val="10"/>
      <color rgb="FF000000"/>
      <name val="Century Gothic"/>
      <family val="2"/>
    </font>
    <font>
      <b/>
      <i/>
      <sz val="10"/>
      <color rgb="FFC00000"/>
      <name val="Century Gothic"/>
      <family val="2"/>
    </font>
    <font>
      <b/>
      <i/>
      <sz val="10"/>
      <color rgb="FF4F81BD"/>
      <name val="Century Gothic"/>
      <family val="2"/>
    </font>
    <font>
      <b/>
      <sz val="10"/>
      <color rgb="FF222222"/>
      <name val="Century Gothic"/>
      <family val="2"/>
    </font>
    <font>
      <sz val="10"/>
      <name val="Century Gothic"/>
      <family val="2"/>
    </font>
    <font>
      <b/>
      <sz val="12"/>
      <color theme="1"/>
      <name val="Century Gothic"/>
      <family val="2"/>
    </font>
    <font>
      <b/>
      <sz val="10"/>
      <color theme="0"/>
      <name val="Century Gothic"/>
      <family val="2"/>
    </font>
    <font>
      <sz val="10"/>
      <color rgb="FF202124"/>
      <name val="Century Gothic"/>
      <family val="2"/>
    </font>
    <font>
      <sz val="11"/>
      <name val="Century Gothic"/>
      <family val="2"/>
    </font>
    <font>
      <sz val="11"/>
      <color rgb="FF000000"/>
      <name val="Century Gothic"/>
      <family val="2"/>
    </font>
    <font>
      <sz val="11"/>
      <color rgb="FFFFFFFF"/>
      <name val="Century Gothic"/>
      <family val="2"/>
    </font>
    <font>
      <sz val="10"/>
      <color theme="3"/>
      <name val="Century Gothic"/>
      <family val="2"/>
    </font>
    <font>
      <b/>
      <sz val="10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Open Sans"/>
    </font>
    <font>
      <b/>
      <sz val="11"/>
      <name val="Century Gothic"/>
      <family val="2"/>
    </font>
    <font>
      <b/>
      <i/>
      <sz val="10"/>
      <color theme="0"/>
      <name val="Century Gothic"/>
      <family val="2"/>
    </font>
    <font>
      <b/>
      <i/>
      <sz val="11"/>
      <color theme="0"/>
      <name val="Calibri"/>
      <family val="2"/>
      <scheme val="major"/>
    </font>
    <font>
      <b/>
      <sz val="10"/>
      <color theme="0"/>
      <name val="Arial"/>
      <family val="2"/>
    </font>
    <font>
      <sz val="11"/>
      <color rgb="FFFF0000"/>
      <name val="Century Gothic"/>
      <family val="2"/>
    </font>
    <font>
      <i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sz val="10"/>
      <name val="Arial"/>
      <family val="2"/>
    </font>
    <font>
      <b/>
      <i/>
      <sz val="10"/>
      <name val="Century Gothic"/>
      <family val="2"/>
    </font>
    <font>
      <sz val="12"/>
      <color theme="1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69696"/>
      </patternFill>
    </fill>
    <fill>
      <patternFill patternType="solid">
        <fgColor theme="0"/>
        <bgColor rgb="FF00B050"/>
      </patternFill>
    </fill>
    <fill>
      <patternFill patternType="solid">
        <fgColor theme="4" tint="-0.499984740745262"/>
        <bgColor rgb="FF3366FF"/>
      </patternFill>
    </fill>
    <fill>
      <patternFill patternType="solid">
        <fgColor rgb="FF00B050"/>
        <bgColor rgb="FF3366FF"/>
      </patternFill>
    </fill>
    <fill>
      <patternFill patternType="solid">
        <fgColor rgb="FFFFC000"/>
        <bgColor rgb="FFD99694"/>
      </patternFill>
    </fill>
    <fill>
      <patternFill patternType="solid">
        <fgColor theme="0" tint="-0.249977111117893"/>
        <bgColor rgb="FFFFFFCC"/>
      </patternFill>
    </fill>
    <fill>
      <patternFill patternType="solid">
        <fgColor rgb="FF0070C0"/>
        <bgColor rgb="FFFFFFCC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rgb="FF969696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22"/>
  </cellStyleXfs>
  <cellXfs count="291">
    <xf numFmtId="0" fontId="0" fillId="0" borderId="0" xfId="0" applyBorder="1"/>
    <xf numFmtId="0" fontId="1" fillId="2" borderId="21" xfId="0" applyFont="1" applyFill="1" applyBorder="1"/>
    <xf numFmtId="0" fontId="1" fillId="2" borderId="22" xfId="0" applyFont="1" applyFill="1"/>
    <xf numFmtId="0" fontId="27" fillId="10" borderId="1" xfId="0" applyFont="1" applyFill="1" applyBorder="1" applyAlignment="1">
      <alignment horizontal="center" vertical="center" wrapText="1"/>
    </xf>
    <xf numFmtId="0" fontId="27" fillId="10" borderId="9" xfId="0" applyFont="1" applyFill="1" applyBorder="1" applyAlignment="1">
      <alignment horizontal="center" vertical="center" wrapText="1"/>
    </xf>
    <xf numFmtId="3" fontId="14" fillId="0" borderId="23" xfId="0" applyNumberFormat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3" fontId="28" fillId="0" borderId="23" xfId="0" applyNumberFormat="1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3" fontId="1" fillId="3" borderId="23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/>
    </xf>
    <xf numFmtId="0" fontId="1" fillId="2" borderId="22" xfId="0" applyFont="1" applyFill="1" applyAlignment="1">
      <alignment wrapText="1"/>
    </xf>
    <xf numFmtId="3" fontId="2" fillId="2" borderId="7" xfId="0" applyNumberFormat="1" applyFont="1" applyFill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2" xfId="0" applyFont="1"/>
    <xf numFmtId="3" fontId="1" fillId="0" borderId="23" xfId="0" applyNumberFormat="1" applyFont="1" applyBorder="1" applyAlignment="1">
      <alignment horizontal="center" vertical="center"/>
    </xf>
    <xf numFmtId="3" fontId="10" fillId="0" borderId="23" xfId="0" applyNumberFormat="1" applyFont="1" applyBorder="1" applyAlignment="1">
      <alignment horizontal="center" vertical="center"/>
    </xf>
    <xf numFmtId="0" fontId="1" fillId="0" borderId="22" xfId="0" applyFont="1" applyAlignment="1">
      <alignment wrapText="1"/>
    </xf>
    <xf numFmtId="3" fontId="1" fillId="2" borderId="2" xfId="0" applyNumberFormat="1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7" fillId="10" borderId="16" xfId="0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/>
    </xf>
    <xf numFmtId="3" fontId="25" fillId="2" borderId="4" xfId="0" applyNumberFormat="1" applyFont="1" applyFill="1" applyBorder="1" applyAlignment="1">
      <alignment horizontal="center"/>
    </xf>
    <xf numFmtId="0" fontId="14" fillId="13" borderId="23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3" fontId="19" fillId="0" borderId="23" xfId="0" applyNumberFormat="1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27" fillId="10" borderId="33" xfId="0" applyFont="1" applyFill="1" applyBorder="1" applyAlignment="1">
      <alignment horizontal="center" vertical="center" wrapText="1"/>
    </xf>
    <xf numFmtId="0" fontId="27" fillId="10" borderId="34" xfId="0" applyFont="1" applyFill="1" applyBorder="1" applyAlignment="1">
      <alignment horizontal="center" vertical="center" wrapText="1"/>
    </xf>
    <xf numFmtId="0" fontId="27" fillId="10" borderId="35" xfId="0" applyFont="1" applyFill="1" applyBorder="1" applyAlignment="1">
      <alignment horizontal="center" vertical="center" wrapText="1"/>
    </xf>
    <xf numFmtId="3" fontId="2" fillId="0" borderId="41" xfId="0" applyNumberFormat="1" applyFont="1" applyBorder="1" applyAlignment="1">
      <alignment horizontal="center"/>
    </xf>
    <xf numFmtId="3" fontId="2" fillId="0" borderId="42" xfId="0" applyNumberFormat="1" applyFont="1" applyBorder="1" applyAlignment="1">
      <alignment horizontal="center"/>
    </xf>
    <xf numFmtId="10" fontId="2" fillId="0" borderId="42" xfId="0" applyNumberFormat="1" applyFont="1" applyBorder="1" applyAlignment="1">
      <alignment horizontal="center"/>
    </xf>
    <xf numFmtId="0" fontId="25" fillId="3" borderId="22" xfId="0" applyFont="1" applyFill="1"/>
    <xf numFmtId="3" fontId="2" fillId="2" borderId="4" xfId="0" applyNumberFormat="1" applyFont="1" applyFill="1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2" fillId="0" borderId="22" xfId="0" applyNumberFormat="1" applyFont="1" applyAlignment="1">
      <alignment horizontal="center"/>
    </xf>
    <xf numFmtId="10" fontId="2" fillId="0" borderId="22" xfId="0" applyNumberFormat="1" applyFon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2" borderId="40" xfId="0" applyNumberFormat="1" applyFont="1" applyFill="1" applyBorder="1" applyAlignment="1">
      <alignment horizontal="center"/>
    </xf>
    <xf numFmtId="0" fontId="1" fillId="2" borderId="22" xfId="0" applyFont="1" applyFill="1" applyAlignment="1">
      <alignment horizontal="center"/>
    </xf>
    <xf numFmtId="0" fontId="4" fillId="7" borderId="23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/>
    </xf>
    <xf numFmtId="0" fontId="7" fillId="3" borderId="23" xfId="0" applyFont="1" applyFill="1" applyBorder="1"/>
    <xf numFmtId="0" fontId="8" fillId="2" borderId="23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/>
    </xf>
    <xf numFmtId="0" fontId="7" fillId="3" borderId="30" xfId="0" applyFont="1" applyFill="1" applyBorder="1" applyAlignment="1">
      <alignment horizontal="center"/>
    </xf>
    <xf numFmtId="0" fontId="7" fillId="3" borderId="24" xfId="0" applyFont="1" applyFill="1" applyBorder="1"/>
    <xf numFmtId="0" fontId="25" fillId="0" borderId="43" xfId="0" applyFont="1" applyBorder="1" applyAlignment="1">
      <alignment horizontal="center"/>
    </xf>
    <xf numFmtId="0" fontId="25" fillId="0" borderId="44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0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7" fillId="3" borderId="23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29" fillId="2" borderId="23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30" fillId="12" borderId="23" xfId="0" applyFont="1" applyFill="1" applyBorder="1" applyAlignment="1">
      <alignment horizontal="center" vertical="center"/>
    </xf>
    <xf numFmtId="0" fontId="31" fillId="12" borderId="23" xfId="0" applyFont="1" applyFill="1" applyBorder="1" applyAlignment="1">
      <alignment horizontal="center" vertical="center"/>
    </xf>
    <xf numFmtId="0" fontId="7" fillId="0" borderId="23" xfId="0" applyFont="1" applyBorder="1"/>
    <xf numFmtId="0" fontId="9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15" fillId="0" borderId="23" xfId="0" applyFont="1" applyBorder="1" applyAlignment="1">
      <alignment horizontal="center" vertical="center"/>
    </xf>
    <xf numFmtId="4" fontId="10" fillId="0" borderId="23" xfId="0" applyNumberFormat="1" applyFont="1" applyBorder="1" applyAlignment="1">
      <alignment horizontal="center" vertical="center"/>
    </xf>
    <xf numFmtId="4" fontId="9" fillId="0" borderId="23" xfId="0" applyNumberFormat="1" applyFont="1" applyBorder="1" applyAlignment="1">
      <alignment horizontal="center" vertical="center"/>
    </xf>
    <xf numFmtId="0" fontId="1" fillId="0" borderId="23" xfId="0" applyFont="1" applyBorder="1"/>
    <xf numFmtId="0" fontId="8" fillId="0" borderId="23" xfId="0" applyFont="1" applyBorder="1"/>
    <xf numFmtId="0" fontId="7" fillId="0" borderId="23" xfId="0" applyFont="1" applyBorder="1" applyAlignment="1">
      <alignment horizontal="left" vertical="center"/>
    </xf>
    <xf numFmtId="0" fontId="10" fillId="0" borderId="23" xfId="0" applyFont="1" applyBorder="1" applyAlignment="1">
      <alignment horizontal="center"/>
    </xf>
    <xf numFmtId="0" fontId="9" fillId="0" borderId="23" xfId="0" applyFont="1" applyBorder="1"/>
    <xf numFmtId="0" fontId="1" fillId="2" borderId="29" xfId="0" applyFont="1" applyFill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4" xfId="0" applyFont="1" applyBorder="1"/>
    <xf numFmtId="0" fontId="10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9" fillId="0" borderId="24" xfId="0" applyFont="1" applyBorder="1"/>
    <xf numFmtId="0" fontId="37" fillId="16" borderId="23" xfId="0" applyFont="1" applyFill="1" applyBorder="1" applyAlignment="1">
      <alignment horizontal="center" vertical="center"/>
    </xf>
    <xf numFmtId="0" fontId="38" fillId="16" borderId="23" xfId="0" applyFont="1" applyFill="1" applyBorder="1" applyAlignment="1">
      <alignment horizontal="center" vertical="center"/>
    </xf>
    <xf numFmtId="0" fontId="39" fillId="16" borderId="29" xfId="0" applyFont="1" applyFill="1" applyBorder="1"/>
    <xf numFmtId="0" fontId="39" fillId="16" borderId="46" xfId="0" applyFont="1" applyFill="1" applyBorder="1"/>
    <xf numFmtId="0" fontId="40" fillId="0" borderId="23" xfId="0" applyFont="1" applyBorder="1"/>
    <xf numFmtId="0" fontId="24" fillId="0" borderId="23" xfId="0" applyFont="1" applyBorder="1" applyAlignment="1">
      <alignment horizontal="center"/>
    </xf>
    <xf numFmtId="3" fontId="8" fillId="3" borderId="23" xfId="0" applyNumberFormat="1" applyFont="1" applyFill="1" applyBorder="1" applyAlignment="1">
      <alignment horizontal="center" vertical="center"/>
    </xf>
    <xf numFmtId="0" fontId="1" fillId="2" borderId="22" xfId="0" applyFont="1" applyFill="1" applyAlignment="1">
      <alignment horizontal="right"/>
    </xf>
    <xf numFmtId="0" fontId="10" fillId="2" borderId="31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0" fillId="2" borderId="2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/>
    </xf>
    <xf numFmtId="0" fontId="20" fillId="3" borderId="23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1" fillId="0" borderId="31" xfId="0" applyNumberFormat="1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3" fontId="8" fillId="3" borderId="31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4" fillId="3" borderId="23" xfId="0" applyFont="1" applyFill="1" applyBorder="1"/>
    <xf numFmtId="0" fontId="14" fillId="3" borderId="22" xfId="0" applyFont="1" applyFill="1"/>
    <xf numFmtId="0" fontId="14" fillId="3" borderId="23" xfId="0" applyFont="1" applyFill="1" applyBorder="1" applyAlignment="1">
      <alignment horizontal="center"/>
    </xf>
    <xf numFmtId="0" fontId="14" fillId="3" borderId="31" xfId="0" applyFont="1" applyFill="1" applyBorder="1" applyAlignment="1">
      <alignment horizontal="center"/>
    </xf>
    <xf numFmtId="0" fontId="14" fillId="3" borderId="24" xfId="0" applyFont="1" applyFill="1" applyBorder="1" applyAlignment="1">
      <alignment horizontal="center"/>
    </xf>
    <xf numFmtId="0" fontId="14" fillId="3" borderId="32" xfId="0" applyFont="1" applyFill="1" applyBorder="1" applyAlignment="1">
      <alignment horizontal="center"/>
    </xf>
    <xf numFmtId="0" fontId="14" fillId="3" borderId="24" xfId="0" applyFont="1" applyFill="1" applyBorder="1"/>
    <xf numFmtId="0" fontId="27" fillId="0" borderId="31" xfId="0" applyFont="1" applyBorder="1" applyAlignment="1">
      <alignment horizontal="center"/>
    </xf>
    <xf numFmtId="0" fontId="20" fillId="3" borderId="31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4" fillId="6" borderId="43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/>
    </xf>
    <xf numFmtId="0" fontId="24" fillId="2" borderId="31" xfId="0" applyFont="1" applyFill="1" applyBorder="1" applyAlignment="1">
      <alignment horizontal="center" vertical="center"/>
    </xf>
    <xf numFmtId="0" fontId="27" fillId="16" borderId="23" xfId="0" applyFont="1" applyFill="1" applyBorder="1"/>
    <xf numFmtId="0" fontId="27" fillId="16" borderId="23" xfId="0" applyFont="1" applyFill="1" applyBorder="1" applyAlignment="1">
      <alignment horizontal="center"/>
    </xf>
    <xf numFmtId="0" fontId="20" fillId="2" borderId="31" xfId="0" applyFont="1" applyFill="1" applyBorder="1" applyAlignment="1">
      <alignment horizontal="center" vertical="center"/>
    </xf>
    <xf numFmtId="0" fontId="41" fillId="0" borderId="3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25" fillId="0" borderId="4" xfId="0" applyNumberFormat="1" applyFont="1" applyBorder="1" applyAlignment="1">
      <alignment horizontal="center"/>
    </xf>
    <xf numFmtId="3" fontId="1" fillId="0" borderId="40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19" xfId="0" applyNumberFormat="1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0" fontId="21" fillId="0" borderId="0" xfId="0" applyFont="1" applyBorder="1"/>
    <xf numFmtId="0" fontId="22" fillId="2" borderId="22" xfId="0" applyFont="1" applyFill="1" applyAlignment="1">
      <alignment horizontal="left" vertical="center"/>
    </xf>
    <xf numFmtId="0" fontId="23" fillId="2" borderId="22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2" fillId="2" borderId="22" xfId="0" applyFont="1" applyFill="1"/>
    <xf numFmtId="0" fontId="27" fillId="10" borderId="17" xfId="0" applyFont="1" applyFill="1" applyBorder="1" applyAlignment="1">
      <alignment horizontal="center" vertical="center" wrapText="1"/>
    </xf>
    <xf numFmtId="3" fontId="1" fillId="2" borderId="13" xfId="0" applyNumberFormat="1" applyFont="1" applyFill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22" xfId="0" applyFont="1" applyFill="1"/>
    <xf numFmtId="0" fontId="1" fillId="2" borderId="3" xfId="0" applyFont="1" applyFill="1" applyBorder="1" applyAlignment="1">
      <alignment horizontal="center"/>
    </xf>
    <xf numFmtId="0" fontId="9" fillId="2" borderId="22" xfId="0" applyFont="1" applyFill="1"/>
    <xf numFmtId="0" fontId="16" fillId="2" borderId="22" xfId="0" applyFont="1" applyFill="1"/>
    <xf numFmtId="0" fontId="9" fillId="0" borderId="22" xfId="0" applyFont="1"/>
    <xf numFmtId="0" fontId="1" fillId="0" borderId="22" xfId="0" applyFont="1" applyAlignment="1">
      <alignment horizontal="right" vertical="center"/>
    </xf>
    <xf numFmtId="0" fontId="1" fillId="0" borderId="22" xfId="0" applyFont="1" applyAlignment="1">
      <alignment horizontal="right"/>
    </xf>
    <xf numFmtId="3" fontId="2" fillId="0" borderId="50" xfId="0" applyNumberFormat="1" applyFont="1" applyBorder="1" applyAlignment="1">
      <alignment horizontal="center"/>
    </xf>
    <xf numFmtId="3" fontId="1" fillId="2" borderId="40" xfId="0" applyNumberFormat="1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 wrapText="1"/>
    </xf>
    <xf numFmtId="10" fontId="35" fillId="15" borderId="29" xfId="0" applyNumberFormat="1" applyFont="1" applyFill="1" applyBorder="1" applyAlignment="1">
      <alignment horizontal="center"/>
    </xf>
    <xf numFmtId="10" fontId="0" fillId="0" borderId="39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1" fillId="3" borderId="0" xfId="0" applyFont="1" applyFill="1" applyBorder="1" applyAlignment="1">
      <alignment horizontal="center"/>
    </xf>
    <xf numFmtId="10" fontId="35" fillId="15" borderId="31" xfId="0" applyNumberFormat="1" applyFont="1" applyFill="1" applyBorder="1" applyAlignment="1">
      <alignment horizontal="center"/>
    </xf>
    <xf numFmtId="3" fontId="2" fillId="0" borderId="51" xfId="0" applyNumberFormat="1" applyFont="1" applyBorder="1" applyAlignment="1">
      <alignment horizontal="center"/>
    </xf>
    <xf numFmtId="10" fontId="35" fillId="15" borderId="43" xfId="0" applyNumberFormat="1" applyFont="1" applyFill="1" applyBorder="1" applyAlignment="1">
      <alignment horizontal="center"/>
    </xf>
    <xf numFmtId="0" fontId="1" fillId="2" borderId="49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52" xfId="0" applyFont="1" applyFill="1" applyBorder="1"/>
    <xf numFmtId="3" fontId="25" fillId="2" borderId="14" xfId="0" applyNumberFormat="1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 wrapText="1"/>
    </xf>
    <xf numFmtId="0" fontId="27" fillId="10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wrapText="1"/>
    </xf>
    <xf numFmtId="0" fontId="1" fillId="2" borderId="54" xfId="0" applyFont="1" applyFill="1" applyBorder="1"/>
    <xf numFmtId="10" fontId="35" fillId="15" borderId="45" xfId="0" applyNumberFormat="1" applyFont="1" applyFill="1" applyBorder="1" applyAlignment="1">
      <alignment horizontal="center"/>
    </xf>
    <xf numFmtId="10" fontId="35" fillId="15" borderId="42" xfId="0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3" borderId="22" xfId="0" applyFont="1" applyFill="1"/>
    <xf numFmtId="0" fontId="1" fillId="3" borderId="22" xfId="0" applyFont="1" applyFill="1" applyAlignment="1">
      <alignment wrapText="1"/>
    </xf>
    <xf numFmtId="0" fontId="44" fillId="0" borderId="63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/>
    </xf>
    <xf numFmtId="3" fontId="14" fillId="0" borderId="23" xfId="0" applyNumberFormat="1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/>
    </xf>
    <xf numFmtId="0" fontId="1" fillId="3" borderId="22" xfId="0" applyFont="1" applyFill="1" applyAlignment="1">
      <alignment horizontal="center"/>
    </xf>
    <xf numFmtId="0" fontId="9" fillId="3" borderId="22" xfId="0" applyFont="1" applyFill="1"/>
    <xf numFmtId="0" fontId="9" fillId="3" borderId="0" xfId="0" applyFont="1" applyFill="1" applyBorder="1"/>
    <xf numFmtId="0" fontId="45" fillId="0" borderId="23" xfId="0" applyFont="1" applyBorder="1"/>
    <xf numFmtId="0" fontId="10" fillId="0" borderId="65" xfId="0" applyFont="1" applyBorder="1" applyAlignment="1">
      <alignment horizontal="center" vertical="center"/>
    </xf>
    <xf numFmtId="0" fontId="0" fillId="3" borderId="22" xfId="0" applyFill="1"/>
    <xf numFmtId="0" fontId="0" fillId="3" borderId="66" xfId="0" applyFill="1" applyBorder="1" applyAlignment="1">
      <alignment horizontal="center"/>
    </xf>
    <xf numFmtId="0" fontId="39" fillId="16" borderId="23" xfId="0" applyFont="1" applyFill="1" applyBorder="1"/>
    <xf numFmtId="10" fontId="1" fillId="2" borderId="56" xfId="0" applyNumberFormat="1" applyFont="1" applyFill="1" applyBorder="1"/>
    <xf numFmtId="10" fontId="1" fillId="2" borderId="49" xfId="0" applyNumberFormat="1" applyFont="1" applyFill="1" applyBorder="1"/>
    <xf numFmtId="164" fontId="1" fillId="2" borderId="37" xfId="0" applyNumberFormat="1" applyFont="1" applyFill="1" applyBorder="1" applyAlignment="1">
      <alignment horizontal="center"/>
    </xf>
    <xf numFmtId="165" fontId="1" fillId="2" borderId="37" xfId="0" applyNumberFormat="1" applyFont="1" applyFill="1" applyBorder="1" applyAlignment="1">
      <alignment horizontal="center"/>
    </xf>
    <xf numFmtId="164" fontId="1" fillId="2" borderId="55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1" fillId="2" borderId="22" xfId="0" applyNumberFormat="1" applyFont="1" applyFill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38" xfId="0" applyNumberFormat="1" applyFont="1" applyFill="1" applyBorder="1" applyAlignment="1">
      <alignment horizontal="center"/>
    </xf>
    <xf numFmtId="166" fontId="2" fillId="0" borderId="59" xfId="0" applyNumberFormat="1" applyFont="1" applyBorder="1" applyAlignment="1">
      <alignment horizontal="center" vertical="center" wrapText="1"/>
    </xf>
    <xf numFmtId="166" fontId="2" fillId="18" borderId="60" xfId="0" applyNumberFormat="1" applyFont="1" applyFill="1" applyBorder="1" applyAlignment="1">
      <alignment horizontal="center" vertical="center" wrapText="1"/>
    </xf>
    <xf numFmtId="166" fontId="3" fillId="17" borderId="47" xfId="0" applyNumberFormat="1" applyFont="1" applyFill="1" applyBorder="1" applyAlignment="1">
      <alignment horizontal="center" vertical="center" wrapText="1"/>
    </xf>
    <xf numFmtId="166" fontId="3" fillId="4" borderId="47" xfId="0" applyNumberFormat="1" applyFont="1" applyFill="1" applyBorder="1" applyAlignment="1">
      <alignment horizontal="center" vertical="center" wrapText="1"/>
    </xf>
    <xf numFmtId="166" fontId="3" fillId="14" borderId="47" xfId="0" applyNumberFormat="1" applyFont="1" applyFill="1" applyBorder="1" applyAlignment="1">
      <alignment horizontal="center" vertical="center" wrapText="1"/>
    </xf>
    <xf numFmtId="164" fontId="3" fillId="4" borderId="48" xfId="0" applyNumberFormat="1" applyFont="1" applyFill="1" applyBorder="1" applyAlignment="1">
      <alignment horizontal="center" vertical="center" wrapText="1"/>
    </xf>
    <xf numFmtId="167" fontId="5" fillId="3" borderId="28" xfId="0" applyNumberFormat="1" applyFont="1" applyFill="1" applyBorder="1" applyAlignment="1">
      <alignment horizontal="center" vertical="center" wrapText="1"/>
    </xf>
    <xf numFmtId="167" fontId="5" fillId="3" borderId="23" xfId="0" applyNumberFormat="1" applyFont="1" applyFill="1" applyBorder="1" applyAlignment="1">
      <alignment horizontal="center" vertical="center" wrapText="1"/>
    </xf>
    <xf numFmtId="167" fontId="5" fillId="3" borderId="31" xfId="0" applyNumberFormat="1" applyFont="1" applyFill="1" applyBorder="1" applyAlignment="1">
      <alignment horizontal="center" vertical="center" wrapText="1"/>
    </xf>
    <xf numFmtId="167" fontId="2" fillId="5" borderId="23" xfId="0" applyNumberFormat="1" applyFont="1" applyFill="1" applyBorder="1" applyAlignment="1">
      <alignment horizontal="left" vertical="center" wrapText="1"/>
    </xf>
    <xf numFmtId="166" fontId="27" fillId="16" borderId="26" xfId="0" applyNumberFormat="1" applyFont="1" applyFill="1" applyBorder="1" applyAlignment="1">
      <alignment horizontal="center" vertical="center" wrapText="1"/>
    </xf>
    <xf numFmtId="164" fontId="27" fillId="16" borderId="27" xfId="0" applyNumberFormat="1" applyFont="1" applyFill="1" applyBorder="1" applyAlignment="1">
      <alignment horizontal="center" vertical="center" wrapText="1"/>
    </xf>
    <xf numFmtId="0" fontId="21" fillId="3" borderId="0" xfId="0" applyFont="1" applyFill="1" applyBorder="1"/>
    <xf numFmtId="0" fontId="0" fillId="3" borderId="0" xfId="0" applyFill="1" applyBorder="1"/>
    <xf numFmtId="166" fontId="3" fillId="4" borderId="26" xfId="0" applyNumberFormat="1" applyFont="1" applyFill="1" applyBorder="1" applyAlignment="1">
      <alignment horizontal="center" vertical="center" wrapText="1"/>
    </xf>
    <xf numFmtId="0" fontId="14" fillId="3" borderId="0" xfId="0" applyFont="1" applyFill="1" applyBorder="1"/>
    <xf numFmtId="0" fontId="0" fillId="0" borderId="22" xfId="0" applyAlignment="1">
      <alignment horizontal="left" vertical="top" wrapText="1"/>
    </xf>
    <xf numFmtId="0" fontId="21" fillId="3" borderId="0" xfId="0" applyFont="1" applyFill="1" applyBorder="1"/>
    <xf numFmtId="0" fontId="24" fillId="2" borderId="16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3" fillId="11" borderId="16" xfId="0" applyFont="1" applyFill="1" applyBorder="1" applyAlignment="1">
      <alignment horizontal="left"/>
    </xf>
    <xf numFmtId="0" fontId="0" fillId="0" borderId="18" xfId="0" applyBorder="1"/>
    <xf numFmtId="0" fontId="24" fillId="2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6" xfId="0" applyBorder="1"/>
    <xf numFmtId="0" fontId="24" fillId="2" borderId="67" xfId="0" applyFont="1" applyFill="1" applyBorder="1" applyAlignment="1">
      <alignment horizontal="center" vertical="center" wrapText="1"/>
    </xf>
    <xf numFmtId="0" fontId="0" fillId="0" borderId="57" xfId="0" applyBorder="1"/>
    <xf numFmtId="0" fontId="0" fillId="0" borderId="58" xfId="0" applyBorder="1"/>
    <xf numFmtId="0" fontId="43" fillId="3" borderId="22" xfId="0" applyFont="1" applyFill="1"/>
    <xf numFmtId="0" fontId="0" fillId="3" borderId="0" xfId="0" applyFill="1" applyBorder="1"/>
    <xf numFmtId="167" fontId="2" fillId="0" borderId="59" xfId="0" applyNumberFormat="1" applyFont="1" applyBorder="1" applyAlignment="1">
      <alignment horizontal="left" vertical="center" wrapText="1"/>
    </xf>
    <xf numFmtId="0" fontId="0" fillId="0" borderId="62" xfId="0" applyBorder="1"/>
    <xf numFmtId="167" fontId="2" fillId="0" borderId="68" xfId="0" applyNumberFormat="1" applyFont="1" applyBorder="1" applyAlignment="1">
      <alignment horizontal="center" vertical="center" wrapText="1"/>
    </xf>
    <xf numFmtId="0" fontId="0" fillId="0" borderId="61" xfId="0" applyBorder="1"/>
    <xf numFmtId="167" fontId="2" fillId="0" borderId="59" xfId="0" applyNumberFormat="1" applyFont="1" applyBorder="1" applyAlignment="1">
      <alignment horizontal="center" vertical="center" wrapText="1"/>
    </xf>
    <xf numFmtId="166" fontId="3" fillId="4" borderId="26" xfId="0" applyNumberFormat="1" applyFont="1" applyFill="1" applyBorder="1" applyAlignment="1">
      <alignment horizontal="center" vertical="center" wrapText="1"/>
    </xf>
    <xf numFmtId="0" fontId="0" fillId="0" borderId="69" xfId="0" applyBorder="1"/>
    <xf numFmtId="0" fontId="0" fillId="0" borderId="70" xfId="0" applyBorder="1"/>
    <xf numFmtId="0" fontId="26" fillId="2" borderId="22" xfId="0" applyFont="1" applyFill="1" applyAlignment="1">
      <alignment horizontal="center" vertical="center"/>
    </xf>
    <xf numFmtId="0" fontId="14" fillId="3" borderId="0" xfId="0" applyFont="1" applyFill="1" applyBorder="1"/>
    <xf numFmtId="167" fontId="3" fillId="9" borderId="26" xfId="0" applyNumberFormat="1" applyFont="1" applyFill="1" applyBorder="1" applyAlignment="1">
      <alignment horizontal="center" vertical="center" wrapText="1"/>
    </xf>
    <xf numFmtId="0" fontId="0" fillId="0" borderId="72" xfId="0" applyBorder="1"/>
    <xf numFmtId="167" fontId="3" fillId="9" borderId="47" xfId="0" applyNumberFormat="1" applyFont="1" applyFill="1" applyBorder="1" applyAlignment="1">
      <alignment horizontal="center" vertical="center" wrapText="1"/>
    </xf>
    <xf numFmtId="0" fontId="0" fillId="0" borderId="73" xfId="0" applyBorder="1"/>
    <xf numFmtId="0" fontId="2" fillId="8" borderId="22" xfId="0" applyFont="1" applyFill="1" applyAlignment="1">
      <alignment horizontal="center" vertical="center"/>
    </xf>
    <xf numFmtId="167" fontId="3" fillId="9" borderId="25" xfId="0" applyNumberFormat="1" applyFont="1" applyFill="1" applyBorder="1" applyAlignment="1">
      <alignment horizontal="center" vertical="center" wrapText="1"/>
    </xf>
    <xf numFmtId="0" fontId="0" fillId="0" borderId="71" xfId="0" applyBorder="1"/>
    <xf numFmtId="166" fontId="3" fillId="4" borderId="25" xfId="0" applyNumberFormat="1" applyFont="1" applyFill="1" applyBorder="1" applyAlignment="1">
      <alignment horizontal="center" vertical="center" wrapText="1"/>
    </xf>
    <xf numFmtId="167" fontId="27" fillId="16" borderId="26" xfId="0" applyNumberFormat="1" applyFont="1" applyFill="1" applyBorder="1" applyAlignment="1">
      <alignment horizontal="center" vertical="center" wrapText="1"/>
    </xf>
    <xf numFmtId="167" fontId="27" fillId="16" borderId="2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885825</xdr:colOff>
      <xdr:row>5</xdr:row>
      <xdr:rowOff>76200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866775" cy="8667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32"/>
  <sheetViews>
    <sheetView showGridLines="0" tabSelected="1" topLeftCell="A11" zoomScaleNormal="100" workbookViewId="0">
      <pane xSplit="2" topLeftCell="C1" activePane="topRight" state="frozen"/>
      <selection pane="topRight" activeCell="H10" sqref="H10:L22"/>
    </sheetView>
  </sheetViews>
  <sheetFormatPr defaultColWidth="14.453125" defaultRowHeight="15" customHeight="1"/>
  <cols>
    <col min="1" max="1" width="15.81640625" style="252" customWidth="1"/>
    <col min="2" max="2" width="11.81640625" style="252" customWidth="1"/>
    <col min="3" max="3" width="13.81640625" style="252" customWidth="1"/>
    <col min="4" max="4" width="14.81640625" style="169" customWidth="1"/>
    <col min="5" max="5" width="14.81640625" style="252" customWidth="1"/>
    <col min="6" max="6" width="14.81640625" style="194" customWidth="1"/>
    <col min="7" max="7" width="16" style="194" bestFit="1" customWidth="1"/>
    <col min="8" max="8" width="22.36328125" style="252" customWidth="1"/>
    <col min="9" max="29" width="9.1796875" style="252" customWidth="1"/>
    <col min="30" max="33" width="14.453125" style="252" customWidth="1"/>
    <col min="34" max="16384" width="14.453125" style="252"/>
  </cols>
  <sheetData>
    <row r="1" spans="1:29" ht="12.75" customHeight="1">
      <c r="A1" s="2"/>
      <c r="B1" s="2"/>
      <c r="C1" s="2"/>
      <c r="D1" s="18"/>
      <c r="E1" s="2"/>
      <c r="F1" s="49"/>
      <c r="G1" s="49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75" customHeight="1">
      <c r="A2" s="2"/>
      <c r="B2" s="2"/>
      <c r="C2" s="2"/>
      <c r="D2" s="18"/>
      <c r="E2" s="2"/>
      <c r="F2" s="49"/>
      <c r="G2" s="4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2.75" customHeight="1">
      <c r="A3" s="2"/>
      <c r="B3" s="2"/>
      <c r="C3" s="2"/>
      <c r="D3" s="18"/>
      <c r="E3" s="2"/>
      <c r="F3" s="49"/>
      <c r="G3" s="4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2.75" customHeight="1">
      <c r="A4" s="2"/>
      <c r="B4" s="2"/>
      <c r="C4" s="2"/>
      <c r="D4" s="18"/>
      <c r="E4" s="2"/>
      <c r="F4" s="49"/>
      <c r="G4" s="4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2.75" customHeight="1">
      <c r="A5" s="2"/>
      <c r="B5" s="2"/>
      <c r="C5" s="2"/>
      <c r="D5" s="18"/>
      <c r="E5" s="2"/>
      <c r="F5" s="49"/>
      <c r="G5" s="4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2.75" customHeight="1">
      <c r="A6" s="2"/>
      <c r="B6" s="2"/>
      <c r="C6" s="2"/>
      <c r="D6" s="18"/>
      <c r="E6" s="2"/>
      <c r="F6" s="49"/>
      <c r="G6" s="4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2.75" customHeight="1">
      <c r="A7" s="170" t="s">
        <v>0</v>
      </c>
      <c r="B7" s="2"/>
      <c r="C7" s="2"/>
      <c r="D7" s="18"/>
      <c r="E7" s="2"/>
      <c r="F7" s="49"/>
      <c r="G7" s="4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2.75" customHeight="1">
      <c r="A8" s="171"/>
      <c r="B8" s="2"/>
      <c r="C8" s="2"/>
      <c r="D8" s="18"/>
      <c r="E8" s="2"/>
      <c r="F8" s="49"/>
      <c r="G8" s="4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2.75" customHeight="1" thickBot="1">
      <c r="A9" s="171"/>
      <c r="B9" s="2"/>
      <c r="C9" s="2"/>
      <c r="D9" s="18"/>
      <c r="E9" s="2"/>
      <c r="F9" s="49"/>
      <c r="G9" s="4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54.25" customHeight="1" thickBot="1">
      <c r="A10" s="258" t="s">
        <v>1</v>
      </c>
      <c r="B10" s="204" t="s">
        <v>2</v>
      </c>
      <c r="C10" s="36" t="s">
        <v>3</v>
      </c>
      <c r="D10" s="36" t="s">
        <v>4</v>
      </c>
      <c r="E10" s="36" t="s">
        <v>5</v>
      </c>
      <c r="F10" s="36" t="s">
        <v>6</v>
      </c>
      <c r="G10" s="37" t="s">
        <v>7</v>
      </c>
      <c r="H10" s="256" t="s">
        <v>8</v>
      </c>
      <c r="I10" s="257"/>
      <c r="J10" s="257"/>
      <c r="K10" s="257"/>
      <c r="L10" s="25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54.25" customHeight="1">
      <c r="A11" s="259"/>
      <c r="B11" s="178" t="s">
        <v>9</v>
      </c>
      <c r="C11" s="158">
        <v>4423</v>
      </c>
      <c r="D11" s="22">
        <v>5288</v>
      </c>
      <c r="E11" s="22">
        <v>3892</v>
      </c>
      <c r="F11" s="191">
        <v>-0.26399394856278369</v>
      </c>
      <c r="G11" s="191"/>
      <c r="H11" s="257"/>
      <c r="I11" s="257"/>
      <c r="J11" s="257"/>
      <c r="K11" s="257"/>
      <c r="L11" s="25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54.25" customHeight="1">
      <c r="A12" s="259"/>
      <c r="B12" s="179" t="s">
        <v>10</v>
      </c>
      <c r="C12" s="159">
        <v>3490</v>
      </c>
      <c r="D12" s="10">
        <v>5256</v>
      </c>
      <c r="E12" s="10">
        <v>3977</v>
      </c>
      <c r="F12" s="191">
        <v>-0.24334094368340939</v>
      </c>
      <c r="G12" s="191">
        <v>2.1839671120246661E-2</v>
      </c>
      <c r="H12" s="257"/>
      <c r="I12" s="257"/>
      <c r="J12" s="257"/>
      <c r="K12" s="257"/>
      <c r="L12" s="25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54.25" customHeight="1">
      <c r="A13" s="259"/>
      <c r="B13" s="179" t="s">
        <v>11</v>
      </c>
      <c r="C13" s="160">
        <v>5949</v>
      </c>
      <c r="D13" s="28">
        <v>5070</v>
      </c>
      <c r="E13" s="28">
        <v>3790</v>
      </c>
      <c r="F13" s="191">
        <v>-0.25246548323471402</v>
      </c>
      <c r="G13" s="191">
        <v>-4.7020367110887612E-2</v>
      </c>
      <c r="H13" s="257"/>
      <c r="I13" s="257"/>
      <c r="J13" s="257"/>
      <c r="K13" s="257"/>
      <c r="L13" s="25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54.25" customHeight="1">
      <c r="A14" s="259"/>
      <c r="B14" s="179" t="s">
        <v>12</v>
      </c>
      <c r="C14" s="159">
        <v>4715</v>
      </c>
      <c r="D14" s="10">
        <v>3677</v>
      </c>
      <c r="E14" s="10">
        <v>3697</v>
      </c>
      <c r="F14" s="191">
        <v>5.4392167527875989E-3</v>
      </c>
      <c r="G14" s="191">
        <v>-2.453825857519789E-2</v>
      </c>
      <c r="H14" s="257"/>
      <c r="I14" s="257"/>
      <c r="J14" s="257"/>
      <c r="K14" s="257"/>
      <c r="L14" s="25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54.25" customHeight="1">
      <c r="A15" s="259"/>
      <c r="B15" s="229" t="s">
        <v>13</v>
      </c>
      <c r="C15" s="159">
        <v>4459</v>
      </c>
      <c r="D15" s="10">
        <v>3976</v>
      </c>
      <c r="E15" s="10">
        <v>3586</v>
      </c>
      <c r="F15" s="191">
        <v>-9.8088531187122741E-2</v>
      </c>
      <c r="G15" s="191">
        <v>-3.0024344062753582E-2</v>
      </c>
      <c r="H15" s="257"/>
      <c r="I15" s="257"/>
      <c r="J15" s="257"/>
      <c r="K15" s="257"/>
      <c r="L15" s="25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54.25" customHeight="1">
      <c r="A16" s="259"/>
      <c r="B16" s="230" t="s">
        <v>14</v>
      </c>
      <c r="C16" s="159">
        <v>4134</v>
      </c>
      <c r="D16" s="10">
        <v>3401</v>
      </c>
      <c r="E16" s="10">
        <v>3382</v>
      </c>
      <c r="F16" s="191">
        <v>-5.5865921787709499E-3</v>
      </c>
      <c r="G16" s="191">
        <v>-5.6887897378694922E-2</v>
      </c>
      <c r="H16" s="257"/>
      <c r="I16" s="257"/>
      <c r="J16" s="257"/>
      <c r="K16" s="257"/>
      <c r="L16" s="25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30" ht="54.25" customHeight="1">
      <c r="A17" s="259"/>
      <c r="B17" s="229" t="s">
        <v>15</v>
      </c>
      <c r="C17" s="159">
        <v>4223</v>
      </c>
      <c r="D17" s="10">
        <v>3973</v>
      </c>
      <c r="E17" s="10">
        <v>3211</v>
      </c>
      <c r="F17" s="191">
        <v>-0.19179461364208411</v>
      </c>
      <c r="G17" s="191">
        <v>-5.0561797752808987E-2</v>
      </c>
      <c r="H17" s="257"/>
      <c r="I17" s="257"/>
      <c r="J17" s="257"/>
      <c r="K17" s="257"/>
      <c r="L17" s="25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30" ht="54.25" customHeight="1">
      <c r="A18" s="259"/>
      <c r="B18" s="229" t="s">
        <v>16</v>
      </c>
      <c r="C18" s="159">
        <v>4206</v>
      </c>
      <c r="D18" s="10">
        <v>4212</v>
      </c>
      <c r="E18" s="10">
        <v>2944</v>
      </c>
      <c r="F18" s="191">
        <v>-0.30104463437796769</v>
      </c>
      <c r="G18" s="191">
        <v>-8.315166614761757E-2</v>
      </c>
      <c r="H18" s="257"/>
      <c r="I18" s="257"/>
      <c r="J18" s="257"/>
      <c r="K18" s="257"/>
      <c r="L18" s="25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30" ht="54.25" customHeight="1">
      <c r="A19" s="259"/>
      <c r="B19" s="229" t="s">
        <v>17</v>
      </c>
      <c r="C19" s="159">
        <v>4465</v>
      </c>
      <c r="D19" s="10">
        <v>3988</v>
      </c>
      <c r="E19" s="10"/>
      <c r="F19" s="191"/>
      <c r="G19" s="205"/>
      <c r="H19" s="257"/>
      <c r="I19" s="257"/>
      <c r="J19" s="257"/>
      <c r="K19" s="257"/>
      <c r="L19" s="25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30" ht="54.25" customHeight="1">
      <c r="A20" s="259"/>
      <c r="B20" s="229" t="s">
        <v>18</v>
      </c>
      <c r="C20" s="159">
        <v>5189</v>
      </c>
      <c r="D20" s="10">
        <v>4409</v>
      </c>
      <c r="E20" s="10"/>
      <c r="F20" s="191"/>
      <c r="G20" s="205"/>
      <c r="H20" s="257"/>
      <c r="I20" s="257"/>
      <c r="J20" s="257"/>
      <c r="K20" s="257"/>
      <c r="L20" s="25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30" ht="54.25" customHeight="1">
      <c r="A21" s="259"/>
      <c r="B21" s="229" t="s">
        <v>19</v>
      </c>
      <c r="C21" s="159">
        <v>5034</v>
      </c>
      <c r="D21" s="10">
        <v>3642</v>
      </c>
      <c r="E21" s="10"/>
      <c r="F21" s="191"/>
      <c r="G21" s="206"/>
      <c r="H21" s="257"/>
      <c r="I21" s="257"/>
      <c r="J21" s="257"/>
      <c r="K21" s="257"/>
      <c r="L21" s="25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30" ht="54.25" customHeight="1" thickBot="1">
      <c r="A22" s="260"/>
      <c r="B22" s="231" t="s">
        <v>20</v>
      </c>
      <c r="C22" s="161">
        <v>3966</v>
      </c>
      <c r="D22" s="189">
        <v>3395</v>
      </c>
      <c r="E22" s="48"/>
      <c r="F22" s="207"/>
      <c r="G22" s="206"/>
      <c r="H22" s="257"/>
      <c r="I22" s="257"/>
      <c r="J22" s="257"/>
      <c r="K22" s="257"/>
      <c r="L22" s="25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30" ht="19.5" customHeight="1" thickBot="1">
      <c r="A23" s="2"/>
      <c r="B23" s="38" t="s">
        <v>21</v>
      </c>
      <c r="C23" s="39">
        <v>54253</v>
      </c>
      <c r="D23" s="39">
        <v>50287</v>
      </c>
      <c r="E23" s="188">
        <v>28479</v>
      </c>
      <c r="F23" s="208"/>
      <c r="G23" s="19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30" ht="19.5" customHeight="1" thickBot="1">
      <c r="A24" s="2"/>
      <c r="B24" s="39" t="s">
        <v>22</v>
      </c>
      <c r="C24" s="40"/>
      <c r="D24" s="40">
        <v>-7.3101948279357828E-2</v>
      </c>
      <c r="E24" s="40"/>
      <c r="F24" s="40">
        <v>-0.18288239175967641</v>
      </c>
      <c r="G24" s="227">
        <v>-8.315166614761757E-2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30" ht="19.5" customHeight="1" thickBot="1">
      <c r="A25" s="2"/>
      <c r="B25" s="45"/>
      <c r="C25" s="46"/>
      <c r="D25" s="46"/>
      <c r="E25" s="46"/>
      <c r="F25" s="46"/>
      <c r="G25" s="4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30" ht="54.25" customHeight="1" thickBot="1">
      <c r="A26" s="263" t="s">
        <v>23</v>
      </c>
      <c r="B26" s="26" t="s">
        <v>2</v>
      </c>
      <c r="C26" s="175" t="s">
        <v>24</v>
      </c>
      <c r="D26" s="3" t="s">
        <v>25</v>
      </c>
      <c r="E26" s="3" t="s">
        <v>26</v>
      </c>
      <c r="F26" s="3" t="s">
        <v>6</v>
      </c>
      <c r="G26" s="3" t="s">
        <v>7</v>
      </c>
      <c r="H26" s="256" t="s">
        <v>27</v>
      </c>
      <c r="I26" s="257"/>
      <c r="J26" s="257"/>
      <c r="K26" s="257"/>
      <c r="L26" s="257"/>
      <c r="M26" s="2"/>
      <c r="N26" s="2"/>
      <c r="O26" s="2"/>
      <c r="P26" s="2"/>
      <c r="Q26" s="2"/>
      <c r="R26" s="2"/>
      <c r="S26" s="2"/>
      <c r="T26" s="255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</row>
    <row r="27" spans="1:30" ht="54.25" customHeight="1">
      <c r="A27" s="264"/>
      <c r="B27" s="182" t="s">
        <v>9</v>
      </c>
      <c r="C27" s="176">
        <v>2112</v>
      </c>
      <c r="D27" s="22">
        <v>3170</v>
      </c>
      <c r="E27" s="22">
        <v>2412</v>
      </c>
      <c r="F27" s="191">
        <v>-0.2391167192429022</v>
      </c>
      <c r="G27" s="191"/>
      <c r="H27" s="257"/>
      <c r="I27" s="257"/>
      <c r="J27" s="257"/>
      <c r="K27" s="257"/>
      <c r="L27" s="257"/>
      <c r="M27" s="2"/>
      <c r="N27" s="2"/>
      <c r="O27" s="2"/>
      <c r="P27" s="2"/>
      <c r="Q27" s="2"/>
      <c r="R27" s="2"/>
      <c r="S27" s="2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</row>
    <row r="28" spans="1:30" ht="54.25" customHeight="1">
      <c r="A28" s="264"/>
      <c r="B28" s="180" t="s">
        <v>10</v>
      </c>
      <c r="C28" s="177">
        <v>1854</v>
      </c>
      <c r="D28" s="10">
        <v>2627</v>
      </c>
      <c r="E28" s="10">
        <v>2406</v>
      </c>
      <c r="F28" s="191">
        <v>-8.4126379901027795E-2</v>
      </c>
      <c r="G28" s="191">
        <v>-2.4875621890547259E-3</v>
      </c>
      <c r="H28" s="257"/>
      <c r="I28" s="257"/>
      <c r="J28" s="257"/>
      <c r="K28" s="257"/>
      <c r="L28" s="257"/>
      <c r="M28" s="2"/>
      <c r="N28" s="2"/>
      <c r="O28" s="2"/>
      <c r="P28" s="2"/>
      <c r="Q28" s="2"/>
      <c r="R28" s="2"/>
      <c r="S28" s="2"/>
      <c r="T28" s="255"/>
      <c r="U28" s="255"/>
      <c r="V28" s="255"/>
      <c r="W28" s="255"/>
      <c r="X28" s="255"/>
      <c r="Y28" s="255"/>
      <c r="Z28" s="255"/>
      <c r="AA28" s="255"/>
      <c r="AB28" s="255"/>
      <c r="AC28" s="255"/>
      <c r="AD28" s="255"/>
    </row>
    <row r="29" spans="1:30" ht="54.25" customHeight="1">
      <c r="A29" s="264"/>
      <c r="B29" s="180" t="s">
        <v>11</v>
      </c>
      <c r="C29" s="202">
        <v>3485</v>
      </c>
      <c r="D29" s="28">
        <v>3089</v>
      </c>
      <c r="E29" s="28">
        <v>2294</v>
      </c>
      <c r="F29" s="191">
        <v>-0.25736484299125928</v>
      </c>
      <c r="G29" s="191">
        <v>-4.6550290939318367E-2</v>
      </c>
      <c r="H29" s="257"/>
      <c r="I29" s="257"/>
      <c r="J29" s="257"/>
      <c r="K29" s="257"/>
      <c r="L29" s="257"/>
      <c r="M29" s="2"/>
      <c r="N29" s="2"/>
      <c r="O29" s="2"/>
      <c r="P29" s="2"/>
      <c r="Q29" s="2"/>
      <c r="R29" s="2"/>
      <c r="S29" s="2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</row>
    <row r="30" spans="1:30" ht="54.25" customHeight="1">
      <c r="A30" s="264"/>
      <c r="B30" s="180" t="s">
        <v>12</v>
      </c>
      <c r="C30" s="177">
        <v>2799</v>
      </c>
      <c r="D30" s="10">
        <v>2155</v>
      </c>
      <c r="E30" s="10">
        <v>2194</v>
      </c>
      <c r="F30" s="191">
        <v>1.809744779582367E-2</v>
      </c>
      <c r="G30" s="191">
        <v>-4.3591979075850038E-2</v>
      </c>
      <c r="H30" s="257"/>
      <c r="I30" s="257"/>
      <c r="J30" s="257"/>
      <c r="K30" s="257"/>
      <c r="L30" s="257"/>
      <c r="M30" s="2"/>
      <c r="N30" s="2"/>
      <c r="O30" s="2"/>
      <c r="P30" s="2"/>
      <c r="Q30" s="2"/>
      <c r="R30" s="2"/>
      <c r="S30" s="2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</row>
    <row r="31" spans="1:30" ht="54.25" customHeight="1">
      <c r="A31" s="264"/>
      <c r="B31" s="232" t="s">
        <v>13</v>
      </c>
      <c r="C31" s="177">
        <v>2567</v>
      </c>
      <c r="D31" s="10">
        <v>2585</v>
      </c>
      <c r="E31" s="10">
        <v>1980</v>
      </c>
      <c r="F31" s="191">
        <v>-0.23404255319148939</v>
      </c>
      <c r="G31" s="191">
        <v>-9.7538742023700997E-2</v>
      </c>
      <c r="H31" s="257"/>
      <c r="I31" s="257"/>
      <c r="J31" s="257"/>
      <c r="K31" s="257"/>
      <c r="L31" s="257"/>
      <c r="M31" s="2"/>
      <c r="N31" s="2"/>
      <c r="O31" s="2"/>
      <c r="P31" s="2"/>
      <c r="Q31" s="2"/>
      <c r="R31" s="2"/>
      <c r="S31" s="2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</row>
    <row r="32" spans="1:30" ht="54.25" customHeight="1">
      <c r="A32" s="264"/>
      <c r="B32" s="233" t="s">
        <v>14</v>
      </c>
      <c r="C32" s="177">
        <v>2347</v>
      </c>
      <c r="D32" s="10">
        <v>2000</v>
      </c>
      <c r="E32" s="10">
        <v>1926</v>
      </c>
      <c r="F32" s="191">
        <v>-3.6999999999999998E-2</v>
      </c>
      <c r="G32" s="191">
        <v>-2.7272727272727271E-2</v>
      </c>
      <c r="H32" s="257"/>
      <c r="I32" s="257"/>
      <c r="J32" s="257"/>
      <c r="K32" s="257"/>
      <c r="L32" s="257"/>
      <c r="M32" s="2"/>
      <c r="N32" s="2"/>
      <c r="O32" s="2"/>
      <c r="P32" s="2"/>
      <c r="Q32" s="2"/>
      <c r="R32" s="2"/>
      <c r="S32" s="2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</row>
    <row r="33" spans="1:30" ht="54.25" customHeight="1">
      <c r="A33" s="264"/>
      <c r="B33" s="232" t="s">
        <v>15</v>
      </c>
      <c r="C33" s="177">
        <v>2467</v>
      </c>
      <c r="D33" s="10">
        <v>2274</v>
      </c>
      <c r="E33" s="10">
        <v>1987</v>
      </c>
      <c r="F33" s="191">
        <v>-0.1262093227792436</v>
      </c>
      <c r="G33" s="191">
        <v>3.1671858774662512E-2</v>
      </c>
      <c r="H33" s="257"/>
      <c r="I33" s="257"/>
      <c r="J33" s="257"/>
      <c r="K33" s="257"/>
      <c r="L33" s="257"/>
      <c r="M33" s="2"/>
      <c r="N33" s="2"/>
      <c r="O33" s="2"/>
      <c r="P33" s="2"/>
      <c r="Q33" s="2"/>
      <c r="R33" s="2"/>
      <c r="S33" s="2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</row>
    <row r="34" spans="1:30" ht="54.25" customHeight="1">
      <c r="A34" s="264"/>
      <c r="B34" s="232" t="s">
        <v>16</v>
      </c>
      <c r="C34" s="177">
        <v>2543</v>
      </c>
      <c r="D34" s="10">
        <v>2495</v>
      </c>
      <c r="E34" s="10">
        <v>1644</v>
      </c>
      <c r="F34" s="191">
        <v>-0.34108216432865729</v>
      </c>
      <c r="G34" s="191">
        <v>-0.1726220432813286</v>
      </c>
      <c r="H34" s="257"/>
      <c r="I34" s="257"/>
      <c r="J34" s="257"/>
      <c r="K34" s="257"/>
      <c r="L34" s="257"/>
      <c r="M34" s="2"/>
      <c r="N34" s="2"/>
      <c r="O34" s="2"/>
      <c r="P34" s="2"/>
      <c r="Q34" s="2"/>
      <c r="R34" s="2"/>
      <c r="S34" s="2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</row>
    <row r="35" spans="1:30" ht="54.25" customHeight="1">
      <c r="A35" s="264"/>
      <c r="B35" s="232" t="s">
        <v>17</v>
      </c>
      <c r="C35" s="177">
        <v>2774</v>
      </c>
      <c r="D35" s="10">
        <v>2480</v>
      </c>
      <c r="E35" s="10"/>
      <c r="F35" s="191"/>
      <c r="G35" s="205"/>
      <c r="H35" s="257"/>
      <c r="I35" s="257"/>
      <c r="J35" s="257"/>
      <c r="K35" s="257"/>
      <c r="L35" s="257"/>
      <c r="M35" s="2"/>
      <c r="N35" s="2"/>
      <c r="O35" s="2"/>
      <c r="P35" s="2"/>
      <c r="Q35" s="2"/>
      <c r="R35" s="2"/>
      <c r="S35" s="2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</row>
    <row r="36" spans="1:30" ht="54.25" customHeight="1">
      <c r="A36" s="264"/>
      <c r="B36" s="232" t="s">
        <v>18</v>
      </c>
      <c r="C36" s="177">
        <v>2871</v>
      </c>
      <c r="D36" s="10">
        <v>2560</v>
      </c>
      <c r="E36" s="10"/>
      <c r="F36" s="191"/>
      <c r="G36" s="205"/>
      <c r="H36" s="257"/>
      <c r="I36" s="257"/>
      <c r="J36" s="257"/>
      <c r="K36" s="257"/>
      <c r="L36" s="257"/>
      <c r="M36" s="2"/>
      <c r="N36" s="2"/>
      <c r="O36" s="2"/>
      <c r="P36" s="2"/>
      <c r="Q36" s="2"/>
      <c r="R36" s="2"/>
      <c r="S36" s="2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</row>
    <row r="37" spans="1:30" ht="54.25" customHeight="1">
      <c r="A37" s="264"/>
      <c r="B37" s="232" t="s">
        <v>19</v>
      </c>
      <c r="C37" s="177">
        <v>2938</v>
      </c>
      <c r="D37" s="10">
        <v>2127</v>
      </c>
      <c r="E37" s="10"/>
      <c r="F37" s="191"/>
      <c r="G37" s="206"/>
      <c r="H37" s="257"/>
      <c r="I37" s="257"/>
      <c r="J37" s="257"/>
      <c r="K37" s="257"/>
      <c r="L37" s="257"/>
      <c r="M37" s="2"/>
      <c r="N37" s="2"/>
      <c r="O37" s="2"/>
      <c r="P37" s="2"/>
      <c r="Q37" s="2"/>
      <c r="R37" s="2"/>
      <c r="S37" s="2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</row>
    <row r="38" spans="1:30" ht="54.25" customHeight="1" thickBot="1">
      <c r="A38" s="265"/>
      <c r="B38" s="234" t="s">
        <v>20</v>
      </c>
      <c r="C38" s="203">
        <v>2268</v>
      </c>
      <c r="D38" s="190">
        <v>1925</v>
      </c>
      <c r="E38" s="48"/>
      <c r="F38" s="207"/>
      <c r="G38" s="206"/>
      <c r="H38" s="257"/>
      <c r="I38" s="257"/>
      <c r="J38" s="257"/>
      <c r="K38" s="257"/>
      <c r="L38" s="257"/>
      <c r="M38" s="2"/>
      <c r="N38" s="2"/>
      <c r="O38" s="2"/>
      <c r="P38" s="2"/>
      <c r="Q38" s="2"/>
      <c r="R38" s="2"/>
      <c r="S38" s="2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</row>
    <row r="39" spans="1:30" ht="19.5" customHeight="1" thickBot="1">
      <c r="A39" s="2"/>
      <c r="B39" s="38" t="s">
        <v>21</v>
      </c>
      <c r="C39" s="38">
        <v>31025</v>
      </c>
      <c r="D39" s="38">
        <v>29487</v>
      </c>
      <c r="E39" s="188">
        <v>16843</v>
      </c>
      <c r="F39" s="208"/>
      <c r="G39" s="19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</row>
    <row r="40" spans="1:30" ht="19.5" customHeight="1" thickBot="1">
      <c r="A40" s="2"/>
      <c r="B40" s="39" t="s">
        <v>22</v>
      </c>
      <c r="C40" s="40"/>
      <c r="D40" s="40">
        <v>-4.9572925060435133E-2</v>
      </c>
      <c r="E40" s="40"/>
      <c r="F40" s="40">
        <v>-0.17416033341505269</v>
      </c>
      <c r="G40" s="227">
        <v>-0.1726220432813286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</row>
    <row r="41" spans="1:30" ht="19.5" customHeight="1">
      <c r="A41" s="2"/>
      <c r="B41" s="45"/>
      <c r="C41" s="46"/>
      <c r="D41" s="46"/>
      <c r="E41" s="46"/>
      <c r="F41" s="46"/>
      <c r="G41" s="4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30" ht="12.75" customHeight="1" thickBot="1">
      <c r="A42" s="2"/>
      <c r="B42" s="235"/>
      <c r="C42" s="2"/>
      <c r="D42" s="18"/>
      <c r="E42" s="2"/>
      <c r="F42" s="49"/>
      <c r="G42" s="4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30" ht="58.75" customHeight="1" thickBot="1">
      <c r="A43" s="258" t="s">
        <v>28</v>
      </c>
      <c r="B43" s="4" t="s">
        <v>2</v>
      </c>
      <c r="C43" s="3" t="s">
        <v>3</v>
      </c>
      <c r="D43" s="3" t="s">
        <v>4</v>
      </c>
      <c r="E43" s="3" t="s">
        <v>5</v>
      </c>
      <c r="F43" s="3" t="s">
        <v>6</v>
      </c>
      <c r="G43" s="3" t="s">
        <v>7</v>
      </c>
      <c r="H43" s="256" t="s">
        <v>29</v>
      </c>
      <c r="I43" s="257"/>
      <c r="J43" s="257"/>
      <c r="K43" s="257"/>
      <c r="L43" s="25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30" ht="58.75" customHeight="1">
      <c r="A44" s="259"/>
      <c r="B44" s="172" t="s">
        <v>9</v>
      </c>
      <c r="C44" s="158">
        <v>983</v>
      </c>
      <c r="D44" s="22">
        <v>1342</v>
      </c>
      <c r="E44" s="22">
        <v>1121</v>
      </c>
      <c r="F44" s="191">
        <v>-0.1646795827123696</v>
      </c>
      <c r="G44" s="191"/>
      <c r="H44" s="257"/>
      <c r="I44" s="257"/>
      <c r="J44" s="257"/>
      <c r="K44" s="257"/>
      <c r="L44" s="25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30" ht="58.75" customHeight="1">
      <c r="A45" s="259"/>
      <c r="B45" s="173" t="s">
        <v>10</v>
      </c>
      <c r="C45" s="159">
        <v>1033</v>
      </c>
      <c r="D45" s="10">
        <v>1141</v>
      </c>
      <c r="E45" s="10">
        <v>1061</v>
      </c>
      <c r="F45" s="191">
        <v>-7.0113935144609993E-2</v>
      </c>
      <c r="G45" s="191">
        <v>-5.352363960749331E-2</v>
      </c>
      <c r="H45" s="257"/>
      <c r="I45" s="257"/>
      <c r="J45" s="257"/>
      <c r="K45" s="257"/>
      <c r="L45" s="25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30" ht="58.75" customHeight="1">
      <c r="A46" s="259"/>
      <c r="B46" s="173" t="s">
        <v>11</v>
      </c>
      <c r="C46" s="159">
        <v>1566</v>
      </c>
      <c r="D46" s="10">
        <v>1081</v>
      </c>
      <c r="E46" s="10">
        <v>1216</v>
      </c>
      <c r="F46" s="191">
        <v>0.1248843663274746</v>
      </c>
      <c r="G46" s="191">
        <v>0.1460885956644675</v>
      </c>
      <c r="H46" s="257"/>
      <c r="I46" s="257"/>
      <c r="J46" s="257"/>
      <c r="K46" s="257"/>
      <c r="L46" s="25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30" ht="58.75" customHeight="1">
      <c r="A47" s="259"/>
      <c r="B47" s="173" t="s">
        <v>12</v>
      </c>
      <c r="C47" s="159">
        <v>1458</v>
      </c>
      <c r="D47" s="10">
        <v>1069</v>
      </c>
      <c r="E47" s="10">
        <v>1156</v>
      </c>
      <c r="F47" s="191">
        <v>8.1384471468662303E-2</v>
      </c>
      <c r="G47" s="191">
        <v>-4.9342105263157902E-2</v>
      </c>
      <c r="H47" s="257"/>
      <c r="I47" s="257"/>
      <c r="J47" s="257"/>
      <c r="K47" s="257"/>
      <c r="L47" s="25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30" ht="58.75" customHeight="1">
      <c r="A48" s="259"/>
      <c r="B48" s="236" t="s">
        <v>13</v>
      </c>
      <c r="C48" s="159">
        <v>1235</v>
      </c>
      <c r="D48" s="10">
        <v>1213</v>
      </c>
      <c r="E48" s="10">
        <v>1010</v>
      </c>
      <c r="F48" s="191">
        <v>-0.16735366859027209</v>
      </c>
      <c r="G48" s="191">
        <v>-0.1262975778546713</v>
      </c>
      <c r="H48" s="257"/>
      <c r="I48" s="257"/>
      <c r="J48" s="257"/>
      <c r="K48" s="257"/>
      <c r="L48" s="25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58.75" customHeight="1">
      <c r="A49" s="259"/>
      <c r="B49" s="237" t="s">
        <v>14</v>
      </c>
      <c r="C49" s="159">
        <v>1110</v>
      </c>
      <c r="D49" s="10">
        <v>930</v>
      </c>
      <c r="E49" s="10">
        <v>863</v>
      </c>
      <c r="F49" s="191">
        <v>-7.2043010752688166E-2</v>
      </c>
      <c r="G49" s="191">
        <v>-0.14554455445544551</v>
      </c>
      <c r="H49" s="257"/>
      <c r="I49" s="257"/>
      <c r="J49" s="257"/>
      <c r="K49" s="257"/>
      <c r="L49" s="25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58.75" customHeight="1">
      <c r="A50" s="259"/>
      <c r="B50" s="236" t="s">
        <v>15</v>
      </c>
      <c r="C50" s="159">
        <v>1167</v>
      </c>
      <c r="D50" s="10">
        <v>1044</v>
      </c>
      <c r="E50" s="10">
        <v>893</v>
      </c>
      <c r="F50" s="191">
        <v>-0.1446360153256705</v>
      </c>
      <c r="G50" s="191">
        <v>3.4762456546929318E-2</v>
      </c>
      <c r="H50" s="257"/>
      <c r="I50" s="257"/>
      <c r="J50" s="257"/>
      <c r="K50" s="257"/>
      <c r="L50" s="25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58.75" customHeight="1">
      <c r="A51" s="259"/>
      <c r="B51" s="236" t="s">
        <v>16</v>
      </c>
      <c r="C51" s="159">
        <v>1193</v>
      </c>
      <c r="D51" s="10">
        <v>914</v>
      </c>
      <c r="E51" s="10">
        <v>859</v>
      </c>
      <c r="F51" s="191">
        <v>-6.0175054704595193E-2</v>
      </c>
      <c r="G51" s="191">
        <v>-3.8073908174692049E-2</v>
      </c>
      <c r="H51" s="257"/>
      <c r="I51" s="257"/>
      <c r="J51" s="257"/>
      <c r="K51" s="257"/>
      <c r="L51" s="25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8.75" customHeight="1">
      <c r="A52" s="259"/>
      <c r="B52" s="236" t="s">
        <v>17</v>
      </c>
      <c r="C52" s="159">
        <v>1283</v>
      </c>
      <c r="D52" s="10">
        <v>1016</v>
      </c>
      <c r="E52" s="10"/>
      <c r="F52" s="191"/>
      <c r="G52" s="205"/>
      <c r="H52" s="257"/>
      <c r="I52" s="257"/>
      <c r="J52" s="257"/>
      <c r="K52" s="257"/>
      <c r="L52" s="25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58.75" customHeight="1">
      <c r="A53" s="259"/>
      <c r="B53" s="236" t="s">
        <v>18</v>
      </c>
      <c r="C53" s="159">
        <v>1423</v>
      </c>
      <c r="D53" s="10">
        <v>1190</v>
      </c>
      <c r="E53" s="10"/>
      <c r="F53" s="191"/>
      <c r="G53" s="205"/>
      <c r="H53" s="257"/>
      <c r="I53" s="257"/>
      <c r="J53" s="257"/>
      <c r="K53" s="257"/>
      <c r="L53" s="25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58.75" customHeight="1">
      <c r="A54" s="259"/>
      <c r="B54" s="236" t="s">
        <v>19</v>
      </c>
      <c r="C54" s="159">
        <v>1544</v>
      </c>
      <c r="D54" s="10">
        <v>937</v>
      </c>
      <c r="E54" s="10"/>
      <c r="F54" s="191"/>
      <c r="G54" s="206"/>
      <c r="H54" s="257"/>
      <c r="I54" s="257"/>
      <c r="J54" s="257"/>
      <c r="K54" s="257"/>
      <c r="L54" s="25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58.75" customHeight="1" thickBot="1">
      <c r="A55" s="260"/>
      <c r="B55" s="238" t="s">
        <v>20</v>
      </c>
      <c r="C55" s="159">
        <v>1155</v>
      </c>
      <c r="D55" s="42">
        <v>968</v>
      </c>
      <c r="E55" s="48"/>
      <c r="F55" s="207"/>
      <c r="G55" s="206"/>
      <c r="H55" s="257"/>
      <c r="I55" s="257"/>
      <c r="J55" s="257"/>
      <c r="K55" s="257"/>
      <c r="L55" s="25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20.25" customHeight="1" thickBot="1">
      <c r="A56" s="2"/>
      <c r="B56" s="38" t="s">
        <v>21</v>
      </c>
      <c r="C56" s="39">
        <v>15150</v>
      </c>
      <c r="D56" s="39">
        <v>12845</v>
      </c>
      <c r="E56" s="188">
        <v>8179</v>
      </c>
      <c r="F56" s="208"/>
      <c r="G56" s="19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21" customHeight="1" thickBot="1">
      <c r="A57" s="2"/>
      <c r="B57" s="39" t="s">
        <v>22</v>
      </c>
      <c r="C57" s="40"/>
      <c r="D57" s="40">
        <v>-0.1521452145214521</v>
      </c>
      <c r="E57" s="40"/>
      <c r="F57" s="40">
        <v>-6.3544767574994276E-2</v>
      </c>
      <c r="G57" s="227">
        <v>-3.8073908174692049E-2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2.75" customHeight="1" thickBot="1">
      <c r="A58" s="2"/>
      <c r="B58" s="235"/>
      <c r="C58" s="2"/>
      <c r="D58" s="18"/>
      <c r="E58" s="2"/>
      <c r="F58" s="49"/>
      <c r="G58" s="4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60" customHeight="1" thickBot="1">
      <c r="A59" s="258" t="s">
        <v>30</v>
      </c>
      <c r="B59" s="4" t="s">
        <v>2</v>
      </c>
      <c r="C59" s="3" t="s">
        <v>3</v>
      </c>
      <c r="D59" s="3" t="s">
        <v>4</v>
      </c>
      <c r="E59" s="3" t="s">
        <v>5</v>
      </c>
      <c r="F59" s="3" t="s">
        <v>6</v>
      </c>
      <c r="G59" s="3" t="s">
        <v>7</v>
      </c>
      <c r="H59" s="256" t="s">
        <v>31</v>
      </c>
      <c r="I59" s="257"/>
      <c r="J59" s="257"/>
      <c r="K59" s="257"/>
      <c r="L59" s="257"/>
      <c r="M59" s="11"/>
      <c r="N59" s="11"/>
      <c r="O59" s="11"/>
      <c r="P59" s="11"/>
      <c r="Q59" s="1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60" customHeight="1">
      <c r="A60" s="259"/>
      <c r="B60" s="172" t="s">
        <v>9</v>
      </c>
      <c r="C60" s="158">
        <v>3113</v>
      </c>
      <c r="D60" s="22">
        <v>3688</v>
      </c>
      <c r="E60" s="22">
        <v>2570</v>
      </c>
      <c r="F60" s="191">
        <v>-0.30314533622559647</v>
      </c>
      <c r="G60" s="191"/>
      <c r="H60" s="257"/>
      <c r="I60" s="257"/>
      <c r="J60" s="257"/>
      <c r="K60" s="257"/>
      <c r="L60" s="25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60" customHeight="1">
      <c r="A61" s="259"/>
      <c r="B61" s="173" t="s">
        <v>10</v>
      </c>
      <c r="C61" s="159">
        <v>2187</v>
      </c>
      <c r="D61" s="10">
        <v>2955</v>
      </c>
      <c r="E61" s="10">
        <v>2434</v>
      </c>
      <c r="F61" s="191">
        <v>-0.1763113367174281</v>
      </c>
      <c r="G61" s="191">
        <v>-5.291828793774319E-2</v>
      </c>
      <c r="H61" s="257"/>
      <c r="I61" s="257"/>
      <c r="J61" s="257"/>
      <c r="K61" s="257"/>
      <c r="L61" s="25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60" customHeight="1">
      <c r="A62" s="259"/>
      <c r="B62" s="173" t="s">
        <v>11</v>
      </c>
      <c r="C62" s="159">
        <v>3997</v>
      </c>
      <c r="D62" s="10">
        <v>3112</v>
      </c>
      <c r="E62" s="10">
        <v>2313</v>
      </c>
      <c r="F62" s="191">
        <v>-0.25674807197943439</v>
      </c>
      <c r="G62" s="191">
        <v>-4.9712407559572722E-2</v>
      </c>
      <c r="H62" s="257"/>
      <c r="I62" s="257"/>
      <c r="J62" s="257"/>
      <c r="K62" s="257"/>
      <c r="L62" s="25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60" customHeight="1">
      <c r="A63" s="259"/>
      <c r="B63" s="173" t="s">
        <v>12</v>
      </c>
      <c r="C63" s="159">
        <v>3097</v>
      </c>
      <c r="D63" s="10">
        <v>2321</v>
      </c>
      <c r="E63" s="10">
        <v>2279</v>
      </c>
      <c r="F63" s="191">
        <v>-1.8095648427401981E-2</v>
      </c>
      <c r="G63" s="191">
        <v>-1.469952442715089E-2</v>
      </c>
      <c r="H63" s="257"/>
      <c r="I63" s="257"/>
      <c r="J63" s="257"/>
      <c r="K63" s="257"/>
      <c r="L63" s="25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60" customHeight="1">
      <c r="A64" s="259"/>
      <c r="B64" s="236" t="s">
        <v>13</v>
      </c>
      <c r="C64" s="159">
        <v>2705</v>
      </c>
      <c r="D64" s="10">
        <v>2439</v>
      </c>
      <c r="E64" s="10">
        <v>2124</v>
      </c>
      <c r="F64" s="191">
        <v>-0.1291512915129151</v>
      </c>
      <c r="G64" s="191">
        <v>-6.801228609039052E-2</v>
      </c>
      <c r="H64" s="257"/>
      <c r="I64" s="257"/>
      <c r="J64" s="257"/>
      <c r="K64" s="257"/>
      <c r="L64" s="25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60" customHeight="1">
      <c r="A65" s="259"/>
      <c r="B65" s="237" t="s">
        <v>14</v>
      </c>
      <c r="C65" s="159">
        <v>2418</v>
      </c>
      <c r="D65" s="10">
        <v>2088</v>
      </c>
      <c r="E65" s="10">
        <v>1739</v>
      </c>
      <c r="F65" s="191">
        <v>-0.1671455938697318</v>
      </c>
      <c r="G65" s="191">
        <v>-0.1812617702448211</v>
      </c>
      <c r="H65" s="257"/>
      <c r="I65" s="257"/>
      <c r="J65" s="257"/>
      <c r="K65" s="257"/>
      <c r="L65" s="25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60" customHeight="1">
      <c r="A66" s="259"/>
      <c r="B66" s="236" t="s">
        <v>15</v>
      </c>
      <c r="C66" s="159">
        <v>2531</v>
      </c>
      <c r="D66" s="10">
        <v>2371</v>
      </c>
      <c r="E66" s="10">
        <v>1627</v>
      </c>
      <c r="F66" s="191">
        <v>-0.31379164909320961</v>
      </c>
      <c r="G66" s="191">
        <v>-6.4404830362277177E-2</v>
      </c>
      <c r="H66" s="257"/>
      <c r="I66" s="257"/>
      <c r="J66" s="257"/>
      <c r="K66" s="257"/>
      <c r="L66" s="25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60" customHeight="1">
      <c r="A67" s="259"/>
      <c r="B67" s="236" t="s">
        <v>16</v>
      </c>
      <c r="C67" s="159">
        <v>2550</v>
      </c>
      <c r="D67" s="10">
        <v>2388</v>
      </c>
      <c r="E67" s="10">
        <v>1519</v>
      </c>
      <c r="F67" s="191">
        <v>-0.36390284757118929</v>
      </c>
      <c r="G67" s="191">
        <v>-6.6379840196681014E-2</v>
      </c>
      <c r="H67" s="257"/>
      <c r="I67" s="257"/>
      <c r="J67" s="257"/>
      <c r="K67" s="257"/>
      <c r="L67" s="25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60" customHeight="1">
      <c r="A68" s="259"/>
      <c r="B68" s="236" t="s">
        <v>17</v>
      </c>
      <c r="C68" s="159">
        <v>2920</v>
      </c>
      <c r="D68" s="10">
        <v>2519</v>
      </c>
      <c r="E68" s="10"/>
      <c r="F68" s="191"/>
      <c r="G68" s="205"/>
      <c r="H68" s="257"/>
      <c r="I68" s="257"/>
      <c r="J68" s="257"/>
      <c r="K68" s="257"/>
      <c r="L68" s="25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60" customHeight="1">
      <c r="A69" s="259"/>
      <c r="B69" s="236" t="s">
        <v>18</v>
      </c>
      <c r="C69" s="159">
        <v>3571</v>
      </c>
      <c r="D69" s="10">
        <v>2740</v>
      </c>
      <c r="E69" s="10"/>
      <c r="F69" s="191"/>
      <c r="G69" s="205"/>
      <c r="H69" s="257"/>
      <c r="I69" s="257"/>
      <c r="J69" s="257"/>
      <c r="K69" s="257"/>
      <c r="L69" s="25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60" customHeight="1">
      <c r="A70" s="259"/>
      <c r="B70" s="236" t="s">
        <v>19</v>
      </c>
      <c r="C70" s="159">
        <v>3556</v>
      </c>
      <c r="D70" s="10">
        <v>2051</v>
      </c>
      <c r="E70" s="10"/>
      <c r="F70" s="191"/>
      <c r="G70" s="206"/>
      <c r="H70" s="257"/>
      <c r="I70" s="257"/>
      <c r="J70" s="257"/>
      <c r="K70" s="257"/>
      <c r="L70" s="25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60" customHeight="1" thickBot="1">
      <c r="A71" s="260"/>
      <c r="B71" s="238" t="s">
        <v>20</v>
      </c>
      <c r="C71" s="162">
        <v>2765</v>
      </c>
      <c r="D71" s="15">
        <v>1885</v>
      </c>
      <c r="E71" s="48"/>
      <c r="F71" s="207"/>
      <c r="G71" s="206"/>
      <c r="H71" s="257"/>
      <c r="I71" s="257"/>
      <c r="J71" s="257"/>
      <c r="K71" s="257"/>
      <c r="L71" s="25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26.25" customHeight="1" thickBot="1">
      <c r="A72" s="2"/>
      <c r="B72" s="38" t="s">
        <v>21</v>
      </c>
      <c r="C72" s="39">
        <v>35410</v>
      </c>
      <c r="D72" s="39">
        <v>30557</v>
      </c>
      <c r="E72" s="188">
        <v>16605</v>
      </c>
      <c r="F72" s="208"/>
      <c r="G72" s="19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21.75" customHeight="1" thickBot="1">
      <c r="A73" s="2"/>
      <c r="B73" s="39" t="s">
        <v>22</v>
      </c>
      <c r="C73" s="40"/>
      <c r="D73" s="40">
        <v>-0.1370516803162948</v>
      </c>
      <c r="E73" s="40"/>
      <c r="F73" s="40">
        <v>-0.22268514184065161</v>
      </c>
      <c r="G73" s="227">
        <v>-6.6379840196681014E-2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75" customHeight="1" thickBot="1">
      <c r="A74" s="2"/>
      <c r="B74" s="235"/>
      <c r="C74" s="2"/>
      <c r="D74" s="18"/>
      <c r="E74" s="2"/>
      <c r="F74" s="49"/>
      <c r="G74" s="4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56.5" customHeight="1" thickBot="1">
      <c r="A75" s="258" t="s">
        <v>32</v>
      </c>
      <c r="B75" s="4" t="s">
        <v>2</v>
      </c>
      <c r="C75" s="3" t="s">
        <v>3</v>
      </c>
      <c r="D75" s="3" t="s">
        <v>4</v>
      </c>
      <c r="E75" s="3" t="s">
        <v>5</v>
      </c>
      <c r="F75" s="3" t="s">
        <v>6</v>
      </c>
      <c r="G75" s="3" t="s">
        <v>7</v>
      </c>
      <c r="H75" s="256" t="s">
        <v>33</v>
      </c>
      <c r="I75" s="257"/>
      <c r="J75" s="257"/>
      <c r="K75" s="257"/>
      <c r="L75" s="25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56.5" customHeight="1">
      <c r="A76" s="259"/>
      <c r="B76" s="172" t="s">
        <v>9</v>
      </c>
      <c r="C76" s="158">
        <v>710</v>
      </c>
      <c r="D76" s="22">
        <v>827</v>
      </c>
      <c r="E76" s="22">
        <v>690</v>
      </c>
      <c r="F76" s="191">
        <v>-0.16565900846432891</v>
      </c>
      <c r="G76" s="191"/>
      <c r="H76" s="257"/>
      <c r="I76" s="257"/>
      <c r="J76" s="257"/>
      <c r="K76" s="257"/>
      <c r="L76" s="25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56.5" customHeight="1">
      <c r="A77" s="259"/>
      <c r="B77" s="173" t="s">
        <v>10</v>
      </c>
      <c r="C77" s="159">
        <v>693</v>
      </c>
      <c r="D77" s="10">
        <v>633</v>
      </c>
      <c r="E77" s="10">
        <v>607</v>
      </c>
      <c r="F77" s="191">
        <v>-4.1074249605055291E-2</v>
      </c>
      <c r="G77" s="191">
        <v>-0.1202898550724638</v>
      </c>
      <c r="H77" s="257"/>
      <c r="I77" s="257"/>
      <c r="J77" s="257"/>
      <c r="K77" s="257"/>
      <c r="L77" s="25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56.5" customHeight="1">
      <c r="A78" s="259"/>
      <c r="B78" s="173" t="s">
        <v>11</v>
      </c>
      <c r="C78" s="159">
        <v>1034</v>
      </c>
      <c r="D78" s="10">
        <v>588</v>
      </c>
      <c r="E78" s="10">
        <v>754</v>
      </c>
      <c r="F78" s="191">
        <v>0.28231292517006801</v>
      </c>
      <c r="G78" s="191">
        <v>0.24217462932454689</v>
      </c>
      <c r="H78" s="257"/>
      <c r="I78" s="257"/>
      <c r="J78" s="257"/>
      <c r="K78" s="257"/>
      <c r="L78" s="25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56.5" customHeight="1">
      <c r="A79" s="259"/>
      <c r="B79" s="173" t="s">
        <v>12</v>
      </c>
      <c r="C79" s="159">
        <v>925</v>
      </c>
      <c r="D79" s="10">
        <v>587</v>
      </c>
      <c r="E79" s="10">
        <v>676</v>
      </c>
      <c r="F79" s="191">
        <v>0.151618398637138</v>
      </c>
      <c r="G79" s="191">
        <v>-0.10344827586206901</v>
      </c>
      <c r="H79" s="257"/>
      <c r="I79" s="257"/>
      <c r="J79" s="257"/>
      <c r="K79" s="257"/>
      <c r="L79" s="25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56.5" customHeight="1">
      <c r="A80" s="259"/>
      <c r="B80" s="236" t="s">
        <v>13</v>
      </c>
      <c r="C80" s="159">
        <v>730</v>
      </c>
      <c r="D80" s="10">
        <v>529</v>
      </c>
      <c r="E80" s="10">
        <v>541</v>
      </c>
      <c r="F80" s="191">
        <v>2.268431001890359E-2</v>
      </c>
      <c r="G80" s="191">
        <v>-0.19970414201183431</v>
      </c>
      <c r="H80" s="257"/>
      <c r="I80" s="257"/>
      <c r="J80" s="257"/>
      <c r="K80" s="257"/>
      <c r="L80" s="25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56.5" customHeight="1">
      <c r="A81" s="259"/>
      <c r="B81" s="237" t="s">
        <v>14</v>
      </c>
      <c r="C81" s="159">
        <v>668</v>
      </c>
      <c r="D81" s="10">
        <v>530</v>
      </c>
      <c r="E81" s="10">
        <v>465</v>
      </c>
      <c r="F81" s="191">
        <v>-0.12264150943396231</v>
      </c>
      <c r="G81" s="191">
        <v>-0.14048059149722739</v>
      </c>
      <c r="H81" s="257"/>
      <c r="I81" s="257"/>
      <c r="J81" s="257"/>
      <c r="K81" s="257"/>
      <c r="L81" s="25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56.5" customHeight="1">
      <c r="A82" s="259"/>
      <c r="B82" s="236" t="s">
        <v>15</v>
      </c>
      <c r="C82" s="159">
        <v>735</v>
      </c>
      <c r="D82" s="10">
        <v>561</v>
      </c>
      <c r="E82" s="10">
        <v>414</v>
      </c>
      <c r="F82" s="191">
        <v>-0.26203208556149732</v>
      </c>
      <c r="G82" s="191">
        <v>-0.1096774193548387</v>
      </c>
      <c r="H82" s="257"/>
      <c r="I82" s="257"/>
      <c r="J82" s="257"/>
      <c r="K82" s="257"/>
      <c r="L82" s="25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56.5" customHeight="1">
      <c r="A83" s="259"/>
      <c r="B83" s="236" t="s">
        <v>16</v>
      </c>
      <c r="C83" s="159">
        <v>678</v>
      </c>
      <c r="D83" s="10">
        <v>459</v>
      </c>
      <c r="E83" s="10">
        <v>429</v>
      </c>
      <c r="F83" s="191">
        <v>-6.535947712418301E-2</v>
      </c>
      <c r="G83" s="191">
        <v>3.6231884057971023E-2</v>
      </c>
      <c r="H83" s="257"/>
      <c r="I83" s="257"/>
      <c r="J83" s="257"/>
      <c r="K83" s="257"/>
      <c r="L83" s="25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56.5" customHeight="1">
      <c r="A84" s="259"/>
      <c r="B84" s="236" t="s">
        <v>17</v>
      </c>
      <c r="C84" s="159">
        <v>834</v>
      </c>
      <c r="D84" s="10">
        <v>609</v>
      </c>
      <c r="E84" s="10"/>
      <c r="F84" s="191"/>
      <c r="G84" s="205"/>
      <c r="H84" s="257"/>
      <c r="I84" s="257"/>
      <c r="J84" s="257"/>
      <c r="K84" s="257"/>
      <c r="L84" s="25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56.5" customHeight="1">
      <c r="A85" s="259"/>
      <c r="B85" s="236" t="s">
        <v>18</v>
      </c>
      <c r="C85" s="159">
        <v>892</v>
      </c>
      <c r="D85" s="10">
        <v>743</v>
      </c>
      <c r="E85" s="10"/>
      <c r="F85" s="191"/>
      <c r="G85" s="205"/>
      <c r="H85" s="257"/>
      <c r="I85" s="257"/>
      <c r="J85" s="257"/>
      <c r="K85" s="257"/>
      <c r="L85" s="25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56.5" customHeight="1">
      <c r="A86" s="259"/>
      <c r="B86" s="236" t="s">
        <v>19</v>
      </c>
      <c r="C86" s="159">
        <v>973</v>
      </c>
      <c r="D86" s="10">
        <v>497</v>
      </c>
      <c r="E86" s="10"/>
      <c r="F86" s="191"/>
      <c r="G86" s="206"/>
      <c r="H86" s="257"/>
      <c r="I86" s="257"/>
      <c r="J86" s="257"/>
      <c r="K86" s="257"/>
      <c r="L86" s="25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56.5" customHeight="1" thickBot="1">
      <c r="A87" s="260"/>
      <c r="B87" s="238" t="s">
        <v>20</v>
      </c>
      <c r="C87" s="162">
        <v>697</v>
      </c>
      <c r="D87" s="15">
        <v>538</v>
      </c>
      <c r="E87" s="48"/>
      <c r="F87" s="207"/>
      <c r="G87" s="206"/>
      <c r="H87" s="257"/>
      <c r="I87" s="257"/>
      <c r="J87" s="257"/>
      <c r="K87" s="257"/>
      <c r="L87" s="25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24" customHeight="1" thickBot="1">
      <c r="A88" s="2"/>
      <c r="B88" s="38" t="s">
        <v>21</v>
      </c>
      <c r="C88" s="39">
        <v>9569</v>
      </c>
      <c r="D88" s="39">
        <v>7101</v>
      </c>
      <c r="E88" s="188">
        <v>4576</v>
      </c>
      <c r="F88" s="208"/>
      <c r="G88" s="19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21" customHeight="1" thickBot="1">
      <c r="A89" s="2"/>
      <c r="B89" s="39" t="s">
        <v>22</v>
      </c>
      <c r="C89" s="40"/>
      <c r="D89" s="40">
        <v>-0.25791618768941371</v>
      </c>
      <c r="E89" s="40"/>
      <c r="F89" s="40">
        <v>-2.927450148493848E-2</v>
      </c>
      <c r="G89" s="227">
        <v>3.6231884057971023E-2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75" customHeight="1" thickBot="1">
      <c r="A90" s="2"/>
      <c r="B90" s="235"/>
      <c r="C90" s="2"/>
      <c r="D90" s="18"/>
      <c r="E90" s="2"/>
      <c r="F90" s="49"/>
      <c r="G90" s="49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56.5" customHeight="1" thickBot="1">
      <c r="A91" s="258" t="s">
        <v>34</v>
      </c>
      <c r="B91" s="4" t="s">
        <v>2</v>
      </c>
      <c r="C91" s="3" t="s">
        <v>3</v>
      </c>
      <c r="D91" s="3" t="s">
        <v>4</v>
      </c>
      <c r="E91" s="3" t="s">
        <v>5</v>
      </c>
      <c r="F91" s="3" t="s">
        <v>6</v>
      </c>
      <c r="G91" s="3" t="s">
        <v>7</v>
      </c>
      <c r="H91" s="256" t="s">
        <v>35</v>
      </c>
      <c r="I91" s="257"/>
      <c r="J91" s="257"/>
      <c r="K91" s="257"/>
      <c r="L91" s="25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56.5" customHeight="1">
      <c r="A92" s="259"/>
      <c r="B92" s="172" t="s">
        <v>9</v>
      </c>
      <c r="C92" s="158">
        <v>818</v>
      </c>
      <c r="D92" s="22">
        <v>1068</v>
      </c>
      <c r="E92" s="22">
        <v>1023</v>
      </c>
      <c r="F92" s="191">
        <v>-4.2134831460674163E-2</v>
      </c>
      <c r="G92" s="191"/>
      <c r="H92" s="257"/>
      <c r="I92" s="257"/>
      <c r="J92" s="257"/>
      <c r="K92" s="257"/>
      <c r="L92" s="25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56.5" customHeight="1">
      <c r="A93" s="259"/>
      <c r="B93" s="173" t="s">
        <v>10</v>
      </c>
      <c r="C93" s="159">
        <v>753</v>
      </c>
      <c r="D93" s="10">
        <v>1083</v>
      </c>
      <c r="E93" s="10">
        <v>1009</v>
      </c>
      <c r="F93" s="191">
        <v>-6.8328716528162511E-2</v>
      </c>
      <c r="G93" s="191">
        <v>-1.3685239491691099E-2</v>
      </c>
      <c r="H93" s="257"/>
      <c r="I93" s="257"/>
      <c r="J93" s="257"/>
      <c r="K93" s="257"/>
      <c r="L93" s="25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56.5" customHeight="1">
      <c r="A94" s="259"/>
      <c r="B94" s="173" t="s">
        <v>11</v>
      </c>
      <c r="C94" s="159">
        <v>1263</v>
      </c>
      <c r="D94" s="10">
        <v>1355</v>
      </c>
      <c r="E94" s="10">
        <v>1156</v>
      </c>
      <c r="F94" s="191">
        <v>-0.14686346863468641</v>
      </c>
      <c r="G94" s="191">
        <v>0.1456888007928642</v>
      </c>
      <c r="H94" s="257"/>
      <c r="I94" s="257"/>
      <c r="J94" s="257"/>
      <c r="K94" s="257"/>
      <c r="L94" s="25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56.5" customHeight="1">
      <c r="A95" s="259"/>
      <c r="B95" s="173" t="s">
        <v>12</v>
      </c>
      <c r="C95" s="159">
        <v>1111</v>
      </c>
      <c r="D95" s="10">
        <v>949</v>
      </c>
      <c r="E95" s="10">
        <v>992</v>
      </c>
      <c r="F95" s="191">
        <v>4.5310853530031607E-2</v>
      </c>
      <c r="G95" s="191">
        <v>-0.14186851211072671</v>
      </c>
      <c r="H95" s="257"/>
      <c r="I95" s="257"/>
      <c r="J95" s="257"/>
      <c r="K95" s="257"/>
      <c r="L95" s="25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56.5" customHeight="1">
      <c r="A96" s="259"/>
      <c r="B96" s="236" t="s">
        <v>13</v>
      </c>
      <c r="C96" s="159">
        <v>1247</v>
      </c>
      <c r="D96" s="10">
        <v>848</v>
      </c>
      <c r="E96" s="10">
        <v>1076</v>
      </c>
      <c r="F96" s="191">
        <v>0.26886792452830188</v>
      </c>
      <c r="G96" s="191">
        <v>8.4677419354838704E-2</v>
      </c>
      <c r="H96" s="257"/>
      <c r="I96" s="257"/>
      <c r="J96" s="257"/>
      <c r="K96" s="257"/>
      <c r="L96" s="25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6.5" customHeight="1">
      <c r="A97" s="259"/>
      <c r="B97" s="237" t="s">
        <v>14</v>
      </c>
      <c r="C97" s="159">
        <v>1036</v>
      </c>
      <c r="D97" s="10">
        <v>915</v>
      </c>
      <c r="E97" s="10">
        <v>1207</v>
      </c>
      <c r="F97" s="191">
        <v>0.3191256830601093</v>
      </c>
      <c r="G97" s="191">
        <v>0.1217472118959108</v>
      </c>
      <c r="H97" s="257"/>
      <c r="I97" s="257"/>
      <c r="J97" s="257"/>
      <c r="K97" s="257"/>
      <c r="L97" s="25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56.5" customHeight="1">
      <c r="A98" s="259"/>
      <c r="B98" s="236" t="s">
        <v>15</v>
      </c>
      <c r="C98" s="159">
        <v>1138</v>
      </c>
      <c r="D98" s="10">
        <v>1156</v>
      </c>
      <c r="E98" s="10">
        <v>1233</v>
      </c>
      <c r="F98" s="191">
        <v>6.6608996539792381E-2</v>
      </c>
      <c r="G98" s="191">
        <v>2.1541010770505381E-2</v>
      </c>
      <c r="H98" s="257"/>
      <c r="I98" s="257"/>
      <c r="J98" s="257"/>
      <c r="K98" s="257"/>
      <c r="L98" s="25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56.5" customHeight="1">
      <c r="A99" s="259"/>
      <c r="B99" s="236" t="s">
        <v>16</v>
      </c>
      <c r="C99" s="159">
        <v>1055</v>
      </c>
      <c r="D99" s="10">
        <v>1327</v>
      </c>
      <c r="E99" s="10">
        <v>1079</v>
      </c>
      <c r="F99" s="191">
        <v>-0.186887716654107</v>
      </c>
      <c r="G99" s="191">
        <v>-0.12489862124898619</v>
      </c>
      <c r="H99" s="257"/>
      <c r="I99" s="257"/>
      <c r="J99" s="257"/>
      <c r="K99" s="257"/>
      <c r="L99" s="25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56.5" customHeight="1">
      <c r="A100" s="259"/>
      <c r="B100" s="236" t="s">
        <v>17</v>
      </c>
      <c r="C100" s="159">
        <v>1064</v>
      </c>
      <c r="D100" s="10">
        <v>1076</v>
      </c>
      <c r="E100" s="10"/>
      <c r="F100" s="191"/>
      <c r="G100" s="205"/>
      <c r="H100" s="257"/>
      <c r="I100" s="257"/>
      <c r="J100" s="257"/>
      <c r="K100" s="257"/>
      <c r="L100" s="25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56.5" customHeight="1">
      <c r="A101" s="259"/>
      <c r="B101" s="236" t="s">
        <v>18</v>
      </c>
      <c r="C101" s="159">
        <v>1054</v>
      </c>
      <c r="D101" s="10">
        <v>1129</v>
      </c>
      <c r="E101" s="10"/>
      <c r="F101" s="191"/>
      <c r="G101" s="205"/>
      <c r="H101" s="257"/>
      <c r="I101" s="257"/>
      <c r="J101" s="257"/>
      <c r="K101" s="257"/>
      <c r="L101" s="25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56.5" customHeight="1">
      <c r="A102" s="259"/>
      <c r="B102" s="236" t="s">
        <v>19</v>
      </c>
      <c r="C102" s="159">
        <v>956</v>
      </c>
      <c r="D102" s="10">
        <v>911</v>
      </c>
      <c r="E102" s="10"/>
      <c r="F102" s="191"/>
      <c r="G102" s="206"/>
      <c r="H102" s="257"/>
      <c r="I102" s="257"/>
      <c r="J102" s="257"/>
      <c r="K102" s="257"/>
      <c r="L102" s="25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56.5" customHeight="1" thickBot="1">
      <c r="A103" s="260"/>
      <c r="B103" s="238" t="s">
        <v>20</v>
      </c>
      <c r="C103" s="162">
        <v>835</v>
      </c>
      <c r="D103" s="15">
        <v>1090</v>
      </c>
      <c r="E103" s="48"/>
      <c r="F103" s="207"/>
      <c r="G103" s="206"/>
      <c r="H103" s="257"/>
      <c r="I103" s="257"/>
      <c r="J103" s="257"/>
      <c r="K103" s="257"/>
      <c r="L103" s="25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21" customHeight="1" thickBot="1">
      <c r="A104" s="2"/>
      <c r="B104" s="38" t="s">
        <v>21</v>
      </c>
      <c r="C104" s="39">
        <v>12330</v>
      </c>
      <c r="D104" s="39">
        <v>12907</v>
      </c>
      <c r="E104" s="188">
        <v>8775</v>
      </c>
      <c r="F104" s="208"/>
      <c r="G104" s="19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21.75" customHeight="1" thickBot="1">
      <c r="A105" s="2"/>
      <c r="B105" s="39" t="s">
        <v>22</v>
      </c>
      <c r="C105" s="40"/>
      <c r="D105" s="40">
        <v>4.6796431467964313E-2</v>
      </c>
      <c r="E105" s="40"/>
      <c r="F105" s="40">
        <v>8.5047695667164695E-3</v>
      </c>
      <c r="G105" s="227">
        <v>-0.12489862124898619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2.75" customHeight="1" thickBot="1">
      <c r="A106" s="2"/>
      <c r="B106" s="2"/>
      <c r="C106" s="2"/>
      <c r="D106" s="18"/>
      <c r="E106" s="2"/>
      <c r="F106" s="49"/>
      <c r="G106" s="49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60" customHeight="1" thickBot="1">
      <c r="A107" s="258" t="s">
        <v>36</v>
      </c>
      <c r="B107" s="4" t="s">
        <v>2</v>
      </c>
      <c r="C107" s="3" t="s">
        <v>3</v>
      </c>
      <c r="D107" s="3" t="s">
        <v>4</v>
      </c>
      <c r="E107" s="3" t="s">
        <v>5</v>
      </c>
      <c r="F107" s="3" t="s">
        <v>6</v>
      </c>
      <c r="G107" s="3" t="s">
        <v>7</v>
      </c>
      <c r="H107" s="256" t="s">
        <v>37</v>
      </c>
      <c r="I107" s="257"/>
      <c r="J107" s="257"/>
      <c r="K107" s="257"/>
      <c r="L107" s="25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60" customHeight="1">
      <c r="A108" s="259"/>
      <c r="B108" s="172" t="s">
        <v>9</v>
      </c>
      <c r="C108" s="158">
        <v>471</v>
      </c>
      <c r="D108" s="22">
        <v>438</v>
      </c>
      <c r="E108" s="22">
        <v>270</v>
      </c>
      <c r="F108" s="191">
        <v>-0.38356164383561642</v>
      </c>
      <c r="G108" s="191"/>
      <c r="H108" s="257"/>
      <c r="I108" s="257"/>
      <c r="J108" s="257"/>
      <c r="K108" s="257"/>
      <c r="L108" s="25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60" customHeight="1">
      <c r="A109" s="259"/>
      <c r="B109" s="173" t="s">
        <v>10</v>
      </c>
      <c r="C109" s="159">
        <v>494</v>
      </c>
      <c r="D109" s="10">
        <v>1076</v>
      </c>
      <c r="E109" s="10">
        <v>242</v>
      </c>
      <c r="F109" s="191">
        <v>-0.77509293680297398</v>
      </c>
      <c r="G109" s="191">
        <v>-0.1037037037037037</v>
      </c>
      <c r="H109" s="257"/>
      <c r="I109" s="257"/>
      <c r="J109" s="257"/>
      <c r="K109" s="257"/>
      <c r="L109" s="25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60" customHeight="1">
      <c r="A110" s="259"/>
      <c r="B110" s="173" t="s">
        <v>11</v>
      </c>
      <c r="C110" s="160">
        <v>539</v>
      </c>
      <c r="D110" s="28">
        <v>453</v>
      </c>
      <c r="E110" s="10">
        <v>190</v>
      </c>
      <c r="F110" s="191">
        <v>-0.58057395143487855</v>
      </c>
      <c r="G110" s="191">
        <v>-0.21487603305785119</v>
      </c>
      <c r="H110" s="257"/>
      <c r="I110" s="257"/>
      <c r="J110" s="257"/>
      <c r="K110" s="257"/>
      <c r="L110" s="25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60" customHeight="1">
      <c r="A111" s="259"/>
      <c r="B111" s="173" t="s">
        <v>12</v>
      </c>
      <c r="C111" s="159">
        <v>499</v>
      </c>
      <c r="D111" s="10">
        <v>344</v>
      </c>
      <c r="E111" s="10">
        <v>328</v>
      </c>
      <c r="F111" s="191">
        <v>-4.6511627906976737E-2</v>
      </c>
      <c r="G111" s="191">
        <v>0.72631578947368425</v>
      </c>
      <c r="H111" s="257"/>
      <c r="I111" s="257"/>
      <c r="J111" s="257"/>
      <c r="K111" s="257"/>
      <c r="L111" s="25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60" customHeight="1">
      <c r="A112" s="259"/>
      <c r="B112" s="236" t="s">
        <v>13</v>
      </c>
      <c r="C112" s="159">
        <v>453</v>
      </c>
      <c r="D112" s="10">
        <v>607</v>
      </c>
      <c r="E112" s="10">
        <v>252</v>
      </c>
      <c r="F112" s="191">
        <v>-0.58484349258649093</v>
      </c>
      <c r="G112" s="191">
        <v>-0.23170731707317069</v>
      </c>
      <c r="H112" s="257"/>
      <c r="I112" s="257"/>
      <c r="J112" s="257"/>
      <c r="K112" s="257"/>
      <c r="L112" s="25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60" customHeight="1">
      <c r="A113" s="259"/>
      <c r="B113" s="237" t="s">
        <v>14</v>
      </c>
      <c r="C113" s="159">
        <v>537</v>
      </c>
      <c r="D113" s="10">
        <v>306</v>
      </c>
      <c r="E113" s="10">
        <v>237</v>
      </c>
      <c r="F113" s="191">
        <v>-0.2254901960784314</v>
      </c>
      <c r="G113" s="191">
        <v>-5.9523809523809521E-2</v>
      </c>
      <c r="H113" s="257"/>
      <c r="I113" s="257"/>
      <c r="J113" s="257"/>
      <c r="K113" s="257"/>
      <c r="L113" s="25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60" customHeight="1">
      <c r="A114" s="259"/>
      <c r="B114" s="236" t="s">
        <v>15</v>
      </c>
      <c r="C114" s="159">
        <v>483</v>
      </c>
      <c r="D114" s="10">
        <v>358</v>
      </c>
      <c r="E114" s="10">
        <v>276</v>
      </c>
      <c r="F114" s="191">
        <v>-0.22905027932960889</v>
      </c>
      <c r="G114" s="191">
        <v>0.16455696202531639</v>
      </c>
      <c r="H114" s="257"/>
      <c r="I114" s="257"/>
      <c r="J114" s="257"/>
      <c r="K114" s="257"/>
      <c r="L114" s="25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60" customHeight="1">
      <c r="A115" s="259"/>
      <c r="B115" s="236" t="s">
        <v>16</v>
      </c>
      <c r="C115" s="159">
        <v>487</v>
      </c>
      <c r="D115" s="10">
        <v>438</v>
      </c>
      <c r="E115" s="10">
        <v>242</v>
      </c>
      <c r="F115" s="191">
        <v>-0.44748858447488582</v>
      </c>
      <c r="G115" s="191">
        <v>-0.1231884057971015</v>
      </c>
      <c r="H115" s="257"/>
      <c r="I115" s="257"/>
      <c r="J115" s="257"/>
      <c r="K115" s="257"/>
      <c r="L115" s="25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60" customHeight="1">
      <c r="A116" s="259"/>
      <c r="B116" s="236" t="s">
        <v>17</v>
      </c>
      <c r="C116" s="159">
        <v>391</v>
      </c>
      <c r="D116" s="10">
        <v>360</v>
      </c>
      <c r="E116" s="10"/>
      <c r="F116" s="191"/>
      <c r="G116" s="205"/>
      <c r="H116" s="257"/>
      <c r="I116" s="257"/>
      <c r="J116" s="257"/>
      <c r="K116" s="257"/>
      <c r="L116" s="25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60" customHeight="1">
      <c r="A117" s="259"/>
      <c r="B117" s="236" t="s">
        <v>18</v>
      </c>
      <c r="C117" s="159">
        <v>417</v>
      </c>
      <c r="D117" s="10">
        <v>356</v>
      </c>
      <c r="E117" s="10"/>
      <c r="F117" s="191"/>
      <c r="G117" s="205"/>
      <c r="H117" s="257"/>
      <c r="I117" s="257"/>
      <c r="J117" s="257"/>
      <c r="K117" s="257"/>
      <c r="L117" s="25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60" customHeight="1">
      <c r="A118" s="259"/>
      <c r="B118" s="236" t="s">
        <v>19</v>
      </c>
      <c r="C118" s="159">
        <v>427</v>
      </c>
      <c r="D118" s="10">
        <v>298</v>
      </c>
      <c r="E118" s="10"/>
      <c r="F118" s="191"/>
      <c r="G118" s="206"/>
      <c r="H118" s="257"/>
      <c r="I118" s="257"/>
      <c r="J118" s="257"/>
      <c r="K118" s="257"/>
      <c r="L118" s="25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60" customHeight="1" thickBot="1">
      <c r="A119" s="260"/>
      <c r="B119" s="238" t="s">
        <v>20</v>
      </c>
      <c r="C119" s="162">
        <v>347</v>
      </c>
      <c r="D119" s="15">
        <v>317</v>
      </c>
      <c r="E119" s="48"/>
      <c r="F119" s="207"/>
      <c r="G119" s="206"/>
      <c r="H119" s="257"/>
      <c r="I119" s="257"/>
      <c r="J119" s="257"/>
      <c r="K119" s="257"/>
      <c r="L119" s="25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8.75" customHeight="1" thickBot="1">
      <c r="A120" s="41"/>
      <c r="B120" s="38" t="s">
        <v>21</v>
      </c>
      <c r="C120" s="39">
        <v>5545</v>
      </c>
      <c r="D120" s="39">
        <v>5351</v>
      </c>
      <c r="E120" s="188">
        <v>2037</v>
      </c>
      <c r="F120" s="208"/>
      <c r="G120" s="19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22.5" customHeight="1" thickBot="1">
      <c r="A121" s="41"/>
      <c r="B121" s="39" t="s">
        <v>22</v>
      </c>
      <c r="C121" s="40"/>
      <c r="D121" s="40">
        <v>-3.498647430117223E-2</v>
      </c>
      <c r="E121" s="40"/>
      <c r="F121" s="40">
        <v>-0.49328358208955231</v>
      </c>
      <c r="G121" s="227">
        <v>-0.1231884057971015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2.75" customHeight="1">
      <c r="A122" s="2"/>
      <c r="B122" s="235"/>
      <c r="C122" s="2"/>
      <c r="D122" s="18"/>
      <c r="E122" s="2"/>
      <c r="F122" s="49"/>
      <c r="G122" s="4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26.25" hidden="1" customHeight="1" thickBot="1">
      <c r="A123" s="263" t="s">
        <v>38</v>
      </c>
      <c r="B123" s="3" t="s">
        <v>2</v>
      </c>
      <c r="C123" s="3" t="s">
        <v>24</v>
      </c>
      <c r="D123" s="157" t="s">
        <v>3</v>
      </c>
      <c r="E123" s="3" t="s">
        <v>3</v>
      </c>
      <c r="F123" s="3"/>
      <c r="G123" s="3" t="s">
        <v>39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2.75" hidden="1" customHeight="1">
      <c r="A124" s="264"/>
      <c r="B124" s="172" t="s">
        <v>9</v>
      </c>
      <c r="C124" s="22">
        <v>0</v>
      </c>
      <c r="D124" s="163">
        <v>0</v>
      </c>
      <c r="E124" s="43">
        <v>0</v>
      </c>
      <c r="F124" s="43"/>
      <c r="G124" s="192">
        <v>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2.75" hidden="1" customHeight="1">
      <c r="A125" s="264"/>
      <c r="B125" s="173" t="s">
        <v>10</v>
      </c>
      <c r="C125" s="10">
        <v>0</v>
      </c>
      <c r="D125" s="163">
        <v>0</v>
      </c>
      <c r="E125" s="43">
        <v>0</v>
      </c>
      <c r="F125" s="43"/>
      <c r="G125" s="193"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2.75" hidden="1" customHeight="1">
      <c r="A126" s="264"/>
      <c r="B126" s="173" t="s">
        <v>11</v>
      </c>
      <c r="C126" s="10">
        <v>0</v>
      </c>
      <c r="D126" s="163">
        <v>0</v>
      </c>
      <c r="E126" s="43">
        <v>0</v>
      </c>
      <c r="F126" s="43"/>
      <c r="G126" s="193">
        <v>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2.75" hidden="1" customHeight="1">
      <c r="A127" s="264"/>
      <c r="B127" s="173" t="s">
        <v>12</v>
      </c>
      <c r="C127" s="10">
        <v>0</v>
      </c>
      <c r="D127" s="163">
        <v>0</v>
      </c>
      <c r="E127" s="43">
        <v>0</v>
      </c>
      <c r="F127" s="43"/>
      <c r="G127" s="193">
        <v>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2.75" hidden="1" customHeight="1">
      <c r="A128" s="264"/>
      <c r="B128" s="236" t="s">
        <v>13</v>
      </c>
      <c r="C128" s="10">
        <v>0</v>
      </c>
      <c r="D128" s="163">
        <v>0</v>
      </c>
      <c r="E128" s="43">
        <v>0</v>
      </c>
      <c r="F128" s="43"/>
      <c r="G128" s="193">
        <v>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2.75" hidden="1" customHeight="1">
      <c r="A129" s="264"/>
      <c r="B129" s="237" t="s">
        <v>14</v>
      </c>
      <c r="C129" s="10">
        <v>0</v>
      </c>
      <c r="D129" s="163">
        <v>0</v>
      </c>
      <c r="E129" s="43">
        <v>0</v>
      </c>
      <c r="F129" s="43"/>
      <c r="G129" s="193">
        <v>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2.75" hidden="1" customHeight="1">
      <c r="A130" s="264"/>
      <c r="B130" s="236" t="s">
        <v>15</v>
      </c>
      <c r="C130" s="10">
        <v>0</v>
      </c>
      <c r="D130" s="163">
        <v>0</v>
      </c>
      <c r="E130" s="43">
        <v>0</v>
      </c>
      <c r="F130" s="43"/>
      <c r="G130" s="193"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2.75" hidden="1" customHeight="1">
      <c r="A131" s="264"/>
      <c r="B131" s="236" t="s">
        <v>16</v>
      </c>
      <c r="C131" s="10">
        <v>0</v>
      </c>
      <c r="D131" s="163">
        <v>0</v>
      </c>
      <c r="E131" s="43">
        <v>0</v>
      </c>
      <c r="F131" s="43"/>
      <c r="G131" s="193">
        <v>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2.75" hidden="1" customHeight="1">
      <c r="A132" s="264"/>
      <c r="B132" s="236" t="s">
        <v>17</v>
      </c>
      <c r="C132" s="10"/>
      <c r="D132" s="163">
        <v>0</v>
      </c>
      <c r="E132" s="43">
        <v>0</v>
      </c>
      <c r="F132" s="43"/>
      <c r="G132" s="193">
        <v>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2.75" hidden="1" customHeight="1">
      <c r="A133" s="264"/>
      <c r="B133" s="236" t="s">
        <v>18</v>
      </c>
      <c r="C133" s="10"/>
      <c r="D133" s="164">
        <v>0</v>
      </c>
      <c r="E133" s="44">
        <v>0</v>
      </c>
      <c r="F133" s="44"/>
      <c r="G133" s="193">
        <v>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2.75" hidden="1" customHeight="1">
      <c r="A134" s="264"/>
      <c r="B134" s="236" t="s">
        <v>19</v>
      </c>
      <c r="C134" s="10"/>
      <c r="D134" s="164">
        <v>0</v>
      </c>
      <c r="E134" s="44">
        <v>0</v>
      </c>
      <c r="F134" s="44"/>
      <c r="G134" s="193"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2.75" hidden="1" customHeight="1" thickBot="1">
      <c r="A135" s="265"/>
      <c r="B135" s="238" t="s">
        <v>20</v>
      </c>
      <c r="C135" s="12"/>
      <c r="D135" s="165">
        <v>0</v>
      </c>
      <c r="E135" s="12">
        <v>0</v>
      </c>
      <c r="F135" s="48"/>
      <c r="G135" s="193">
        <v>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2.75" customHeight="1" thickBot="1">
      <c r="A136" s="2"/>
      <c r="B136" s="235"/>
      <c r="C136" s="2"/>
      <c r="D136" s="18"/>
      <c r="E136" s="2"/>
      <c r="F136" s="49"/>
      <c r="G136" s="4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64.650000000000006" customHeight="1" thickBot="1">
      <c r="A137" s="258" t="s">
        <v>40</v>
      </c>
      <c r="B137" s="4" t="s">
        <v>2</v>
      </c>
      <c r="C137" s="3" t="s">
        <v>3</v>
      </c>
      <c r="D137" s="3" t="s">
        <v>4</v>
      </c>
      <c r="E137" s="3" t="s">
        <v>5</v>
      </c>
      <c r="F137" s="3" t="s">
        <v>6</v>
      </c>
      <c r="G137" s="3" t="s">
        <v>7</v>
      </c>
      <c r="H137" s="256" t="s">
        <v>41</v>
      </c>
      <c r="I137" s="257"/>
      <c r="J137" s="257"/>
      <c r="K137" s="257"/>
      <c r="L137" s="25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64.650000000000006" customHeight="1">
      <c r="A138" s="259"/>
      <c r="B138" s="172" t="s">
        <v>9</v>
      </c>
      <c r="C138" s="158">
        <v>59</v>
      </c>
      <c r="D138" s="22">
        <v>60</v>
      </c>
      <c r="E138" s="22">
        <v>67</v>
      </c>
      <c r="F138" s="191">
        <v>0.1166666666666667</v>
      </c>
      <c r="G138" s="191"/>
      <c r="H138" s="257"/>
      <c r="I138" s="257"/>
      <c r="J138" s="257"/>
      <c r="K138" s="257"/>
      <c r="L138" s="25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64.650000000000006" customHeight="1">
      <c r="A139" s="259"/>
      <c r="B139" s="173" t="s">
        <v>10</v>
      </c>
      <c r="C139" s="159">
        <v>47</v>
      </c>
      <c r="D139" s="10">
        <v>61</v>
      </c>
      <c r="E139" s="10">
        <v>41</v>
      </c>
      <c r="F139" s="191">
        <v>-0.32786885245901642</v>
      </c>
      <c r="G139" s="191">
        <v>-0.38805970149253732</v>
      </c>
      <c r="H139" s="257"/>
      <c r="I139" s="257"/>
      <c r="J139" s="257"/>
      <c r="K139" s="257"/>
      <c r="L139" s="25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64.650000000000006" customHeight="1">
      <c r="A140" s="259"/>
      <c r="B140" s="173" t="s">
        <v>11</v>
      </c>
      <c r="C140" s="159">
        <v>66</v>
      </c>
      <c r="D140" s="10">
        <v>51</v>
      </c>
      <c r="E140" s="10">
        <v>47</v>
      </c>
      <c r="F140" s="191">
        <v>-7.8431372549019607E-2</v>
      </c>
      <c r="G140" s="191">
        <v>0.14634146341463411</v>
      </c>
      <c r="H140" s="257"/>
      <c r="I140" s="257"/>
      <c r="J140" s="257"/>
      <c r="K140" s="257"/>
      <c r="L140" s="25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64.650000000000006" customHeight="1">
      <c r="A141" s="259"/>
      <c r="B141" s="173" t="s">
        <v>12</v>
      </c>
      <c r="C141" s="159">
        <v>51</v>
      </c>
      <c r="D141" s="10">
        <v>45</v>
      </c>
      <c r="E141" s="10">
        <v>36</v>
      </c>
      <c r="F141" s="191">
        <v>-0.2</v>
      </c>
      <c r="G141" s="191">
        <v>-0.23404255319148939</v>
      </c>
      <c r="H141" s="257"/>
      <c r="I141" s="257"/>
      <c r="J141" s="257"/>
      <c r="K141" s="257"/>
      <c r="L141" s="25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64.650000000000006" customHeight="1">
      <c r="A142" s="259"/>
      <c r="B142" s="236" t="s">
        <v>13</v>
      </c>
      <c r="C142" s="159">
        <v>92</v>
      </c>
      <c r="D142" s="10">
        <v>55</v>
      </c>
      <c r="E142" s="10">
        <v>45</v>
      </c>
      <c r="F142" s="191">
        <v>-0.1818181818181818</v>
      </c>
      <c r="G142" s="191">
        <v>0.25</v>
      </c>
      <c r="H142" s="257"/>
      <c r="I142" s="257"/>
      <c r="J142" s="257"/>
      <c r="K142" s="257"/>
      <c r="L142" s="25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64.650000000000006" customHeight="1">
      <c r="A143" s="259"/>
      <c r="B143" s="237" t="s">
        <v>14</v>
      </c>
      <c r="C143" s="159">
        <v>64</v>
      </c>
      <c r="D143" s="10">
        <v>31</v>
      </c>
      <c r="E143" s="10">
        <v>29</v>
      </c>
      <c r="F143" s="191">
        <v>-6.4516129032258063E-2</v>
      </c>
      <c r="G143" s="191">
        <v>-0.35555555555555562</v>
      </c>
      <c r="H143" s="257"/>
      <c r="I143" s="257"/>
      <c r="J143" s="257"/>
      <c r="K143" s="257"/>
      <c r="L143" s="25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64.650000000000006" customHeight="1">
      <c r="A144" s="259"/>
      <c r="B144" s="236" t="s">
        <v>15</v>
      </c>
      <c r="C144" s="159">
        <v>48</v>
      </c>
      <c r="D144" s="10">
        <v>51</v>
      </c>
      <c r="E144" s="10">
        <v>23</v>
      </c>
      <c r="F144" s="191">
        <v>-0.5490196078431373</v>
      </c>
      <c r="G144" s="191">
        <v>-0.2068965517241379</v>
      </c>
      <c r="H144" s="257"/>
      <c r="I144" s="257"/>
      <c r="J144" s="257"/>
      <c r="K144" s="257"/>
      <c r="L144" s="25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64.650000000000006" customHeight="1">
      <c r="A145" s="259"/>
      <c r="B145" s="236" t="s">
        <v>16</v>
      </c>
      <c r="C145" s="159">
        <v>55</v>
      </c>
      <c r="D145" s="10">
        <v>71</v>
      </c>
      <c r="E145" s="10">
        <v>55</v>
      </c>
      <c r="F145" s="191">
        <v>-0.22535211267605629</v>
      </c>
      <c r="G145" s="191">
        <v>1.3913043478260869</v>
      </c>
      <c r="H145" s="257"/>
      <c r="I145" s="257"/>
      <c r="J145" s="257"/>
      <c r="K145" s="257"/>
      <c r="L145" s="25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64.650000000000006" customHeight="1">
      <c r="A146" s="259"/>
      <c r="B146" s="236" t="s">
        <v>17</v>
      </c>
      <c r="C146" s="159">
        <v>44</v>
      </c>
      <c r="D146" s="10">
        <v>36</v>
      </c>
      <c r="E146" s="10"/>
      <c r="F146" s="191"/>
      <c r="G146" s="205"/>
      <c r="H146" s="257"/>
      <c r="I146" s="257"/>
      <c r="J146" s="257"/>
      <c r="K146" s="257"/>
      <c r="L146" s="25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64.650000000000006" customHeight="1">
      <c r="A147" s="259"/>
      <c r="B147" s="236" t="s">
        <v>18</v>
      </c>
      <c r="C147" s="159">
        <v>41</v>
      </c>
      <c r="D147" s="10">
        <v>88</v>
      </c>
      <c r="E147" s="10"/>
      <c r="F147" s="191"/>
      <c r="G147" s="205"/>
      <c r="H147" s="257"/>
      <c r="I147" s="257"/>
      <c r="J147" s="257"/>
      <c r="K147" s="257"/>
      <c r="L147" s="25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64.650000000000006" customHeight="1">
      <c r="A148" s="259"/>
      <c r="B148" s="236" t="s">
        <v>19</v>
      </c>
      <c r="C148" s="159">
        <v>66</v>
      </c>
      <c r="D148" s="10">
        <v>68</v>
      </c>
      <c r="E148" s="10"/>
      <c r="F148" s="191"/>
      <c r="G148" s="206"/>
      <c r="H148" s="257"/>
      <c r="I148" s="257"/>
      <c r="J148" s="257"/>
      <c r="K148" s="257"/>
      <c r="L148" s="25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64.650000000000006" customHeight="1" thickBot="1">
      <c r="A149" s="260"/>
      <c r="B149" s="238" t="s">
        <v>20</v>
      </c>
      <c r="C149" s="162">
        <v>39</v>
      </c>
      <c r="D149" s="12">
        <v>51</v>
      </c>
      <c r="E149" s="48"/>
      <c r="F149" s="207"/>
      <c r="G149" s="206"/>
      <c r="H149" s="257"/>
      <c r="I149" s="257"/>
      <c r="J149" s="257"/>
      <c r="K149" s="257"/>
      <c r="L149" s="25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2.75" customHeight="1" thickBot="1">
      <c r="A150" s="2"/>
      <c r="B150" s="38" t="s">
        <v>21</v>
      </c>
      <c r="C150" s="39">
        <v>672</v>
      </c>
      <c r="D150" s="39">
        <v>668</v>
      </c>
      <c r="E150" s="188">
        <v>343</v>
      </c>
      <c r="F150" s="208"/>
      <c r="G150" s="19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2.75" customHeight="1" thickBot="1">
      <c r="A151" s="2"/>
      <c r="B151" s="39" t="s">
        <v>22</v>
      </c>
      <c r="C151" s="40"/>
      <c r="D151" s="40">
        <v>-5.9523809523809521E-3</v>
      </c>
      <c r="E151" s="40"/>
      <c r="F151" s="40">
        <v>-0.1929411764705882</v>
      </c>
      <c r="G151" s="227">
        <v>1.3913043478260869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2.75" customHeight="1" thickBot="1">
      <c r="A152" s="2"/>
      <c r="B152" s="235"/>
      <c r="C152" s="2"/>
      <c r="D152" s="18"/>
      <c r="E152" s="2"/>
      <c r="F152" s="49"/>
      <c r="G152" s="49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2.75" customHeight="1" thickBot="1">
      <c r="A153" s="261" t="s">
        <v>42</v>
      </c>
      <c r="B153" s="262"/>
      <c r="C153" s="2"/>
      <c r="D153" s="18"/>
      <c r="E153" s="2"/>
      <c r="F153" s="49"/>
      <c r="G153" s="4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5.4" customHeight="1" thickBot="1">
      <c r="A154" s="258" t="s">
        <v>43</v>
      </c>
      <c r="B154" s="4" t="s">
        <v>2</v>
      </c>
      <c r="C154" s="3" t="s">
        <v>3</v>
      </c>
      <c r="D154" s="3" t="s">
        <v>4</v>
      </c>
      <c r="E154" s="3" t="s">
        <v>5</v>
      </c>
      <c r="F154" s="3" t="s">
        <v>6</v>
      </c>
      <c r="G154" s="3" t="s">
        <v>7</v>
      </c>
      <c r="H154" s="256" t="s">
        <v>44</v>
      </c>
      <c r="I154" s="257"/>
      <c r="J154" s="257"/>
      <c r="K154" s="257"/>
      <c r="L154" s="25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55.4" customHeight="1">
      <c r="A155" s="259"/>
      <c r="B155" s="172" t="s">
        <v>9</v>
      </c>
      <c r="C155" s="158">
        <v>3074</v>
      </c>
      <c r="D155" s="22">
        <v>3497</v>
      </c>
      <c r="E155" s="22">
        <v>2288</v>
      </c>
      <c r="F155" s="191">
        <v>-0.34572490706319697</v>
      </c>
      <c r="G155" s="191"/>
      <c r="H155" s="257"/>
      <c r="I155" s="257"/>
      <c r="J155" s="257"/>
      <c r="K155" s="257"/>
      <c r="L155" s="25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5.4" customHeight="1">
      <c r="A156" s="259"/>
      <c r="B156" s="173" t="s">
        <v>10</v>
      </c>
      <c r="C156" s="159">
        <v>2139</v>
      </c>
      <c r="D156" s="10">
        <v>2774</v>
      </c>
      <c r="E156" s="10">
        <v>2046</v>
      </c>
      <c r="F156" s="191">
        <v>-0.2624369142033165</v>
      </c>
      <c r="G156" s="191">
        <v>-0.1057692307692308</v>
      </c>
      <c r="H156" s="257"/>
      <c r="I156" s="257"/>
      <c r="J156" s="257"/>
      <c r="K156" s="257"/>
      <c r="L156" s="25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5.4" customHeight="1">
      <c r="A157" s="259"/>
      <c r="B157" s="173" t="s">
        <v>11</v>
      </c>
      <c r="C157" s="159">
        <v>3811</v>
      </c>
      <c r="D157" s="10">
        <v>2924</v>
      </c>
      <c r="E157" s="10">
        <v>1860</v>
      </c>
      <c r="F157" s="191">
        <v>-0.36388508891928872</v>
      </c>
      <c r="G157" s="191">
        <v>-9.0909090909090912E-2</v>
      </c>
      <c r="H157" s="257"/>
      <c r="I157" s="257"/>
      <c r="J157" s="257"/>
      <c r="K157" s="257"/>
      <c r="L157" s="25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55.4" customHeight="1">
      <c r="A158" s="259"/>
      <c r="B158" s="173" t="s">
        <v>12</v>
      </c>
      <c r="C158" s="159">
        <v>3050</v>
      </c>
      <c r="D158" s="10">
        <v>2164</v>
      </c>
      <c r="E158" s="10">
        <v>1787</v>
      </c>
      <c r="F158" s="191">
        <v>-0.17421441774491681</v>
      </c>
      <c r="G158" s="191">
        <v>-3.9247311827956988E-2</v>
      </c>
      <c r="H158" s="257"/>
      <c r="I158" s="257"/>
      <c r="J158" s="257"/>
      <c r="K158" s="257"/>
      <c r="L158" s="25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55.4" customHeight="1">
      <c r="A159" s="259"/>
      <c r="B159" s="236" t="s">
        <v>13</v>
      </c>
      <c r="C159" s="159">
        <v>2577</v>
      </c>
      <c r="D159" s="10">
        <v>2274</v>
      </c>
      <c r="E159" s="10">
        <v>1684</v>
      </c>
      <c r="F159" s="191">
        <v>-0.2594547053649956</v>
      </c>
      <c r="G159" s="191">
        <v>-5.7638500279798548E-2</v>
      </c>
      <c r="H159" s="257"/>
      <c r="I159" s="257"/>
      <c r="J159" s="257"/>
      <c r="K159" s="257"/>
      <c r="L159" s="25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55.4" customHeight="1">
      <c r="A160" s="259"/>
      <c r="B160" s="237" t="s">
        <v>14</v>
      </c>
      <c r="C160" s="159">
        <v>2289</v>
      </c>
      <c r="D160" s="10">
        <v>1928</v>
      </c>
      <c r="E160" s="10">
        <v>1360</v>
      </c>
      <c r="F160" s="191">
        <v>-0.29460580912863071</v>
      </c>
      <c r="G160" s="191">
        <v>-0.19239904988123521</v>
      </c>
      <c r="H160" s="257"/>
      <c r="I160" s="257"/>
      <c r="J160" s="257"/>
      <c r="K160" s="257"/>
      <c r="L160" s="25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55.4" customHeight="1">
      <c r="A161" s="259"/>
      <c r="B161" s="236" t="s">
        <v>15</v>
      </c>
      <c r="C161" s="159">
        <v>2420</v>
      </c>
      <c r="D161" s="10">
        <v>2158</v>
      </c>
      <c r="E161" s="10">
        <v>1391</v>
      </c>
      <c r="F161" s="191">
        <v>-0.35542168674698787</v>
      </c>
      <c r="G161" s="191">
        <v>2.2794117647058819E-2</v>
      </c>
      <c r="H161" s="257"/>
      <c r="I161" s="257"/>
      <c r="J161" s="257"/>
      <c r="K161" s="257"/>
      <c r="L161" s="25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55.4" customHeight="1">
      <c r="A162" s="259"/>
      <c r="B162" s="236" t="s">
        <v>16</v>
      </c>
      <c r="C162" s="159">
        <v>2426</v>
      </c>
      <c r="D162" s="10">
        <v>2197</v>
      </c>
      <c r="E162" s="10">
        <v>1255</v>
      </c>
      <c r="F162" s="191">
        <v>-0.42876649977241688</v>
      </c>
      <c r="G162" s="191">
        <v>-9.7771387491013662E-2</v>
      </c>
      <c r="H162" s="257"/>
      <c r="I162" s="257"/>
      <c r="J162" s="257"/>
      <c r="K162" s="257"/>
      <c r="L162" s="25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5.4" customHeight="1">
      <c r="A163" s="259"/>
      <c r="B163" s="236" t="s">
        <v>17</v>
      </c>
      <c r="C163" s="159">
        <v>2808</v>
      </c>
      <c r="D163" s="10">
        <v>2315</v>
      </c>
      <c r="E163" s="10"/>
      <c r="F163" s="191"/>
      <c r="G163" s="205"/>
      <c r="H163" s="257"/>
      <c r="I163" s="257"/>
      <c r="J163" s="257"/>
      <c r="K163" s="257"/>
      <c r="L163" s="25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55.4" customHeight="1">
      <c r="A164" s="259"/>
      <c r="B164" s="236" t="s">
        <v>18</v>
      </c>
      <c r="C164" s="159">
        <v>3462</v>
      </c>
      <c r="D164" s="10">
        <v>2536</v>
      </c>
      <c r="E164" s="10"/>
      <c r="F164" s="191"/>
      <c r="G164" s="205"/>
      <c r="H164" s="257"/>
      <c r="I164" s="257"/>
      <c r="J164" s="257"/>
      <c r="K164" s="257"/>
      <c r="L164" s="25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5.4" customHeight="1">
      <c r="A165" s="259"/>
      <c r="B165" s="236" t="s">
        <v>19</v>
      </c>
      <c r="C165" s="159">
        <v>3398</v>
      </c>
      <c r="D165" s="10">
        <v>1872</v>
      </c>
      <c r="E165" s="10"/>
      <c r="F165" s="191"/>
      <c r="G165" s="206"/>
      <c r="H165" s="257"/>
      <c r="I165" s="257"/>
      <c r="J165" s="257"/>
      <c r="K165" s="257"/>
      <c r="L165" s="25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5.4" customHeight="1" thickBot="1">
      <c r="A166" s="260"/>
      <c r="B166" s="238" t="s">
        <v>20</v>
      </c>
      <c r="C166" s="159">
        <v>2631</v>
      </c>
      <c r="D166" s="10">
        <v>1680</v>
      </c>
      <c r="E166" s="48"/>
      <c r="F166" s="207"/>
      <c r="G166" s="206"/>
      <c r="H166" s="257"/>
      <c r="I166" s="257"/>
      <c r="J166" s="257"/>
      <c r="K166" s="257"/>
      <c r="L166" s="25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2.75" customHeight="1" thickBot="1">
      <c r="A167" s="2"/>
      <c r="B167" s="38" t="s">
        <v>21</v>
      </c>
      <c r="C167" s="39">
        <v>34085</v>
      </c>
      <c r="D167" s="39">
        <v>28319</v>
      </c>
      <c r="E167" s="188">
        <v>13671</v>
      </c>
      <c r="F167" s="208"/>
      <c r="G167" s="19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2.75" customHeight="1" thickBot="1">
      <c r="A168" s="2"/>
      <c r="B168" s="39" t="s">
        <v>22</v>
      </c>
      <c r="C168" s="40"/>
      <c r="D168" s="40">
        <v>-0.1691653219891448</v>
      </c>
      <c r="E168" s="40"/>
      <c r="F168" s="40">
        <v>-0.31356698132155048</v>
      </c>
      <c r="G168" s="227">
        <v>-9.7771387491013662E-2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2.75" customHeight="1" thickBot="1">
      <c r="A169" s="2"/>
      <c r="B169" s="2"/>
      <c r="C169" s="2"/>
      <c r="D169" s="18"/>
      <c r="E169" s="2"/>
      <c r="F169" s="49"/>
      <c r="G169" s="49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55.4" customHeight="1" thickBot="1">
      <c r="A170" s="266" t="s">
        <v>45</v>
      </c>
      <c r="B170" s="35" t="s">
        <v>2</v>
      </c>
      <c r="C170" s="3" t="s">
        <v>3</v>
      </c>
      <c r="D170" s="3" t="s">
        <v>4</v>
      </c>
      <c r="E170" s="3" t="s">
        <v>5</v>
      </c>
      <c r="F170" s="26" t="s">
        <v>6</v>
      </c>
      <c r="G170" s="3" t="s">
        <v>7</v>
      </c>
      <c r="H170" s="256" t="s">
        <v>46</v>
      </c>
      <c r="I170" s="257"/>
      <c r="J170" s="257"/>
      <c r="K170" s="257"/>
      <c r="L170" s="25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5.4" customHeight="1">
      <c r="A171" s="267"/>
      <c r="B171" s="178" t="s">
        <v>9</v>
      </c>
      <c r="C171" s="167">
        <v>9</v>
      </c>
      <c r="D171" s="47">
        <v>7</v>
      </c>
      <c r="E171" s="22">
        <v>8</v>
      </c>
      <c r="F171" s="195">
        <v>0.14285714285714279</v>
      </c>
      <c r="G171" s="197"/>
      <c r="H171" s="257"/>
      <c r="I171" s="257"/>
      <c r="J171" s="257"/>
      <c r="K171" s="257"/>
      <c r="L171" s="25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55.4" customHeight="1">
      <c r="A172" s="267"/>
      <c r="B172" s="179" t="s">
        <v>10</v>
      </c>
      <c r="C172" s="168">
        <v>0</v>
      </c>
      <c r="D172" s="27">
        <v>4</v>
      </c>
      <c r="E172" s="10">
        <v>3</v>
      </c>
      <c r="F172" s="195">
        <v>-0.25</v>
      </c>
      <c r="G172" s="197">
        <v>-0.625</v>
      </c>
      <c r="H172" s="257"/>
      <c r="I172" s="257"/>
      <c r="J172" s="257"/>
      <c r="K172" s="257"/>
      <c r="L172" s="25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5.4" customHeight="1">
      <c r="A173" s="267"/>
      <c r="B173" s="179" t="s">
        <v>11</v>
      </c>
      <c r="C173" s="168">
        <v>4</v>
      </c>
      <c r="D173" s="27">
        <v>5</v>
      </c>
      <c r="E173" s="10">
        <v>15</v>
      </c>
      <c r="F173" s="195">
        <v>2</v>
      </c>
      <c r="G173" s="197">
        <v>4</v>
      </c>
      <c r="H173" s="257"/>
      <c r="I173" s="257"/>
      <c r="J173" s="257"/>
      <c r="K173" s="257"/>
      <c r="L173" s="25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55.4" customHeight="1">
      <c r="A174" s="267"/>
      <c r="B174" s="179" t="s">
        <v>12</v>
      </c>
      <c r="C174" s="168">
        <v>2</v>
      </c>
      <c r="D174" s="27">
        <v>6</v>
      </c>
      <c r="E174" s="10">
        <v>11</v>
      </c>
      <c r="F174" s="195">
        <v>0.83333333333333337</v>
      </c>
      <c r="G174" s="197">
        <v>-0.26666666666666672</v>
      </c>
      <c r="H174" s="257"/>
      <c r="I174" s="257"/>
      <c r="J174" s="257"/>
      <c r="K174" s="257"/>
      <c r="L174" s="25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5.4" customHeight="1">
      <c r="A175" s="267"/>
      <c r="B175" s="229" t="s">
        <v>13</v>
      </c>
      <c r="C175" s="168">
        <v>1</v>
      </c>
      <c r="D175" s="27">
        <v>8</v>
      </c>
      <c r="E175" s="10">
        <v>3</v>
      </c>
      <c r="F175" s="195">
        <v>-0.625</v>
      </c>
      <c r="G175" s="197">
        <v>-0.72727272727272729</v>
      </c>
      <c r="H175" s="257"/>
      <c r="I175" s="257"/>
      <c r="J175" s="257"/>
      <c r="K175" s="257"/>
      <c r="L175" s="25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5.4" customHeight="1">
      <c r="A176" s="267"/>
      <c r="B176" s="230" t="s">
        <v>14</v>
      </c>
      <c r="C176" s="168">
        <v>5</v>
      </c>
      <c r="D176" s="27">
        <v>8</v>
      </c>
      <c r="E176" s="10">
        <v>2</v>
      </c>
      <c r="F176" s="195">
        <v>-0.75</v>
      </c>
      <c r="G176" s="197">
        <v>-0.33333333333333331</v>
      </c>
      <c r="H176" s="257"/>
      <c r="I176" s="257"/>
      <c r="J176" s="257"/>
      <c r="K176" s="257"/>
      <c r="L176" s="25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55.4" customHeight="1">
      <c r="A177" s="267"/>
      <c r="B177" s="229" t="s">
        <v>15</v>
      </c>
      <c r="C177" s="168">
        <v>1</v>
      </c>
      <c r="D177" s="27">
        <v>12</v>
      </c>
      <c r="E177" s="10">
        <v>7</v>
      </c>
      <c r="F177" s="191">
        <v>-0.41666666666666669</v>
      </c>
      <c r="G177" s="197">
        <v>2.5</v>
      </c>
      <c r="H177" s="257"/>
      <c r="I177" s="257"/>
      <c r="J177" s="257"/>
      <c r="K177" s="257"/>
      <c r="L177" s="25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5.4" customHeight="1">
      <c r="A178" s="267"/>
      <c r="B178" s="229" t="s">
        <v>16</v>
      </c>
      <c r="C178" s="168">
        <v>5</v>
      </c>
      <c r="D178" s="27">
        <v>8</v>
      </c>
      <c r="E178" s="10">
        <v>4</v>
      </c>
      <c r="F178" s="191">
        <v>-0.5</v>
      </c>
      <c r="G178" s="197">
        <v>-0.42857142857142849</v>
      </c>
      <c r="H178" s="257"/>
      <c r="I178" s="257"/>
      <c r="J178" s="257"/>
      <c r="K178" s="257"/>
      <c r="L178" s="25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55.4" customHeight="1">
      <c r="A179" s="267"/>
      <c r="B179" s="229" t="s">
        <v>17</v>
      </c>
      <c r="C179" s="168">
        <v>8</v>
      </c>
      <c r="D179" s="27">
        <v>9</v>
      </c>
      <c r="E179" s="10"/>
      <c r="F179" s="191"/>
      <c r="G179" s="205"/>
      <c r="H179" s="257"/>
      <c r="I179" s="257"/>
      <c r="J179" s="257"/>
      <c r="K179" s="257"/>
      <c r="L179" s="25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5.4" customHeight="1">
      <c r="A180" s="267"/>
      <c r="B180" s="229" t="s">
        <v>18</v>
      </c>
      <c r="C180" s="168">
        <v>7</v>
      </c>
      <c r="D180" s="27">
        <v>4</v>
      </c>
      <c r="E180" s="10"/>
      <c r="F180" s="191"/>
      <c r="G180" s="205"/>
      <c r="H180" s="257"/>
      <c r="I180" s="257"/>
      <c r="J180" s="257"/>
      <c r="K180" s="257"/>
      <c r="L180" s="25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55.4" customHeight="1">
      <c r="A181" s="267"/>
      <c r="B181" s="229" t="s">
        <v>19</v>
      </c>
      <c r="C181" s="168">
        <v>5</v>
      </c>
      <c r="D181" s="27">
        <v>4</v>
      </c>
      <c r="E181" s="10"/>
      <c r="F181" s="191"/>
      <c r="G181" s="206"/>
      <c r="H181" s="257"/>
      <c r="I181" s="257"/>
      <c r="J181" s="257"/>
      <c r="K181" s="257"/>
      <c r="L181" s="25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55.4" customHeight="1" thickBot="1">
      <c r="A182" s="268"/>
      <c r="B182" s="239" t="s">
        <v>20</v>
      </c>
      <c r="C182" s="162">
        <v>4</v>
      </c>
      <c r="D182" s="15">
        <v>4</v>
      </c>
      <c r="E182" s="48"/>
      <c r="F182" s="207"/>
      <c r="G182" s="206"/>
      <c r="H182" s="257"/>
      <c r="I182" s="257"/>
      <c r="J182" s="257"/>
      <c r="K182" s="257"/>
      <c r="L182" s="25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2.75" customHeight="1" thickBot="1">
      <c r="A183" s="2"/>
      <c r="B183" s="38" t="s">
        <v>21</v>
      </c>
      <c r="C183" s="39">
        <v>51</v>
      </c>
      <c r="D183" s="39">
        <v>79</v>
      </c>
      <c r="E183" s="188">
        <v>53</v>
      </c>
      <c r="F183" s="208"/>
      <c r="G183" s="19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2.75" customHeight="1" thickBot="1">
      <c r="A184" s="2"/>
      <c r="B184" s="39" t="s">
        <v>22</v>
      </c>
      <c r="C184" s="40"/>
      <c r="D184" s="40">
        <v>0.5490196078431373</v>
      </c>
      <c r="E184" s="40"/>
      <c r="F184" s="40">
        <v>-8.6206896551724144E-2</v>
      </c>
      <c r="G184" s="227">
        <v>-0.42857142857142849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2.75" customHeight="1" thickBot="1">
      <c r="A185" s="2"/>
      <c r="B185" s="2"/>
      <c r="C185" s="2"/>
      <c r="D185" s="18"/>
      <c r="E185" s="2"/>
      <c r="F185" s="49"/>
      <c r="G185" s="49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.9" customHeight="1" thickBot="1">
      <c r="A186" s="263" t="s">
        <v>47</v>
      </c>
      <c r="B186" s="3" t="s">
        <v>2</v>
      </c>
      <c r="C186" s="3" t="s">
        <v>3</v>
      </c>
      <c r="D186" s="3" t="s">
        <v>4</v>
      </c>
      <c r="E186" s="3" t="s">
        <v>5</v>
      </c>
      <c r="F186" s="26" t="s">
        <v>6</v>
      </c>
      <c r="G186" s="3" t="s">
        <v>7</v>
      </c>
      <c r="H186" s="256" t="s">
        <v>48</v>
      </c>
      <c r="I186" s="257"/>
      <c r="J186" s="257"/>
      <c r="K186" s="257"/>
      <c r="L186" s="25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51.9" customHeight="1">
      <c r="A187" s="264"/>
      <c r="B187" s="172" t="s">
        <v>9</v>
      </c>
      <c r="C187" s="158">
        <v>32</v>
      </c>
      <c r="D187" s="22">
        <v>34</v>
      </c>
      <c r="E187" s="22">
        <v>118</v>
      </c>
      <c r="F187" s="195">
        <v>2.4705882352941182</v>
      </c>
      <c r="G187" s="197"/>
      <c r="H187" s="257"/>
      <c r="I187" s="257"/>
      <c r="J187" s="257"/>
      <c r="K187" s="257"/>
      <c r="L187" s="25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.9" customHeight="1">
      <c r="A188" s="264"/>
      <c r="B188" s="173" t="s">
        <v>10</v>
      </c>
      <c r="C188" s="159">
        <v>9</v>
      </c>
      <c r="D188" s="10">
        <v>53</v>
      </c>
      <c r="E188" s="10">
        <v>224</v>
      </c>
      <c r="F188" s="195">
        <v>3.226415094339623</v>
      </c>
      <c r="G188" s="197">
        <v>0.89830508474576276</v>
      </c>
      <c r="H188" s="257"/>
      <c r="I188" s="257"/>
      <c r="J188" s="257"/>
      <c r="K188" s="257"/>
      <c r="L188" s="25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51.9" customHeight="1">
      <c r="A189" s="264"/>
      <c r="B189" s="173" t="s">
        <v>11</v>
      </c>
      <c r="C189" s="159">
        <v>17</v>
      </c>
      <c r="D189" s="10">
        <v>64</v>
      </c>
      <c r="E189" s="10">
        <v>295</v>
      </c>
      <c r="F189" s="195">
        <v>3.609375</v>
      </c>
      <c r="G189" s="197">
        <v>0.3169642857142857</v>
      </c>
      <c r="H189" s="257"/>
      <c r="I189" s="257"/>
      <c r="J189" s="257"/>
      <c r="K189" s="257"/>
      <c r="L189" s="25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51.9" customHeight="1">
      <c r="A190" s="264"/>
      <c r="B190" s="173" t="s">
        <v>12</v>
      </c>
      <c r="C190" s="159">
        <v>14</v>
      </c>
      <c r="D190" s="10">
        <v>38</v>
      </c>
      <c r="E190" s="10">
        <v>396</v>
      </c>
      <c r="F190" s="195">
        <v>9.4210526315789469</v>
      </c>
      <c r="G190" s="197">
        <v>0.34237288135593219</v>
      </c>
      <c r="H190" s="257"/>
      <c r="I190" s="257"/>
      <c r="J190" s="257"/>
      <c r="K190" s="257"/>
      <c r="L190" s="25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51.9" customHeight="1">
      <c r="A191" s="264"/>
      <c r="B191" s="236" t="s">
        <v>13</v>
      </c>
      <c r="C191" s="159">
        <v>17</v>
      </c>
      <c r="D191" s="10">
        <v>38</v>
      </c>
      <c r="E191" s="10">
        <v>354</v>
      </c>
      <c r="F191" s="195">
        <v>8.3157894736842106</v>
      </c>
      <c r="G191" s="197">
        <v>-0.10606060606060611</v>
      </c>
      <c r="H191" s="257"/>
      <c r="I191" s="257"/>
      <c r="J191" s="257"/>
      <c r="K191" s="257"/>
      <c r="L191" s="25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51.9" customHeight="1">
      <c r="A192" s="264"/>
      <c r="B192" s="237" t="s">
        <v>14</v>
      </c>
      <c r="C192" s="159">
        <v>26</v>
      </c>
      <c r="D192" s="10">
        <v>44</v>
      </c>
      <c r="E192" s="10">
        <v>332</v>
      </c>
      <c r="F192" s="191">
        <v>6.5454545454545459</v>
      </c>
      <c r="G192" s="197">
        <v>-6.2146892655367228E-2</v>
      </c>
      <c r="H192" s="257"/>
      <c r="I192" s="257"/>
      <c r="J192" s="257"/>
      <c r="K192" s="257"/>
      <c r="L192" s="25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51.9" customHeight="1">
      <c r="A193" s="264"/>
      <c r="B193" s="236" t="s">
        <v>15</v>
      </c>
      <c r="C193" s="159">
        <v>7</v>
      </c>
      <c r="D193" s="10">
        <v>34</v>
      </c>
      <c r="E193" s="10">
        <v>196</v>
      </c>
      <c r="F193" s="191">
        <v>4.7647058823529411</v>
      </c>
      <c r="G193" s="197">
        <v>-0.40963855421686751</v>
      </c>
      <c r="H193" s="257"/>
      <c r="I193" s="257"/>
      <c r="J193" s="257"/>
      <c r="K193" s="257"/>
      <c r="L193" s="25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51.9" customHeight="1">
      <c r="A194" s="264"/>
      <c r="B194" s="236" t="s">
        <v>16</v>
      </c>
      <c r="C194" s="159">
        <v>13</v>
      </c>
      <c r="D194" s="10">
        <v>31</v>
      </c>
      <c r="E194" s="10">
        <v>183</v>
      </c>
      <c r="F194" s="191">
        <v>4.903225806451613</v>
      </c>
      <c r="G194" s="197">
        <v>-6.6326530612244902E-2</v>
      </c>
      <c r="H194" s="257"/>
      <c r="I194" s="257"/>
      <c r="J194" s="257"/>
      <c r="K194" s="257"/>
      <c r="L194" s="25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.9" customHeight="1">
      <c r="A195" s="264"/>
      <c r="B195" s="236" t="s">
        <v>17</v>
      </c>
      <c r="C195" s="159">
        <v>34</v>
      </c>
      <c r="D195" s="10">
        <v>28</v>
      </c>
      <c r="E195" s="10"/>
      <c r="F195" s="191"/>
      <c r="G195" s="205"/>
      <c r="H195" s="257"/>
      <c r="I195" s="257"/>
      <c r="J195" s="257"/>
      <c r="K195" s="257"/>
      <c r="L195" s="25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51.9" customHeight="1">
      <c r="A196" s="264"/>
      <c r="B196" s="236" t="s">
        <v>18</v>
      </c>
      <c r="C196" s="159">
        <v>20</v>
      </c>
      <c r="D196" s="10">
        <v>21</v>
      </c>
      <c r="E196" s="10"/>
      <c r="F196" s="191"/>
      <c r="G196" s="205"/>
      <c r="H196" s="257"/>
      <c r="I196" s="257"/>
      <c r="J196" s="257"/>
      <c r="K196" s="257"/>
      <c r="L196" s="25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51.9" customHeight="1">
      <c r="A197" s="264"/>
      <c r="B197" s="236" t="s">
        <v>19</v>
      </c>
      <c r="C197" s="159">
        <v>19</v>
      </c>
      <c r="D197" s="10">
        <v>42</v>
      </c>
      <c r="E197" s="10"/>
      <c r="F197" s="191"/>
      <c r="G197" s="206"/>
      <c r="H197" s="257"/>
      <c r="I197" s="257"/>
      <c r="J197" s="257"/>
      <c r="K197" s="257"/>
      <c r="L197" s="25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.9" customHeight="1" thickBot="1">
      <c r="A198" s="265"/>
      <c r="B198" s="238" t="s">
        <v>20</v>
      </c>
      <c r="C198" s="162">
        <v>25</v>
      </c>
      <c r="D198" s="15">
        <v>102</v>
      </c>
      <c r="E198" s="48"/>
      <c r="F198" s="207"/>
      <c r="G198" s="206"/>
      <c r="H198" s="257"/>
      <c r="I198" s="257"/>
      <c r="J198" s="257"/>
      <c r="K198" s="257"/>
      <c r="L198" s="25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2.75" customHeight="1" thickBot="1">
      <c r="A199" s="2"/>
      <c r="B199" s="38" t="s">
        <v>21</v>
      </c>
      <c r="C199" s="39">
        <v>233</v>
      </c>
      <c r="D199" s="39">
        <v>529</v>
      </c>
      <c r="E199" s="188">
        <v>2098</v>
      </c>
      <c r="F199" s="208"/>
      <c r="G199" s="19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2.75" customHeight="1" thickBot="1">
      <c r="A200" s="2"/>
      <c r="B200" s="39" t="s">
        <v>22</v>
      </c>
      <c r="C200" s="40"/>
      <c r="D200" s="40">
        <v>1.270386266094421</v>
      </c>
      <c r="E200" s="40"/>
      <c r="F200" s="40">
        <v>5.2440476190476186</v>
      </c>
      <c r="G200" s="227">
        <v>-6.6326530612244902E-2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2.75" customHeight="1" thickBot="1">
      <c r="A201" s="2"/>
      <c r="B201" s="2"/>
      <c r="C201" s="2"/>
      <c r="D201" s="18"/>
      <c r="E201" s="2"/>
      <c r="F201" s="49"/>
      <c r="G201" s="49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2.75" customHeight="1" thickBot="1">
      <c r="A202" s="261" t="s">
        <v>49</v>
      </c>
      <c r="B202" s="262"/>
      <c r="C202" s="2"/>
      <c r="D202" s="18"/>
      <c r="E202" s="2"/>
      <c r="F202" s="49"/>
      <c r="G202" s="49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64.650000000000006" customHeight="1" thickBot="1">
      <c r="A203" s="258" t="s">
        <v>50</v>
      </c>
      <c r="B203" s="4" t="s">
        <v>2</v>
      </c>
      <c r="C203" s="3" t="s">
        <v>3</v>
      </c>
      <c r="D203" s="3" t="s">
        <v>4</v>
      </c>
      <c r="E203" s="3" t="s">
        <v>5</v>
      </c>
      <c r="F203" s="26" t="s">
        <v>6</v>
      </c>
      <c r="G203" s="3" t="s">
        <v>7</v>
      </c>
      <c r="H203" s="256" t="s">
        <v>51</v>
      </c>
      <c r="I203" s="257"/>
      <c r="J203" s="257"/>
      <c r="K203" s="257"/>
      <c r="L203" s="25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64.650000000000006" customHeight="1">
      <c r="A204" s="259"/>
      <c r="B204" s="172" t="s">
        <v>9</v>
      </c>
      <c r="C204" s="158">
        <v>3468</v>
      </c>
      <c r="D204" s="22">
        <v>4290</v>
      </c>
      <c r="E204" s="22">
        <v>3370</v>
      </c>
      <c r="F204" s="195">
        <v>-0.21445221445221449</v>
      </c>
      <c r="G204" s="197"/>
      <c r="H204" s="257"/>
      <c r="I204" s="257"/>
      <c r="J204" s="257"/>
      <c r="K204" s="257"/>
      <c r="L204" s="25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64.650000000000006" customHeight="1">
      <c r="A205" s="259"/>
      <c r="B205" s="173" t="s">
        <v>10</v>
      </c>
      <c r="C205" s="159">
        <v>3188</v>
      </c>
      <c r="D205" s="10">
        <v>4523</v>
      </c>
      <c r="E205" s="10">
        <v>3392</v>
      </c>
      <c r="F205" s="195">
        <v>-0.25005527304886138</v>
      </c>
      <c r="G205" s="197">
        <v>6.5281899109792289E-3</v>
      </c>
      <c r="H205" s="257"/>
      <c r="I205" s="257"/>
      <c r="J205" s="257"/>
      <c r="K205" s="257"/>
      <c r="L205" s="25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64.650000000000006" customHeight="1">
      <c r="A206" s="259"/>
      <c r="B206" s="173" t="s">
        <v>11</v>
      </c>
      <c r="C206" s="159">
        <v>5044</v>
      </c>
      <c r="D206" s="10">
        <v>4168</v>
      </c>
      <c r="E206" s="10">
        <v>3241</v>
      </c>
      <c r="F206" s="195">
        <v>-0.22240882917466409</v>
      </c>
      <c r="G206" s="197">
        <v>-4.4516509433962258E-2</v>
      </c>
      <c r="H206" s="257"/>
      <c r="I206" s="257"/>
      <c r="J206" s="257"/>
      <c r="K206" s="257"/>
      <c r="L206" s="25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64.650000000000006" customHeight="1">
      <c r="A207" s="259"/>
      <c r="B207" s="173" t="s">
        <v>12</v>
      </c>
      <c r="C207" s="159">
        <v>4040</v>
      </c>
      <c r="D207" s="10">
        <v>3069</v>
      </c>
      <c r="E207" s="10">
        <v>3330</v>
      </c>
      <c r="F207" s="195">
        <v>8.5043988269794715E-2</v>
      </c>
      <c r="G207" s="197">
        <v>2.7460660290033939E-2</v>
      </c>
      <c r="H207" s="257"/>
      <c r="I207" s="257"/>
      <c r="J207" s="257"/>
      <c r="K207" s="257"/>
      <c r="L207" s="25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64.650000000000006" customHeight="1">
      <c r="A208" s="259"/>
      <c r="B208" s="236" t="s">
        <v>13</v>
      </c>
      <c r="C208" s="159">
        <v>3742</v>
      </c>
      <c r="D208" s="10">
        <v>3108</v>
      </c>
      <c r="E208" s="10">
        <v>3209</v>
      </c>
      <c r="F208" s="195">
        <v>3.2496782496782499E-2</v>
      </c>
      <c r="G208" s="197">
        <v>-3.6336336336336338E-2</v>
      </c>
      <c r="H208" s="257"/>
      <c r="I208" s="257"/>
      <c r="J208" s="257"/>
      <c r="K208" s="257"/>
      <c r="L208" s="25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64.650000000000006" customHeight="1">
      <c r="A209" s="259"/>
      <c r="B209" s="237" t="s">
        <v>14</v>
      </c>
      <c r="C209" s="159">
        <v>3480</v>
      </c>
      <c r="D209" s="10">
        <v>2893</v>
      </c>
      <c r="E209" s="10">
        <v>3042</v>
      </c>
      <c r="F209" s="191">
        <v>5.1503629450397513E-2</v>
      </c>
      <c r="G209" s="197">
        <v>-5.2041134309753823E-2</v>
      </c>
      <c r="H209" s="257"/>
      <c r="I209" s="257"/>
      <c r="J209" s="257"/>
      <c r="K209" s="257"/>
      <c r="L209" s="25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64.650000000000006" customHeight="1">
      <c r="A210" s="259"/>
      <c r="B210" s="236" t="s">
        <v>15</v>
      </c>
      <c r="C210" s="159">
        <v>3538</v>
      </c>
      <c r="D210" s="10">
        <v>3366</v>
      </c>
      <c r="E210" s="10">
        <v>2813</v>
      </c>
      <c r="F210" s="191">
        <v>-0.16428995840760549</v>
      </c>
      <c r="G210" s="197">
        <v>-7.5279421433267588E-2</v>
      </c>
      <c r="H210" s="257"/>
      <c r="I210" s="257"/>
      <c r="J210" s="257"/>
      <c r="K210" s="257"/>
      <c r="L210" s="25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64.650000000000006" customHeight="1">
      <c r="A211" s="259"/>
      <c r="B211" s="236" t="s">
        <v>16</v>
      </c>
      <c r="C211" s="159">
        <v>3515</v>
      </c>
      <c r="D211" s="10">
        <v>3556</v>
      </c>
      <c r="E211" s="10">
        <v>2585</v>
      </c>
      <c r="F211" s="191">
        <v>-0.2730596175478065</v>
      </c>
      <c r="G211" s="197">
        <v>-8.1052257376466402E-2</v>
      </c>
      <c r="H211" s="257"/>
      <c r="I211" s="257"/>
      <c r="J211" s="257"/>
      <c r="K211" s="257"/>
      <c r="L211" s="25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64.650000000000006" customHeight="1">
      <c r="A212" s="259"/>
      <c r="B212" s="236" t="s">
        <v>17</v>
      </c>
      <c r="C212" s="159">
        <v>3765</v>
      </c>
      <c r="D212" s="10">
        <v>3420</v>
      </c>
      <c r="E212" s="10"/>
      <c r="F212" s="191"/>
      <c r="G212" s="205"/>
      <c r="H212" s="257"/>
      <c r="I212" s="257"/>
      <c r="J212" s="257"/>
      <c r="K212" s="257"/>
      <c r="L212" s="25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64.650000000000006" customHeight="1">
      <c r="A213" s="259"/>
      <c r="B213" s="236" t="s">
        <v>18</v>
      </c>
      <c r="C213" s="159">
        <v>4121</v>
      </c>
      <c r="D213" s="10">
        <v>3723</v>
      </c>
      <c r="E213" s="10"/>
      <c r="F213" s="191"/>
      <c r="G213" s="205"/>
      <c r="H213" s="257"/>
      <c r="I213" s="257"/>
      <c r="J213" s="257"/>
      <c r="K213" s="257"/>
      <c r="L213" s="25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64.650000000000006" customHeight="1">
      <c r="A214" s="259"/>
      <c r="B214" s="236" t="s">
        <v>19</v>
      </c>
      <c r="C214" s="159">
        <v>4097</v>
      </c>
      <c r="D214" s="10">
        <v>3059</v>
      </c>
      <c r="E214" s="10"/>
      <c r="F214" s="191"/>
      <c r="G214" s="206"/>
      <c r="H214" s="257"/>
      <c r="I214" s="257"/>
      <c r="J214" s="257"/>
      <c r="K214" s="257"/>
      <c r="L214" s="25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64.650000000000006" customHeight="1" thickBot="1">
      <c r="A215" s="260"/>
      <c r="B215" s="238" t="s">
        <v>20</v>
      </c>
      <c r="C215" s="162">
        <v>3232</v>
      </c>
      <c r="D215" s="15">
        <v>2914</v>
      </c>
      <c r="E215" s="48"/>
      <c r="F215" s="207"/>
      <c r="G215" s="206"/>
      <c r="H215" s="257"/>
      <c r="I215" s="257"/>
      <c r="J215" s="257"/>
      <c r="K215" s="257"/>
      <c r="L215" s="25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2.75" customHeight="1" thickBot="1">
      <c r="A216" s="41"/>
      <c r="B216" s="38" t="s">
        <v>21</v>
      </c>
      <c r="C216" s="39">
        <v>45230</v>
      </c>
      <c r="D216" s="39">
        <v>42089</v>
      </c>
      <c r="E216" s="188">
        <v>24982</v>
      </c>
      <c r="F216" s="208"/>
      <c r="G216" s="19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2.75" customHeight="1" thickBot="1">
      <c r="A217" s="41"/>
      <c r="B217" s="39" t="s">
        <v>22</v>
      </c>
      <c r="C217" s="40"/>
      <c r="D217" s="40">
        <v>-6.9445058589431799E-2</v>
      </c>
      <c r="E217" s="40"/>
      <c r="F217" s="40">
        <v>-0.1377489386670348</v>
      </c>
      <c r="G217" s="227">
        <v>-8.1052257376466402E-2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2.75" customHeight="1" thickBot="1">
      <c r="A218" s="2"/>
      <c r="B218" s="2"/>
      <c r="C218" s="2"/>
      <c r="D218" s="18"/>
      <c r="E218" s="2"/>
      <c r="F218" s="49"/>
      <c r="G218" s="49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61.15" customHeight="1" thickBot="1">
      <c r="A219" s="263" t="s">
        <v>52</v>
      </c>
      <c r="B219" s="3" t="s">
        <v>2</v>
      </c>
      <c r="C219" s="3" t="s">
        <v>3</v>
      </c>
      <c r="D219" s="3" t="s">
        <v>4</v>
      </c>
      <c r="E219" s="3" t="s">
        <v>5</v>
      </c>
      <c r="F219" s="26" t="s">
        <v>6</v>
      </c>
      <c r="G219" s="3" t="s">
        <v>7</v>
      </c>
      <c r="H219" s="256" t="s">
        <v>53</v>
      </c>
      <c r="I219" s="257"/>
      <c r="J219" s="257"/>
      <c r="K219" s="257"/>
      <c r="L219" s="25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61.15" customHeight="1">
      <c r="A220" s="264"/>
      <c r="B220" s="172" t="s">
        <v>9</v>
      </c>
      <c r="C220" s="158">
        <v>989</v>
      </c>
      <c r="D220" s="22">
        <v>975</v>
      </c>
      <c r="E220" s="22">
        <v>584</v>
      </c>
      <c r="F220" s="195">
        <v>-0.40102564102564098</v>
      </c>
      <c r="G220" s="197"/>
      <c r="H220" s="257"/>
      <c r="I220" s="257"/>
      <c r="J220" s="257"/>
      <c r="K220" s="257"/>
      <c r="L220" s="25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61.15" customHeight="1">
      <c r="A221" s="264"/>
      <c r="B221" s="173" t="s">
        <v>10</v>
      </c>
      <c r="C221" s="159">
        <v>314</v>
      </c>
      <c r="D221" s="10">
        <v>759</v>
      </c>
      <c r="E221" s="10">
        <v>543</v>
      </c>
      <c r="F221" s="195">
        <v>-0.28458498023715417</v>
      </c>
      <c r="G221" s="197">
        <v>-7.0205479452054798E-2</v>
      </c>
      <c r="H221" s="257"/>
      <c r="I221" s="257"/>
      <c r="J221" s="257"/>
      <c r="K221" s="257"/>
      <c r="L221" s="25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61.15" customHeight="1">
      <c r="A222" s="264"/>
      <c r="B222" s="173" t="s">
        <v>11</v>
      </c>
      <c r="C222" s="159">
        <v>878</v>
      </c>
      <c r="D222" s="10">
        <v>972</v>
      </c>
      <c r="E222" s="10">
        <v>571</v>
      </c>
      <c r="F222" s="195">
        <v>-0.41255144032921809</v>
      </c>
      <c r="G222" s="197">
        <v>5.1565377532228361E-2</v>
      </c>
      <c r="H222" s="257"/>
      <c r="I222" s="257"/>
      <c r="J222" s="257"/>
      <c r="K222" s="257"/>
      <c r="L222" s="25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61.15" customHeight="1">
      <c r="A223" s="264"/>
      <c r="B223" s="173" t="s">
        <v>12</v>
      </c>
      <c r="C223" s="159">
        <v>751</v>
      </c>
      <c r="D223" s="10">
        <v>612</v>
      </c>
      <c r="E223" s="10">
        <v>405</v>
      </c>
      <c r="F223" s="195">
        <v>-0.33823529411764708</v>
      </c>
      <c r="G223" s="197">
        <v>-0.29071803852889672</v>
      </c>
      <c r="H223" s="257"/>
      <c r="I223" s="257"/>
      <c r="J223" s="257"/>
      <c r="K223" s="257"/>
      <c r="L223" s="25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61.15" customHeight="1">
      <c r="A224" s="264"/>
      <c r="B224" s="236" t="s">
        <v>13</v>
      </c>
      <c r="C224" s="159">
        <v>708</v>
      </c>
      <c r="D224" s="10">
        <v>865</v>
      </c>
      <c r="E224" s="10">
        <v>396</v>
      </c>
      <c r="F224" s="195">
        <v>-0.54219653179190752</v>
      </c>
      <c r="G224" s="197">
        <v>-2.222222222222222E-2</v>
      </c>
      <c r="H224" s="257"/>
      <c r="I224" s="257"/>
      <c r="J224" s="257"/>
      <c r="K224" s="257"/>
      <c r="L224" s="25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61.15" customHeight="1">
      <c r="A225" s="264"/>
      <c r="B225" s="237" t="s">
        <v>14</v>
      </c>
      <c r="C225" s="159">
        <v>642</v>
      </c>
      <c r="D225" s="10">
        <v>500</v>
      </c>
      <c r="E225" s="10">
        <v>357</v>
      </c>
      <c r="F225" s="195">
        <v>-0.28599999999999998</v>
      </c>
      <c r="G225" s="197">
        <v>-9.8484848484848481E-2</v>
      </c>
      <c r="H225" s="257"/>
      <c r="I225" s="257"/>
      <c r="J225" s="257"/>
      <c r="K225" s="257"/>
      <c r="L225" s="25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61.15" customHeight="1">
      <c r="A226" s="264"/>
      <c r="B226" s="236" t="s">
        <v>15</v>
      </c>
      <c r="C226" s="159">
        <v>722</v>
      </c>
      <c r="D226" s="10">
        <v>631</v>
      </c>
      <c r="E226" s="10">
        <v>398</v>
      </c>
      <c r="F226" s="195">
        <v>-0.36925515055467512</v>
      </c>
      <c r="G226" s="197">
        <v>0.11484593837535011</v>
      </c>
      <c r="H226" s="257"/>
      <c r="I226" s="257"/>
      <c r="J226" s="257"/>
      <c r="K226" s="257"/>
      <c r="L226" s="25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61.15" customHeight="1">
      <c r="A227" s="264"/>
      <c r="B227" s="236" t="s">
        <v>16</v>
      </c>
      <c r="C227" s="159">
        <v>692</v>
      </c>
      <c r="D227" s="10">
        <v>703</v>
      </c>
      <c r="E227" s="10">
        <v>368</v>
      </c>
      <c r="F227" s="195">
        <v>-0.47652916073968699</v>
      </c>
      <c r="G227" s="197">
        <v>-7.5376884422110546E-2</v>
      </c>
      <c r="H227" s="257"/>
      <c r="I227" s="257"/>
      <c r="J227" s="257"/>
      <c r="K227" s="257"/>
      <c r="L227" s="25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61.15" customHeight="1">
      <c r="A228" s="264"/>
      <c r="B228" s="236" t="s">
        <v>17</v>
      </c>
      <c r="C228" s="159">
        <v>714</v>
      </c>
      <c r="D228" s="10">
        <v>576</v>
      </c>
      <c r="E228" s="10"/>
      <c r="F228" s="195"/>
      <c r="G228" s="200"/>
      <c r="H228" s="257"/>
      <c r="I228" s="257"/>
      <c r="J228" s="257"/>
      <c r="K228" s="257"/>
      <c r="L228" s="25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61.15" customHeight="1">
      <c r="A229" s="264"/>
      <c r="B229" s="236" t="s">
        <v>18</v>
      </c>
      <c r="C229" s="159">
        <v>1088</v>
      </c>
      <c r="D229" s="10">
        <v>674</v>
      </c>
      <c r="E229" s="10"/>
      <c r="F229" s="195"/>
      <c r="G229" s="200"/>
      <c r="H229" s="257"/>
      <c r="I229" s="257"/>
      <c r="J229" s="257"/>
      <c r="K229" s="257"/>
      <c r="L229" s="25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61.15" customHeight="1">
      <c r="A230" s="264"/>
      <c r="B230" s="236" t="s">
        <v>19</v>
      </c>
      <c r="C230" s="159">
        <v>943</v>
      </c>
      <c r="D230" s="10">
        <v>576</v>
      </c>
      <c r="E230" s="10"/>
      <c r="F230" s="195"/>
      <c r="G230" s="200"/>
      <c r="H230" s="257"/>
      <c r="I230" s="257"/>
      <c r="J230" s="257"/>
      <c r="K230" s="257"/>
      <c r="L230" s="25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61.15" customHeight="1" thickBot="1">
      <c r="A231" s="265"/>
      <c r="B231" s="238" t="s">
        <v>20</v>
      </c>
      <c r="C231" s="162">
        <v>762</v>
      </c>
      <c r="D231" s="15">
        <v>506</v>
      </c>
      <c r="E231" s="42"/>
      <c r="F231" s="195"/>
      <c r="G231" s="200"/>
      <c r="H231" s="257"/>
      <c r="I231" s="257"/>
      <c r="J231" s="257"/>
      <c r="K231" s="257"/>
      <c r="L231" s="25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2.75" customHeight="1" thickBot="1">
      <c r="A232" s="41"/>
      <c r="B232" s="38" t="s">
        <v>21</v>
      </c>
      <c r="C232" s="39">
        <v>9203</v>
      </c>
      <c r="D232" s="39">
        <v>8349</v>
      </c>
      <c r="E232" s="39">
        <v>3622</v>
      </c>
      <c r="F232" s="196"/>
      <c r="G232" s="19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2.75" customHeight="1" thickBot="1">
      <c r="A233" s="41"/>
      <c r="B233" s="39" t="s">
        <v>22</v>
      </c>
      <c r="C233" s="40"/>
      <c r="D233" s="40">
        <v>-9.279582744757145E-2</v>
      </c>
      <c r="E233" s="40"/>
      <c r="F233" s="40">
        <v>-0.39803888981219882</v>
      </c>
      <c r="G233" s="228">
        <v>-7.5376884422110546E-2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2.75" customHeight="1" thickBot="1">
      <c r="A234" s="2"/>
      <c r="B234" s="2"/>
      <c r="C234" s="2"/>
      <c r="D234" s="18"/>
      <c r="E234" s="2"/>
      <c r="F234" s="49"/>
      <c r="G234" s="49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60" customHeight="1" thickBot="1">
      <c r="A235" s="263" t="s">
        <v>54</v>
      </c>
      <c r="B235" s="3" t="s">
        <v>2</v>
      </c>
      <c r="C235" s="3" t="s">
        <v>3</v>
      </c>
      <c r="D235" s="3" t="s">
        <v>4</v>
      </c>
      <c r="E235" s="3" t="s">
        <v>5</v>
      </c>
      <c r="F235" s="26" t="s">
        <v>6</v>
      </c>
      <c r="G235" s="3" t="s">
        <v>7</v>
      </c>
      <c r="H235" s="256" t="s">
        <v>55</v>
      </c>
      <c r="I235" s="257"/>
      <c r="J235" s="257"/>
      <c r="K235" s="257"/>
      <c r="L235" s="25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60" customHeight="1">
      <c r="A236" s="264"/>
      <c r="B236" s="172" t="s">
        <v>9</v>
      </c>
      <c r="C236" s="158"/>
      <c r="D236" s="22">
        <v>1853</v>
      </c>
      <c r="E236" s="22">
        <v>835</v>
      </c>
      <c r="F236" s="195">
        <v>-0.54937938478143555</v>
      </c>
      <c r="G236" s="197"/>
      <c r="H236" s="257"/>
      <c r="I236" s="257"/>
      <c r="J236" s="257"/>
      <c r="K236" s="257"/>
      <c r="L236" s="25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60" customHeight="1">
      <c r="A237" s="264"/>
      <c r="B237" s="173" t="s">
        <v>10</v>
      </c>
      <c r="C237" s="159"/>
      <c r="D237" s="10">
        <v>1486</v>
      </c>
      <c r="E237" s="10">
        <v>903</v>
      </c>
      <c r="F237" s="195">
        <v>-0.392328398384926</v>
      </c>
      <c r="G237" s="197">
        <v>8.1437125748502995E-2</v>
      </c>
      <c r="H237" s="257"/>
      <c r="I237" s="257"/>
      <c r="J237" s="257"/>
      <c r="K237" s="257"/>
      <c r="L237" s="25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60" customHeight="1">
      <c r="A238" s="264"/>
      <c r="B238" s="173" t="s">
        <v>11</v>
      </c>
      <c r="C238" s="159"/>
      <c r="D238" s="10">
        <v>1252</v>
      </c>
      <c r="E238" s="10">
        <v>831</v>
      </c>
      <c r="F238" s="195">
        <v>-0.33626198083067088</v>
      </c>
      <c r="G238" s="197">
        <v>-7.9734219269102985E-2</v>
      </c>
      <c r="H238" s="257"/>
      <c r="I238" s="257"/>
      <c r="J238" s="257"/>
      <c r="K238" s="257"/>
      <c r="L238" s="25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60" customHeight="1">
      <c r="A239" s="264"/>
      <c r="B239" s="173" t="s">
        <v>12</v>
      </c>
      <c r="C239" s="159">
        <v>1608</v>
      </c>
      <c r="D239" s="10">
        <v>1006</v>
      </c>
      <c r="E239" s="10">
        <v>912</v>
      </c>
      <c r="F239" s="195">
        <v>-9.3439363817097415E-2</v>
      </c>
      <c r="G239" s="197">
        <v>9.7472924187725629E-2</v>
      </c>
      <c r="H239" s="257"/>
      <c r="I239" s="257"/>
      <c r="J239" s="257"/>
      <c r="K239" s="257"/>
      <c r="L239" s="25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60" customHeight="1">
      <c r="A240" s="264"/>
      <c r="B240" s="236" t="s">
        <v>13</v>
      </c>
      <c r="C240" s="159">
        <v>1478</v>
      </c>
      <c r="D240" s="10">
        <v>1113</v>
      </c>
      <c r="E240" s="10">
        <v>1055</v>
      </c>
      <c r="F240" s="195">
        <v>-5.2111410601976639E-2</v>
      </c>
      <c r="G240" s="197">
        <v>0.1567982456140351</v>
      </c>
      <c r="H240" s="257"/>
      <c r="I240" s="257"/>
      <c r="J240" s="257"/>
      <c r="K240" s="257"/>
      <c r="L240" s="25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60" customHeight="1">
      <c r="A241" s="264"/>
      <c r="B241" s="237" t="s">
        <v>14</v>
      </c>
      <c r="C241" s="159">
        <v>1155</v>
      </c>
      <c r="D241" s="10">
        <v>918</v>
      </c>
      <c r="E241" s="10">
        <v>942</v>
      </c>
      <c r="F241" s="195">
        <v>2.61437908496732E-2</v>
      </c>
      <c r="G241" s="197">
        <v>-0.1071090047393365</v>
      </c>
      <c r="H241" s="257"/>
      <c r="I241" s="257"/>
      <c r="J241" s="257"/>
      <c r="K241" s="257"/>
      <c r="L241" s="25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60" customHeight="1">
      <c r="A242" s="264"/>
      <c r="B242" s="236" t="s">
        <v>15</v>
      </c>
      <c r="C242" s="159">
        <v>1145</v>
      </c>
      <c r="D242" s="10">
        <v>994</v>
      </c>
      <c r="E242" s="10">
        <v>1084</v>
      </c>
      <c r="F242" s="195">
        <v>9.0543259557344061E-2</v>
      </c>
      <c r="G242" s="197">
        <v>0.1507430997876858</v>
      </c>
      <c r="H242" s="257"/>
      <c r="I242" s="257"/>
      <c r="J242" s="257"/>
      <c r="K242" s="257"/>
      <c r="L242" s="25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60" customHeight="1">
      <c r="A243" s="264"/>
      <c r="B243" s="236" t="s">
        <v>16</v>
      </c>
      <c r="C243" s="159">
        <v>1057</v>
      </c>
      <c r="D243" s="10">
        <v>936</v>
      </c>
      <c r="E243" s="10">
        <v>694</v>
      </c>
      <c r="F243" s="195">
        <v>-0.25854700854700863</v>
      </c>
      <c r="G243" s="197">
        <v>-0.35977859778597793</v>
      </c>
      <c r="H243" s="257"/>
      <c r="I243" s="257"/>
      <c r="J243" s="257"/>
      <c r="K243" s="257"/>
      <c r="L243" s="25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60" customHeight="1">
      <c r="A244" s="264"/>
      <c r="B244" s="236" t="s">
        <v>17</v>
      </c>
      <c r="C244" s="159">
        <v>1294</v>
      </c>
      <c r="D244" s="10">
        <v>924</v>
      </c>
      <c r="E244" s="10"/>
      <c r="F244" s="195"/>
      <c r="G244" s="200"/>
      <c r="H244" s="257"/>
      <c r="I244" s="257"/>
      <c r="J244" s="257"/>
      <c r="K244" s="257"/>
      <c r="L244" s="25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60" customHeight="1">
      <c r="A245" s="264"/>
      <c r="B245" s="236" t="s">
        <v>18</v>
      </c>
      <c r="C245" s="159">
        <v>2154</v>
      </c>
      <c r="D245" s="10">
        <v>1116</v>
      </c>
      <c r="E245" s="10"/>
      <c r="F245" s="195"/>
      <c r="G245" s="200"/>
      <c r="H245" s="257"/>
      <c r="I245" s="257"/>
      <c r="J245" s="257"/>
      <c r="K245" s="257"/>
      <c r="L245" s="25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60" customHeight="1">
      <c r="A246" s="264"/>
      <c r="B246" s="236" t="s">
        <v>19</v>
      </c>
      <c r="C246" s="159">
        <v>2352</v>
      </c>
      <c r="D246" s="10">
        <v>915</v>
      </c>
      <c r="E246" s="10"/>
      <c r="F246" s="195"/>
      <c r="G246" s="200"/>
      <c r="H246" s="257"/>
      <c r="I246" s="257"/>
      <c r="J246" s="257"/>
      <c r="K246" s="257"/>
      <c r="L246" s="25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60" customHeight="1" thickBot="1">
      <c r="A247" s="265"/>
      <c r="B247" s="238" t="s">
        <v>20</v>
      </c>
      <c r="C247" s="166">
        <v>1744</v>
      </c>
      <c r="D247" s="42">
        <v>747</v>
      </c>
      <c r="E247" s="42"/>
      <c r="F247" s="195"/>
      <c r="G247" s="201"/>
      <c r="H247" s="257"/>
      <c r="I247" s="257"/>
      <c r="J247" s="257"/>
      <c r="K247" s="257"/>
      <c r="L247" s="25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2.75" customHeight="1" thickBot="1">
      <c r="A248" s="255"/>
      <c r="B248" s="38" t="s">
        <v>21</v>
      </c>
      <c r="C248" s="39">
        <v>13987</v>
      </c>
      <c r="D248" s="39">
        <v>13260</v>
      </c>
      <c r="E248" s="39">
        <v>7256</v>
      </c>
      <c r="F248" s="38"/>
      <c r="G248" s="19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2.75" customHeight="1" thickBot="1">
      <c r="A249" s="255"/>
      <c r="B249" s="39" t="s">
        <v>22</v>
      </c>
      <c r="C249" s="40"/>
      <c r="D249" s="40">
        <v>-5.1976835633087873E-2</v>
      </c>
      <c r="E249" s="40"/>
      <c r="F249" s="40">
        <v>-0.24084536513915039</v>
      </c>
      <c r="G249" s="228">
        <v>-0.35977859778597793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2.75" customHeight="1">
      <c r="A250" s="2"/>
      <c r="B250" s="2"/>
      <c r="C250" s="2"/>
      <c r="D250" s="18"/>
      <c r="E250" s="2"/>
      <c r="F250" s="49"/>
      <c r="G250" s="49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2.75" customHeight="1">
      <c r="A251" s="255"/>
      <c r="B251" s="2"/>
      <c r="C251" s="2"/>
      <c r="D251" s="18"/>
      <c r="E251" s="2"/>
      <c r="F251" s="49"/>
      <c r="G251" s="49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2.75" customHeight="1">
      <c r="A252" s="2" t="s">
        <v>56</v>
      </c>
      <c r="B252" s="2"/>
      <c r="C252" s="2"/>
      <c r="D252" s="18"/>
      <c r="E252" s="2"/>
      <c r="F252" s="49"/>
      <c r="G252" s="49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2.75" customHeight="1">
      <c r="A253" s="255"/>
      <c r="B253" s="255"/>
      <c r="C253" s="2"/>
      <c r="D253" s="18"/>
      <c r="E253" s="2"/>
      <c r="F253" s="49"/>
      <c r="G253" s="49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2.75" customHeight="1">
      <c r="A254" s="255"/>
      <c r="B254" s="255"/>
      <c r="C254" s="2"/>
      <c r="D254" s="18"/>
      <c r="E254" s="2"/>
      <c r="F254" s="49"/>
      <c r="G254" s="49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2.75" customHeight="1">
      <c r="A255" s="255"/>
      <c r="B255" s="255"/>
      <c r="C255" s="2"/>
      <c r="D255" s="18"/>
      <c r="E255" s="2"/>
      <c r="F255" s="49"/>
      <c r="G255" s="49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2.75" customHeight="1">
      <c r="A256" s="255"/>
      <c r="B256" s="255"/>
      <c r="C256" s="2"/>
      <c r="D256" s="18"/>
      <c r="E256" s="2"/>
      <c r="F256" s="49"/>
      <c r="G256" s="49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2.75" customHeight="1">
      <c r="A257" s="255"/>
      <c r="B257" s="255"/>
      <c r="C257" s="2"/>
      <c r="D257" s="18"/>
      <c r="E257" s="2"/>
      <c r="F257" s="49"/>
      <c r="G257" s="49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2.75" customHeight="1">
      <c r="A258" s="255"/>
      <c r="B258" s="255"/>
      <c r="C258" s="2"/>
      <c r="D258" s="18"/>
      <c r="E258" s="2"/>
      <c r="F258" s="49"/>
      <c r="G258" s="49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2.75" customHeight="1">
      <c r="A259" s="255"/>
      <c r="B259" s="255"/>
      <c r="C259" s="2"/>
      <c r="D259" s="18"/>
      <c r="E259" s="2"/>
      <c r="F259" s="49"/>
      <c r="G259" s="49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2.75" customHeight="1">
      <c r="A260" s="255"/>
      <c r="B260" s="255"/>
      <c r="C260" s="2"/>
      <c r="D260" s="18"/>
      <c r="E260" s="2"/>
      <c r="F260" s="49"/>
      <c r="G260" s="49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2.75" customHeight="1">
      <c r="A261" s="255"/>
      <c r="B261" s="255"/>
      <c r="C261" s="2"/>
      <c r="D261" s="18"/>
      <c r="E261" s="2"/>
      <c r="F261" s="49"/>
      <c r="G261" s="49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2.75" customHeight="1">
      <c r="A262" s="255"/>
      <c r="B262" s="255"/>
      <c r="C262" s="2"/>
      <c r="D262" s="18"/>
      <c r="E262" s="2"/>
      <c r="F262" s="49"/>
      <c r="G262" s="49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2.75" customHeight="1">
      <c r="A263" s="255"/>
      <c r="B263" s="255"/>
      <c r="C263" s="2"/>
      <c r="D263" s="18"/>
      <c r="E263" s="2"/>
      <c r="F263" s="49"/>
      <c r="G263" s="49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2.75" customHeight="1">
      <c r="A264" s="255"/>
      <c r="B264" s="255"/>
      <c r="C264" s="2"/>
      <c r="D264" s="18"/>
      <c r="E264" s="2"/>
      <c r="F264" s="49"/>
      <c r="G264" s="49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2.75" customHeight="1">
      <c r="A265" s="255"/>
      <c r="B265" s="255"/>
      <c r="C265" s="2"/>
      <c r="D265" s="18"/>
      <c r="E265" s="2"/>
      <c r="F265" s="49"/>
      <c r="G265" s="49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2.75" customHeight="1">
      <c r="A266" s="2"/>
      <c r="B266" s="2"/>
      <c r="C266" s="2"/>
      <c r="D266" s="18"/>
      <c r="E266" s="2"/>
      <c r="F266" s="49"/>
      <c r="G266" s="49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2.75" customHeight="1">
      <c r="A267" s="2"/>
      <c r="B267" s="2"/>
      <c r="C267" s="2"/>
      <c r="D267" s="18"/>
      <c r="E267" s="2"/>
      <c r="F267" s="49"/>
      <c r="G267" s="49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2.75" customHeight="1">
      <c r="A268" s="2"/>
      <c r="B268" s="2"/>
      <c r="C268" s="2"/>
      <c r="D268" s="18"/>
      <c r="E268" s="2"/>
      <c r="F268" s="49"/>
      <c r="G268" s="49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2.75" customHeight="1">
      <c r="A269" s="2"/>
      <c r="B269" s="2"/>
      <c r="C269" s="2"/>
      <c r="D269" s="18"/>
      <c r="E269" s="2"/>
      <c r="F269" s="49"/>
      <c r="G269" s="49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2.75" customHeight="1">
      <c r="A270" s="2"/>
      <c r="B270" s="2"/>
      <c r="C270" s="2"/>
      <c r="D270" s="18"/>
      <c r="E270" s="2"/>
      <c r="F270" s="49"/>
      <c r="G270" s="49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2.75" customHeight="1">
      <c r="A271" s="2"/>
      <c r="B271" s="2"/>
      <c r="C271" s="2"/>
      <c r="D271" s="18"/>
      <c r="E271" s="2"/>
      <c r="F271" s="49"/>
      <c r="G271" s="49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2.75" customHeight="1">
      <c r="A272" s="2"/>
      <c r="B272" s="2"/>
      <c r="C272" s="2"/>
      <c r="D272" s="18"/>
      <c r="E272" s="2"/>
      <c r="F272" s="49"/>
      <c r="G272" s="49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2.75" customHeight="1">
      <c r="A273" s="2"/>
      <c r="B273" s="2"/>
      <c r="C273" s="2"/>
      <c r="D273" s="18"/>
      <c r="E273" s="2"/>
      <c r="F273" s="49"/>
      <c r="G273" s="49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2.75" customHeight="1">
      <c r="A274" s="2"/>
      <c r="B274" s="2"/>
      <c r="C274" s="2"/>
      <c r="D274" s="18"/>
      <c r="E274" s="2"/>
      <c r="F274" s="49"/>
      <c r="G274" s="49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2.75" customHeight="1">
      <c r="A275" s="2"/>
      <c r="B275" s="2"/>
      <c r="C275" s="2"/>
      <c r="D275" s="18"/>
      <c r="E275" s="2"/>
      <c r="F275" s="49"/>
      <c r="G275" s="49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2.75" customHeight="1">
      <c r="A276" s="2"/>
      <c r="B276" s="2"/>
      <c r="C276" s="2"/>
      <c r="D276" s="18"/>
      <c r="E276" s="2"/>
      <c r="F276" s="49"/>
      <c r="G276" s="49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2.75" customHeight="1">
      <c r="A277" s="2"/>
      <c r="B277" s="181"/>
      <c r="C277" s="2"/>
      <c r="D277" s="18"/>
      <c r="E277" s="2"/>
      <c r="F277" s="49"/>
      <c r="G277" s="49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2.75" customHeight="1">
      <c r="A278" s="2"/>
      <c r="B278" s="2"/>
      <c r="C278" s="2"/>
      <c r="D278" s="18"/>
      <c r="E278" s="2"/>
      <c r="F278" s="49"/>
      <c r="G278" s="49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2.75" customHeight="1">
      <c r="A279" s="2"/>
      <c r="B279" s="2"/>
      <c r="C279" s="2"/>
      <c r="D279" s="18"/>
      <c r="E279" s="2"/>
      <c r="F279" s="49"/>
      <c r="G279" s="49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2.75" customHeight="1">
      <c r="A280" s="2"/>
      <c r="B280" s="2"/>
      <c r="C280" s="2"/>
      <c r="D280" s="18"/>
      <c r="E280" s="2"/>
      <c r="F280" s="49"/>
      <c r="G280" s="49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2.75" customHeight="1">
      <c r="A281" s="2"/>
      <c r="B281" s="2"/>
      <c r="C281" s="2"/>
      <c r="D281" s="18"/>
      <c r="E281" s="2"/>
      <c r="F281" s="49"/>
      <c r="G281" s="49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2.75" customHeight="1">
      <c r="A282" s="2"/>
      <c r="B282" s="2"/>
      <c r="C282" s="2"/>
      <c r="D282" s="18"/>
      <c r="E282" s="2"/>
      <c r="F282" s="49"/>
      <c r="G282" s="49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2.75" customHeight="1">
      <c r="A283" s="2"/>
      <c r="B283" s="2"/>
      <c r="C283" s="2"/>
      <c r="D283" s="18"/>
      <c r="E283" s="2"/>
      <c r="F283" s="49"/>
      <c r="G283" s="49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2.75" customHeight="1">
      <c r="A284" s="2"/>
      <c r="B284" s="2"/>
      <c r="C284" s="2"/>
      <c r="D284" s="18"/>
      <c r="E284" s="2"/>
      <c r="F284" s="49"/>
      <c r="G284" s="49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2.75" customHeight="1">
      <c r="A285" s="2"/>
      <c r="B285" s="2"/>
      <c r="C285" s="2"/>
      <c r="D285" s="18"/>
      <c r="E285" s="2"/>
      <c r="F285" s="49"/>
      <c r="G285" s="49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2.75" customHeight="1">
      <c r="A286" s="2"/>
      <c r="B286" s="2"/>
      <c r="C286" s="2"/>
      <c r="D286" s="18"/>
      <c r="E286" s="2"/>
      <c r="F286" s="49"/>
      <c r="G286" s="49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2.75" customHeight="1">
      <c r="A287" s="2"/>
      <c r="B287" s="2"/>
      <c r="C287" s="2"/>
      <c r="D287" s="18"/>
      <c r="E287" s="2"/>
      <c r="F287" s="49"/>
      <c r="G287" s="49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2.75" customHeight="1">
      <c r="A288" s="2"/>
      <c r="B288" s="2"/>
      <c r="C288" s="2"/>
      <c r="D288" s="18"/>
      <c r="E288" s="2"/>
      <c r="F288" s="49"/>
      <c r="G288" s="49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2.75" customHeight="1">
      <c r="A289" s="2"/>
      <c r="B289" s="2"/>
      <c r="C289" s="2"/>
      <c r="D289" s="18"/>
      <c r="E289" s="2"/>
      <c r="F289" s="49"/>
      <c r="G289" s="49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2.75" customHeight="1">
      <c r="A290" s="2"/>
      <c r="B290" s="2"/>
      <c r="C290" s="2"/>
      <c r="D290" s="18"/>
      <c r="E290" s="2"/>
      <c r="F290" s="49"/>
      <c r="G290" s="49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2.75" customHeight="1">
      <c r="A291" s="2"/>
      <c r="B291" s="2"/>
      <c r="C291" s="2"/>
      <c r="D291" s="18"/>
      <c r="E291" s="2"/>
      <c r="F291" s="49"/>
      <c r="G291" s="49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2.75" customHeight="1">
      <c r="A292" s="2"/>
      <c r="B292" s="235"/>
      <c r="C292" s="2"/>
      <c r="D292" s="18"/>
      <c r="E292" s="2"/>
      <c r="F292" s="49"/>
      <c r="G292" s="49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2.75" customHeight="1">
      <c r="A293" s="2"/>
      <c r="B293" s="2"/>
      <c r="C293" s="2"/>
      <c r="D293" s="18"/>
      <c r="E293" s="2"/>
      <c r="F293" s="49"/>
      <c r="G293" s="49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2.75" customHeight="1">
      <c r="A294" s="2"/>
      <c r="B294" s="2"/>
      <c r="C294" s="2"/>
      <c r="D294" s="18"/>
      <c r="E294" s="2"/>
      <c r="F294" s="49"/>
      <c r="G294" s="49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2.75" customHeight="1">
      <c r="A295" s="2"/>
      <c r="B295" s="2"/>
      <c r="C295" s="2"/>
      <c r="D295" s="18"/>
      <c r="E295" s="2"/>
      <c r="F295" s="49"/>
      <c r="G295" s="49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2.75" customHeight="1">
      <c r="A296" s="2"/>
      <c r="B296" s="2"/>
      <c r="C296" s="2"/>
      <c r="D296" s="18"/>
      <c r="E296" s="2"/>
      <c r="F296" s="49"/>
      <c r="G296" s="49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2.75" customHeight="1">
      <c r="A297" s="2"/>
      <c r="B297" s="2"/>
      <c r="C297" s="2"/>
      <c r="D297" s="18"/>
      <c r="E297" s="2"/>
      <c r="F297" s="49"/>
      <c r="G297" s="49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2.75" customHeight="1">
      <c r="A298" s="2"/>
      <c r="B298" s="2"/>
      <c r="C298" s="2"/>
      <c r="D298" s="18"/>
      <c r="E298" s="2"/>
      <c r="F298" s="49"/>
      <c r="G298" s="49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2.75" customHeight="1">
      <c r="A299" s="2"/>
      <c r="B299" s="2"/>
      <c r="C299" s="2"/>
      <c r="D299" s="18"/>
      <c r="E299" s="2"/>
      <c r="F299" s="49"/>
      <c r="G299" s="49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2.75" customHeight="1">
      <c r="A300" s="2"/>
      <c r="B300" s="2"/>
      <c r="C300" s="2"/>
      <c r="D300" s="18"/>
      <c r="E300" s="2"/>
      <c r="F300" s="49"/>
      <c r="G300" s="49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2.75" customHeight="1">
      <c r="A301" s="2"/>
      <c r="B301" s="2"/>
      <c r="C301" s="2"/>
      <c r="D301" s="18"/>
      <c r="E301" s="2"/>
      <c r="F301" s="49"/>
      <c r="G301" s="49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2.75" customHeight="1">
      <c r="A302" s="2"/>
      <c r="B302" s="2"/>
      <c r="C302" s="2"/>
      <c r="D302" s="18"/>
      <c r="E302" s="2"/>
      <c r="F302" s="49"/>
      <c r="G302" s="49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2.75" customHeight="1">
      <c r="A303" s="2"/>
      <c r="B303" s="2"/>
      <c r="C303" s="2"/>
      <c r="D303" s="18"/>
      <c r="E303" s="2"/>
      <c r="F303" s="49"/>
      <c r="G303" s="49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2.75" customHeight="1">
      <c r="A304" s="2"/>
      <c r="B304" s="2"/>
      <c r="C304" s="2"/>
      <c r="D304" s="18"/>
      <c r="E304" s="2"/>
      <c r="F304" s="49"/>
      <c r="G304" s="49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2.75" customHeight="1">
      <c r="A305" s="2"/>
      <c r="B305" s="2"/>
      <c r="C305" s="2"/>
      <c r="D305" s="18"/>
      <c r="E305" s="2"/>
      <c r="F305" s="49"/>
      <c r="G305" s="49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2.75" customHeight="1">
      <c r="A306" s="2"/>
      <c r="B306" s="2"/>
      <c r="C306" s="2"/>
      <c r="D306" s="18"/>
      <c r="E306" s="2"/>
      <c r="F306" s="49"/>
      <c r="G306" s="49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2.75" customHeight="1">
      <c r="A307" s="2"/>
      <c r="B307" s="2"/>
      <c r="C307" s="2"/>
      <c r="D307" s="18"/>
      <c r="E307" s="2"/>
      <c r="F307" s="49"/>
      <c r="G307" s="49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2.75" customHeight="1">
      <c r="A308" s="2"/>
      <c r="B308" s="2"/>
      <c r="C308" s="2"/>
      <c r="D308" s="18"/>
      <c r="E308" s="2"/>
      <c r="F308" s="49"/>
      <c r="G308" s="49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2.75" customHeight="1">
      <c r="A309" s="2"/>
      <c r="B309" s="2"/>
      <c r="C309" s="2"/>
      <c r="D309" s="18"/>
      <c r="E309" s="2"/>
      <c r="F309" s="49"/>
      <c r="G309" s="49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2.75" customHeight="1">
      <c r="A310" s="2"/>
      <c r="B310" s="2"/>
      <c r="C310" s="2"/>
      <c r="D310" s="18"/>
      <c r="E310" s="2"/>
      <c r="F310" s="49"/>
      <c r="G310" s="49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2.75" customHeight="1">
      <c r="A311" s="2"/>
      <c r="B311" s="2"/>
      <c r="C311" s="2"/>
      <c r="D311" s="18"/>
      <c r="E311" s="2"/>
      <c r="F311" s="49"/>
      <c r="G311" s="49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2.75" customHeight="1">
      <c r="A312" s="2"/>
      <c r="B312" s="2"/>
      <c r="C312" s="2"/>
      <c r="D312" s="18"/>
      <c r="E312" s="2"/>
      <c r="F312" s="49"/>
      <c r="G312" s="49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2.75" customHeight="1">
      <c r="A313" s="2"/>
      <c r="B313" s="2"/>
      <c r="C313" s="2"/>
      <c r="D313" s="18"/>
      <c r="E313" s="2"/>
      <c r="F313" s="49"/>
      <c r="G313" s="49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2.75" customHeight="1">
      <c r="A314" s="2"/>
      <c r="B314" s="2"/>
      <c r="C314" s="2"/>
      <c r="D314" s="18"/>
      <c r="E314" s="2"/>
      <c r="F314" s="49"/>
      <c r="G314" s="49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2.75" customHeight="1">
      <c r="A315" s="2"/>
      <c r="B315" s="2"/>
      <c r="C315" s="2"/>
      <c r="D315" s="18"/>
      <c r="E315" s="2"/>
      <c r="F315" s="49"/>
      <c r="G315" s="49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2.75" customHeight="1">
      <c r="A316" s="2"/>
      <c r="B316" s="2"/>
      <c r="C316" s="2"/>
      <c r="D316" s="18"/>
      <c r="E316" s="2"/>
      <c r="F316" s="49"/>
      <c r="G316" s="49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2.75" customHeight="1">
      <c r="A317" s="2"/>
      <c r="B317" s="2"/>
      <c r="C317" s="2"/>
      <c r="D317" s="18"/>
      <c r="E317" s="2"/>
      <c r="F317" s="49"/>
      <c r="G317" s="49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2.75" customHeight="1">
      <c r="A318" s="2"/>
      <c r="B318" s="2"/>
      <c r="C318" s="2"/>
      <c r="D318" s="18"/>
      <c r="E318" s="2"/>
      <c r="F318" s="49"/>
      <c r="G318" s="49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2.75" customHeight="1">
      <c r="A319" s="2"/>
      <c r="B319" s="2"/>
      <c r="C319" s="2"/>
      <c r="D319" s="18"/>
      <c r="E319" s="2"/>
      <c r="F319" s="49"/>
      <c r="G319" s="49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2.75" customHeight="1">
      <c r="A320" s="2"/>
      <c r="B320" s="2"/>
      <c r="C320" s="2"/>
      <c r="D320" s="18"/>
      <c r="E320" s="2"/>
      <c r="F320" s="49"/>
      <c r="G320" s="49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2.75" customHeight="1">
      <c r="A321" s="2"/>
      <c r="B321" s="2"/>
      <c r="C321" s="2"/>
      <c r="D321" s="18"/>
      <c r="E321" s="2"/>
      <c r="F321" s="49"/>
      <c r="G321" s="49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2.75" customHeight="1">
      <c r="A322" s="2"/>
      <c r="B322" s="2"/>
      <c r="C322" s="2"/>
      <c r="D322" s="18"/>
      <c r="E322" s="2"/>
      <c r="F322" s="49"/>
      <c r="G322" s="49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2.75" customHeight="1">
      <c r="A323" s="2"/>
      <c r="B323" s="2"/>
      <c r="C323" s="2"/>
      <c r="D323" s="18"/>
      <c r="E323" s="2"/>
      <c r="F323" s="49"/>
      <c r="G323" s="49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2.75" customHeight="1">
      <c r="A324" s="2"/>
      <c r="B324" s="2"/>
      <c r="C324" s="2"/>
      <c r="D324" s="18"/>
      <c r="E324" s="2"/>
      <c r="F324" s="49"/>
      <c r="G324" s="49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2.75" customHeight="1">
      <c r="A325" s="2"/>
      <c r="B325" s="2"/>
      <c r="C325" s="2"/>
      <c r="D325" s="18"/>
      <c r="E325" s="2"/>
      <c r="F325" s="49"/>
      <c r="G325" s="49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2.75" customHeight="1">
      <c r="A326" s="2"/>
      <c r="B326" s="2"/>
      <c r="C326" s="2"/>
      <c r="D326" s="18"/>
      <c r="E326" s="2"/>
      <c r="F326" s="49"/>
      <c r="G326" s="49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2.75" customHeight="1">
      <c r="A327" s="2"/>
      <c r="B327" s="2"/>
      <c r="C327" s="2"/>
      <c r="D327" s="18"/>
      <c r="E327" s="2"/>
      <c r="F327" s="49"/>
      <c r="G327" s="49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2.75" customHeight="1">
      <c r="A328" s="2"/>
      <c r="B328" s="235"/>
      <c r="C328" s="2"/>
      <c r="D328" s="18"/>
      <c r="E328" s="2"/>
      <c r="F328" s="49"/>
      <c r="G328" s="49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2.75" customHeight="1">
      <c r="A329" s="2"/>
      <c r="B329" s="2"/>
      <c r="C329" s="2"/>
      <c r="D329" s="18"/>
      <c r="E329" s="2"/>
      <c r="F329" s="49"/>
      <c r="G329" s="49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2.75" customHeight="1">
      <c r="A330" s="2"/>
      <c r="B330" s="2"/>
      <c r="C330" s="2"/>
      <c r="D330" s="18"/>
      <c r="E330" s="2"/>
      <c r="F330" s="49"/>
      <c r="G330" s="49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2.75" customHeight="1">
      <c r="A331" s="2"/>
      <c r="B331" s="2"/>
      <c r="C331" s="2"/>
      <c r="D331" s="18"/>
      <c r="E331" s="2"/>
      <c r="F331" s="49"/>
      <c r="G331" s="49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2.75" customHeight="1">
      <c r="A332" s="2"/>
      <c r="B332" s="2"/>
      <c r="C332" s="2"/>
      <c r="D332" s="18"/>
      <c r="E332" s="2"/>
      <c r="F332" s="49"/>
      <c r="G332" s="49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2.75" customHeight="1">
      <c r="A333" s="2"/>
      <c r="B333" s="2"/>
      <c r="C333" s="2"/>
      <c r="D333" s="18"/>
      <c r="E333" s="2"/>
      <c r="F333" s="49"/>
      <c r="G333" s="49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2.75" customHeight="1">
      <c r="A334" s="2"/>
      <c r="B334" s="2"/>
      <c r="C334" s="2"/>
      <c r="D334" s="18"/>
      <c r="E334" s="2"/>
      <c r="F334" s="49"/>
      <c r="G334" s="49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2.75" customHeight="1">
      <c r="A335" s="2"/>
      <c r="B335" s="2"/>
      <c r="C335" s="2"/>
      <c r="D335" s="18"/>
      <c r="E335" s="2"/>
      <c r="F335" s="49"/>
      <c r="G335" s="49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2.75" customHeight="1">
      <c r="A336" s="2"/>
      <c r="B336" s="2"/>
      <c r="C336" s="2"/>
      <c r="D336" s="18"/>
      <c r="E336" s="2"/>
      <c r="F336" s="49"/>
      <c r="G336" s="49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2.75" customHeight="1">
      <c r="A337" s="2"/>
      <c r="B337" s="2"/>
      <c r="C337" s="2"/>
      <c r="D337" s="18"/>
      <c r="E337" s="2"/>
      <c r="F337" s="49"/>
      <c r="G337" s="49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2.75" customHeight="1">
      <c r="A338" s="2"/>
      <c r="B338" s="2"/>
      <c r="C338" s="2"/>
      <c r="D338" s="18"/>
      <c r="E338" s="2"/>
      <c r="F338" s="49"/>
      <c r="G338" s="49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2.75" customHeight="1">
      <c r="A339" s="2"/>
      <c r="B339" s="2"/>
      <c r="C339" s="2"/>
      <c r="D339" s="18"/>
      <c r="E339" s="2"/>
      <c r="F339" s="49"/>
      <c r="G339" s="49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2.75" customHeight="1">
      <c r="A340" s="2"/>
      <c r="B340" s="2"/>
      <c r="C340" s="2"/>
      <c r="D340" s="18"/>
      <c r="E340" s="2"/>
      <c r="F340" s="49"/>
      <c r="G340" s="49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2.75" customHeight="1">
      <c r="A341" s="2"/>
      <c r="B341" s="2"/>
      <c r="C341" s="2"/>
      <c r="D341" s="18"/>
      <c r="E341" s="2"/>
      <c r="F341" s="49"/>
      <c r="G341" s="49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2.75" customHeight="1">
      <c r="A342" s="2"/>
      <c r="B342" s="2"/>
      <c r="C342" s="2"/>
      <c r="D342" s="18"/>
      <c r="E342" s="2"/>
      <c r="F342" s="49"/>
      <c r="G342" s="49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2.75" customHeight="1">
      <c r="A343" s="2"/>
      <c r="B343" s="2"/>
      <c r="C343" s="2"/>
      <c r="D343" s="18"/>
      <c r="E343" s="2"/>
      <c r="F343" s="49"/>
      <c r="G343" s="49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2.75" customHeight="1">
      <c r="A344" s="2"/>
      <c r="B344" s="2"/>
      <c r="C344" s="2"/>
      <c r="D344" s="18"/>
      <c r="E344" s="2"/>
      <c r="F344" s="49"/>
      <c r="G344" s="49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2.75" customHeight="1">
      <c r="A345" s="2"/>
      <c r="B345" s="2"/>
      <c r="C345" s="2"/>
      <c r="D345" s="18"/>
      <c r="E345" s="2"/>
      <c r="F345" s="49"/>
      <c r="G345" s="49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2.75" customHeight="1">
      <c r="A346" s="2"/>
      <c r="B346" s="2"/>
      <c r="C346" s="2"/>
      <c r="D346" s="18"/>
      <c r="E346" s="2"/>
      <c r="F346" s="49"/>
      <c r="G346" s="49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2.75" customHeight="1">
      <c r="A347" s="2"/>
      <c r="B347" s="2"/>
      <c r="C347" s="2"/>
      <c r="D347" s="18"/>
      <c r="E347" s="2"/>
      <c r="F347" s="49"/>
      <c r="G347" s="49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2.75" customHeight="1">
      <c r="A348" s="2"/>
      <c r="B348" s="2"/>
      <c r="C348" s="2"/>
      <c r="D348" s="18"/>
      <c r="E348" s="2"/>
      <c r="F348" s="49"/>
      <c r="G348" s="49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2.75" customHeight="1">
      <c r="A349" s="2"/>
      <c r="B349" s="2"/>
      <c r="C349" s="2"/>
      <c r="D349" s="18"/>
      <c r="E349" s="2"/>
      <c r="F349" s="49"/>
      <c r="G349" s="49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2.75" customHeight="1">
      <c r="A350" s="2"/>
      <c r="B350" s="2"/>
      <c r="C350" s="2"/>
      <c r="D350" s="18"/>
      <c r="E350" s="2"/>
      <c r="F350" s="49"/>
      <c r="G350" s="49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2.75" customHeight="1">
      <c r="A351" s="2"/>
      <c r="B351" s="2"/>
      <c r="C351" s="2"/>
      <c r="D351" s="18"/>
      <c r="E351" s="2"/>
      <c r="F351" s="49"/>
      <c r="G351" s="49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2.75" customHeight="1">
      <c r="A352" s="2"/>
      <c r="B352" s="2"/>
      <c r="C352" s="2"/>
      <c r="D352" s="18"/>
      <c r="E352" s="2"/>
      <c r="F352" s="49"/>
      <c r="G352" s="49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2.75" customHeight="1">
      <c r="A353" s="2"/>
      <c r="B353" s="2"/>
      <c r="C353" s="2"/>
      <c r="D353" s="18"/>
      <c r="E353" s="2"/>
      <c r="F353" s="49"/>
      <c r="G353" s="49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2.75" customHeight="1">
      <c r="A354" s="2"/>
      <c r="B354" s="2"/>
      <c r="C354" s="2"/>
      <c r="D354" s="18"/>
      <c r="E354" s="2"/>
      <c r="F354" s="49"/>
      <c r="G354" s="49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2.75" customHeight="1">
      <c r="A355" s="2"/>
      <c r="B355" s="2"/>
      <c r="C355" s="2"/>
      <c r="D355" s="18"/>
      <c r="E355" s="2"/>
      <c r="F355" s="49"/>
      <c r="G355" s="49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2.75" customHeight="1">
      <c r="A356" s="2"/>
      <c r="B356" s="2"/>
      <c r="C356" s="2"/>
      <c r="D356" s="18"/>
      <c r="E356" s="2"/>
      <c r="F356" s="49"/>
      <c r="G356" s="49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2.75" customHeight="1">
      <c r="A357" s="2"/>
      <c r="B357" s="2"/>
      <c r="C357" s="2"/>
      <c r="D357" s="18"/>
      <c r="E357" s="2"/>
      <c r="F357" s="49"/>
      <c r="G357" s="49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2.75" customHeight="1">
      <c r="A358" s="2"/>
      <c r="B358" s="2"/>
      <c r="C358" s="2"/>
      <c r="D358" s="18"/>
      <c r="E358" s="2"/>
      <c r="F358" s="49"/>
      <c r="G358" s="49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2.75" customHeight="1">
      <c r="A359" s="2"/>
      <c r="B359" s="2"/>
      <c r="C359" s="2"/>
      <c r="D359" s="18"/>
      <c r="E359" s="2"/>
      <c r="F359" s="49"/>
      <c r="G359" s="49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2.75" customHeight="1">
      <c r="A360" s="2"/>
      <c r="B360" s="2"/>
      <c r="C360" s="2"/>
      <c r="D360" s="18"/>
      <c r="E360" s="2"/>
      <c r="F360" s="49"/>
      <c r="G360" s="49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2.75" customHeight="1">
      <c r="A361" s="2"/>
      <c r="B361" s="2"/>
      <c r="C361" s="2"/>
      <c r="D361" s="18"/>
      <c r="E361" s="2"/>
      <c r="F361" s="49"/>
      <c r="G361" s="49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2.75" customHeight="1">
      <c r="A362" s="2"/>
      <c r="B362" s="235"/>
      <c r="C362" s="2"/>
      <c r="D362" s="18"/>
      <c r="E362" s="2"/>
      <c r="F362" s="49"/>
      <c r="G362" s="49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2.75" customHeight="1">
      <c r="A363" s="2"/>
      <c r="B363" s="2"/>
      <c r="C363" s="2"/>
      <c r="D363" s="18"/>
      <c r="E363" s="2"/>
      <c r="F363" s="49"/>
      <c r="G363" s="49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2.75" customHeight="1">
      <c r="A364" s="2"/>
      <c r="B364" s="2"/>
      <c r="C364" s="2"/>
      <c r="D364" s="18"/>
      <c r="E364" s="2"/>
      <c r="F364" s="49"/>
      <c r="G364" s="49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2.75" customHeight="1">
      <c r="A365" s="2"/>
      <c r="B365" s="2"/>
      <c r="C365" s="2"/>
      <c r="D365" s="18"/>
      <c r="E365" s="2"/>
      <c r="F365" s="49"/>
      <c r="G365" s="49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2.75" customHeight="1">
      <c r="A366" s="2"/>
      <c r="B366" s="2"/>
      <c r="C366" s="2"/>
      <c r="D366" s="18"/>
      <c r="E366" s="2"/>
      <c r="F366" s="49"/>
      <c r="G366" s="49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2.75" customHeight="1">
      <c r="A367" s="2"/>
      <c r="B367" s="2"/>
      <c r="C367" s="2"/>
      <c r="D367" s="18"/>
      <c r="E367" s="2"/>
      <c r="F367" s="49"/>
      <c r="G367" s="49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2.75" customHeight="1">
      <c r="A368" s="2"/>
      <c r="B368" s="2"/>
      <c r="C368" s="2"/>
      <c r="D368" s="18"/>
      <c r="E368" s="2"/>
      <c r="F368" s="49"/>
      <c r="G368" s="49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2.75" customHeight="1">
      <c r="A369" s="2"/>
      <c r="B369" s="2"/>
      <c r="C369" s="2"/>
      <c r="D369" s="18"/>
      <c r="E369" s="2"/>
      <c r="F369" s="49"/>
      <c r="G369" s="49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2.75" customHeight="1">
      <c r="A370" s="2"/>
      <c r="B370" s="2"/>
      <c r="C370" s="2"/>
      <c r="D370" s="18"/>
      <c r="E370" s="2"/>
      <c r="F370" s="49"/>
      <c r="G370" s="49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2.75" customHeight="1">
      <c r="A371" s="2"/>
      <c r="B371" s="2"/>
      <c r="C371" s="2"/>
      <c r="D371" s="18"/>
      <c r="E371" s="2"/>
      <c r="F371" s="49"/>
      <c r="G371" s="49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2.75" customHeight="1">
      <c r="A372" s="2"/>
      <c r="B372" s="2"/>
      <c r="C372" s="2"/>
      <c r="D372" s="18"/>
      <c r="E372" s="2"/>
      <c r="F372" s="49"/>
      <c r="G372" s="49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2.75" customHeight="1">
      <c r="A373" s="2"/>
      <c r="B373" s="2"/>
      <c r="C373" s="2"/>
      <c r="D373" s="18"/>
      <c r="E373" s="2"/>
      <c r="F373" s="49"/>
      <c r="G373" s="49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2.75" customHeight="1">
      <c r="A374" s="2"/>
      <c r="B374" s="2"/>
      <c r="C374" s="2"/>
      <c r="D374" s="18"/>
      <c r="E374" s="2"/>
      <c r="F374" s="49"/>
      <c r="G374" s="49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2.75" customHeight="1">
      <c r="A375" s="2"/>
      <c r="B375" s="2"/>
      <c r="C375" s="2"/>
      <c r="D375" s="18"/>
      <c r="E375" s="2"/>
      <c r="F375" s="49"/>
      <c r="G375" s="49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2.75" customHeight="1">
      <c r="A376" s="2"/>
      <c r="B376" s="2"/>
      <c r="C376" s="2"/>
      <c r="D376" s="18"/>
      <c r="E376" s="2"/>
      <c r="F376" s="49"/>
      <c r="G376" s="49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2.75" customHeight="1">
      <c r="A377" s="2"/>
      <c r="B377" s="2"/>
      <c r="C377" s="2"/>
      <c r="D377" s="18"/>
      <c r="E377" s="2"/>
      <c r="F377" s="49"/>
      <c r="G377" s="49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2.75" customHeight="1">
      <c r="A378" s="2"/>
      <c r="B378" s="2"/>
      <c r="C378" s="2"/>
      <c r="D378" s="18"/>
      <c r="E378" s="2"/>
      <c r="F378" s="49"/>
      <c r="G378" s="49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2.75" customHeight="1">
      <c r="A379" s="2"/>
      <c r="B379" s="2"/>
      <c r="C379" s="2"/>
      <c r="D379" s="18"/>
      <c r="E379" s="2"/>
      <c r="F379" s="49"/>
      <c r="G379" s="49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2.75" customHeight="1">
      <c r="A380" s="2"/>
      <c r="B380" s="2"/>
      <c r="C380" s="2"/>
      <c r="D380" s="18"/>
      <c r="E380" s="2"/>
      <c r="F380" s="49"/>
      <c r="G380" s="49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2.75" customHeight="1">
      <c r="A381" s="2"/>
      <c r="B381" s="2"/>
      <c r="C381" s="2"/>
      <c r="D381" s="18"/>
      <c r="E381" s="2"/>
      <c r="F381" s="49"/>
      <c r="G381" s="49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2.75" customHeight="1">
      <c r="A382" s="2"/>
      <c r="B382" s="2"/>
      <c r="C382" s="2"/>
      <c r="D382" s="18"/>
      <c r="E382" s="2"/>
      <c r="F382" s="49"/>
      <c r="G382" s="49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2.75" customHeight="1">
      <c r="A383" s="2"/>
      <c r="B383" s="2"/>
      <c r="C383" s="2"/>
      <c r="D383" s="18"/>
      <c r="E383" s="2"/>
      <c r="F383" s="49"/>
      <c r="G383" s="49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2.75" customHeight="1">
      <c r="A384" s="2"/>
      <c r="B384" s="2"/>
      <c r="C384" s="2"/>
      <c r="D384" s="18"/>
      <c r="E384" s="2"/>
      <c r="F384" s="49"/>
      <c r="G384" s="49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2.75" customHeight="1">
      <c r="A385" s="2"/>
      <c r="B385" s="2"/>
      <c r="C385" s="2"/>
      <c r="D385" s="18"/>
      <c r="E385" s="2"/>
      <c r="F385" s="49"/>
      <c r="G385" s="49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2.75" customHeight="1">
      <c r="A386" s="2"/>
      <c r="B386" s="2"/>
      <c r="C386" s="2"/>
      <c r="D386" s="18"/>
      <c r="E386" s="2"/>
      <c r="F386" s="49"/>
      <c r="G386" s="49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2.75" customHeight="1">
      <c r="A387" s="2"/>
      <c r="B387" s="2"/>
      <c r="C387" s="2"/>
      <c r="D387" s="18"/>
      <c r="E387" s="2"/>
      <c r="F387" s="49"/>
      <c r="G387" s="49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2.75" customHeight="1">
      <c r="A388" s="2"/>
      <c r="B388" s="2"/>
      <c r="C388" s="2"/>
      <c r="D388" s="18"/>
      <c r="E388" s="2"/>
      <c r="F388" s="49"/>
      <c r="G388" s="49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2.75" customHeight="1">
      <c r="A389" s="2"/>
      <c r="B389" s="2"/>
      <c r="C389" s="2"/>
      <c r="D389" s="18"/>
      <c r="E389" s="2"/>
      <c r="F389" s="49"/>
      <c r="G389" s="49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2.75" customHeight="1">
      <c r="A390" s="2"/>
      <c r="B390" s="2"/>
      <c r="C390" s="2"/>
      <c r="D390" s="18"/>
      <c r="E390" s="2"/>
      <c r="F390" s="49"/>
      <c r="G390" s="49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2.75" customHeight="1">
      <c r="A391" s="2"/>
      <c r="B391" s="2"/>
      <c r="C391" s="2"/>
      <c r="D391" s="18"/>
      <c r="E391" s="2"/>
      <c r="F391" s="49"/>
      <c r="G391" s="49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2.75" customHeight="1">
      <c r="A392" s="2"/>
      <c r="B392" s="2"/>
      <c r="C392" s="2"/>
      <c r="D392" s="18"/>
      <c r="E392" s="2"/>
      <c r="F392" s="49"/>
      <c r="G392" s="49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2.75" customHeight="1">
      <c r="A393" s="2"/>
      <c r="B393" s="2"/>
      <c r="C393" s="2"/>
      <c r="D393" s="18"/>
      <c r="E393" s="2"/>
      <c r="F393" s="49"/>
      <c r="G393" s="49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2.75" customHeight="1">
      <c r="A394" s="2"/>
      <c r="B394" s="2"/>
      <c r="C394" s="2"/>
      <c r="D394" s="18"/>
      <c r="E394" s="2"/>
      <c r="F394" s="49"/>
      <c r="G394" s="49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2.75" customHeight="1">
      <c r="A395" s="2"/>
      <c r="B395" s="2"/>
      <c r="C395" s="2"/>
      <c r="D395" s="18"/>
      <c r="E395" s="2"/>
      <c r="F395" s="49"/>
      <c r="G395" s="49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2.75" customHeight="1">
      <c r="A396" s="2"/>
      <c r="B396" s="2"/>
      <c r="C396" s="2"/>
      <c r="D396" s="18"/>
      <c r="E396" s="2"/>
      <c r="F396" s="49"/>
      <c r="G396" s="49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2.75" customHeight="1">
      <c r="A397" s="2"/>
      <c r="B397" s="2"/>
      <c r="C397" s="2"/>
      <c r="D397" s="18"/>
      <c r="E397" s="2"/>
      <c r="F397" s="49"/>
      <c r="G397" s="49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2.75" customHeight="1">
      <c r="A398" s="2"/>
      <c r="B398" s="2"/>
      <c r="C398" s="2"/>
      <c r="D398" s="18"/>
      <c r="E398" s="2"/>
      <c r="F398" s="49"/>
      <c r="G398" s="49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2.75" customHeight="1">
      <c r="A399" s="2"/>
      <c r="B399" s="2"/>
      <c r="C399" s="2"/>
      <c r="D399" s="18"/>
      <c r="E399" s="2"/>
      <c r="F399" s="49"/>
      <c r="G399" s="49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2.75" customHeight="1">
      <c r="A400" s="2"/>
      <c r="B400" s="2"/>
      <c r="C400" s="2"/>
      <c r="D400" s="18"/>
      <c r="E400" s="2"/>
      <c r="F400" s="49"/>
      <c r="G400" s="49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2.75" customHeight="1">
      <c r="A401" s="2"/>
      <c r="B401" s="2"/>
      <c r="C401" s="2"/>
      <c r="D401" s="18"/>
      <c r="E401" s="2"/>
      <c r="F401" s="49"/>
      <c r="G401" s="49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2.75" customHeight="1">
      <c r="A402" s="2"/>
      <c r="B402" s="2"/>
      <c r="C402" s="2"/>
      <c r="D402" s="18"/>
      <c r="E402" s="2"/>
      <c r="F402" s="49"/>
      <c r="G402" s="49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2.75" customHeight="1">
      <c r="A403" s="2"/>
      <c r="B403" s="2"/>
      <c r="C403" s="2"/>
      <c r="D403" s="18"/>
      <c r="E403" s="2"/>
      <c r="F403" s="49"/>
      <c r="G403" s="49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2.75" customHeight="1">
      <c r="A404" s="2"/>
      <c r="B404" s="2"/>
      <c r="C404" s="2"/>
      <c r="D404" s="18"/>
      <c r="E404" s="2"/>
      <c r="F404" s="49"/>
      <c r="G404" s="49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2.75" customHeight="1">
      <c r="A405" s="2"/>
      <c r="B405" s="2"/>
      <c r="C405" s="2"/>
      <c r="D405" s="18"/>
      <c r="E405" s="2"/>
      <c r="F405" s="49"/>
      <c r="G405" s="49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2.75" customHeight="1">
      <c r="A406" s="2"/>
      <c r="B406" s="2"/>
      <c r="C406" s="2"/>
      <c r="D406" s="18"/>
      <c r="E406" s="2"/>
      <c r="F406" s="49"/>
      <c r="G406" s="49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2.75" customHeight="1">
      <c r="A407" s="2"/>
      <c r="B407" s="2"/>
      <c r="C407" s="2"/>
      <c r="D407" s="18"/>
      <c r="E407" s="2"/>
      <c r="F407" s="49"/>
      <c r="G407" s="49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2.75" customHeight="1">
      <c r="A408" s="2"/>
      <c r="B408" s="2"/>
      <c r="C408" s="2"/>
      <c r="D408" s="18"/>
      <c r="E408" s="2"/>
      <c r="F408" s="49"/>
      <c r="G408" s="49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2.75" customHeight="1">
      <c r="A409" s="2"/>
      <c r="B409" s="2"/>
      <c r="C409" s="2"/>
      <c r="D409" s="18"/>
      <c r="E409" s="2"/>
      <c r="F409" s="49"/>
      <c r="G409" s="49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2.75" customHeight="1">
      <c r="A410" s="2"/>
      <c r="B410" s="2"/>
      <c r="C410" s="2"/>
      <c r="D410" s="18"/>
      <c r="E410" s="2"/>
      <c r="F410" s="49"/>
      <c r="G410" s="49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2.75" customHeight="1">
      <c r="A411" s="2"/>
      <c r="B411" s="2"/>
      <c r="C411" s="2"/>
      <c r="D411" s="18"/>
      <c r="E411" s="2"/>
      <c r="F411" s="49"/>
      <c r="G411" s="49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2.75" customHeight="1">
      <c r="A412" s="2"/>
      <c r="B412" s="2"/>
      <c r="C412" s="2"/>
      <c r="D412" s="18"/>
      <c r="E412" s="2"/>
      <c r="F412" s="49"/>
      <c r="G412" s="49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2.75" customHeight="1">
      <c r="A413" s="2"/>
      <c r="B413" s="2"/>
      <c r="C413" s="2"/>
      <c r="D413" s="18"/>
      <c r="E413" s="2"/>
      <c r="F413" s="49"/>
      <c r="G413" s="49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2.75" customHeight="1">
      <c r="A414" s="2"/>
      <c r="B414" s="2"/>
      <c r="C414" s="2"/>
      <c r="D414" s="18"/>
      <c r="E414" s="2"/>
      <c r="F414" s="49"/>
      <c r="G414" s="49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2.75" customHeight="1">
      <c r="A415" s="2"/>
      <c r="B415" s="2"/>
      <c r="C415" s="2"/>
      <c r="D415" s="18"/>
      <c r="E415" s="2"/>
      <c r="F415" s="49"/>
      <c r="G415" s="49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2.75" customHeight="1">
      <c r="A416" s="2"/>
      <c r="B416" s="2"/>
      <c r="C416" s="2"/>
      <c r="D416" s="18"/>
      <c r="E416" s="2"/>
      <c r="F416" s="49"/>
      <c r="G416" s="49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2.75" customHeight="1">
      <c r="A417" s="2"/>
      <c r="B417" s="2"/>
      <c r="C417" s="2"/>
      <c r="D417" s="18"/>
      <c r="E417" s="2"/>
      <c r="F417" s="49"/>
      <c r="G417" s="49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2.75" customHeight="1">
      <c r="A418" s="2"/>
      <c r="B418" s="2"/>
      <c r="C418" s="2"/>
      <c r="D418" s="18"/>
      <c r="E418" s="2"/>
      <c r="F418" s="49"/>
      <c r="G418" s="49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2.75" customHeight="1">
      <c r="A419" s="2"/>
      <c r="B419" s="2"/>
      <c r="C419" s="2"/>
      <c r="D419" s="18"/>
      <c r="E419" s="2"/>
      <c r="F419" s="49"/>
      <c r="G419" s="49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2.75" customHeight="1">
      <c r="A420" s="2"/>
      <c r="B420" s="2"/>
      <c r="C420" s="2"/>
      <c r="D420" s="18"/>
      <c r="E420" s="2"/>
      <c r="F420" s="49"/>
      <c r="G420" s="49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2.75" customHeight="1">
      <c r="A421" s="2"/>
      <c r="B421" s="2"/>
      <c r="C421" s="2"/>
      <c r="D421" s="18"/>
      <c r="E421" s="2"/>
      <c r="F421" s="49"/>
      <c r="G421" s="49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2.75" customHeight="1">
      <c r="A422" s="2"/>
      <c r="B422" s="2"/>
      <c r="C422" s="2"/>
      <c r="D422" s="18"/>
      <c r="E422" s="2"/>
      <c r="F422" s="49"/>
      <c r="G422" s="49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2.75" customHeight="1">
      <c r="A423" s="2"/>
      <c r="B423" s="2"/>
      <c r="C423" s="2"/>
      <c r="D423" s="18"/>
      <c r="E423" s="2"/>
      <c r="F423" s="49"/>
      <c r="G423" s="49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2.75" customHeight="1">
      <c r="A424" s="2"/>
      <c r="B424" s="2"/>
      <c r="C424" s="2"/>
      <c r="D424" s="18"/>
      <c r="E424" s="2"/>
      <c r="F424" s="49"/>
      <c r="G424" s="49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2.75" customHeight="1">
      <c r="A425" s="2"/>
      <c r="B425" s="2"/>
      <c r="C425" s="2"/>
      <c r="D425" s="18"/>
      <c r="E425" s="2"/>
      <c r="F425" s="49"/>
      <c r="G425" s="49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2.75" customHeight="1">
      <c r="A426" s="2"/>
      <c r="B426" s="2"/>
      <c r="C426" s="2"/>
      <c r="D426" s="18"/>
      <c r="E426" s="2"/>
      <c r="F426" s="49"/>
      <c r="G426" s="49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2.75" customHeight="1">
      <c r="A427" s="2"/>
      <c r="B427" s="2"/>
      <c r="C427" s="2"/>
      <c r="D427" s="18"/>
      <c r="E427" s="2"/>
      <c r="F427" s="49"/>
      <c r="G427" s="49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2.75" customHeight="1">
      <c r="A428" s="2"/>
      <c r="B428" s="2"/>
      <c r="C428" s="2"/>
      <c r="D428" s="18"/>
      <c r="E428" s="2"/>
      <c r="F428" s="49"/>
      <c r="G428" s="49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2.75" customHeight="1">
      <c r="A429" s="2"/>
      <c r="B429" s="2"/>
      <c r="C429" s="2"/>
      <c r="D429" s="18"/>
      <c r="E429" s="2"/>
      <c r="F429" s="49"/>
      <c r="G429" s="49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2.75" customHeight="1">
      <c r="A430" s="2"/>
      <c r="B430" s="2"/>
      <c r="C430" s="2"/>
      <c r="D430" s="18"/>
      <c r="E430" s="2"/>
      <c r="F430" s="49"/>
      <c r="G430" s="49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2.75" customHeight="1">
      <c r="A431" s="2"/>
      <c r="B431" s="2"/>
      <c r="C431" s="2"/>
      <c r="D431" s="18"/>
      <c r="E431" s="2"/>
      <c r="F431" s="49"/>
      <c r="G431" s="49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2.75" customHeight="1">
      <c r="A432" s="2"/>
      <c r="B432" s="2"/>
      <c r="C432" s="2"/>
      <c r="D432" s="18"/>
      <c r="E432" s="2"/>
      <c r="F432" s="49"/>
      <c r="G432" s="49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2.75" customHeight="1">
      <c r="A433" s="2"/>
      <c r="B433" s="2"/>
      <c r="C433" s="2"/>
      <c r="D433" s="18"/>
      <c r="E433" s="2"/>
      <c r="F433" s="49"/>
      <c r="G433" s="49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2.75" customHeight="1">
      <c r="A434" s="2"/>
      <c r="B434" s="2"/>
      <c r="C434" s="2"/>
      <c r="D434" s="18"/>
      <c r="E434" s="2"/>
      <c r="F434" s="49"/>
      <c r="G434" s="49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2.75" customHeight="1">
      <c r="A435" s="2"/>
      <c r="B435" s="2"/>
      <c r="C435" s="2"/>
      <c r="D435" s="18"/>
      <c r="E435" s="2"/>
      <c r="F435" s="49"/>
      <c r="G435" s="49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2.75" customHeight="1">
      <c r="A436" s="2"/>
      <c r="B436" s="2"/>
      <c r="C436" s="2"/>
      <c r="D436" s="18"/>
      <c r="E436" s="2"/>
      <c r="F436" s="49"/>
      <c r="G436" s="49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2.75" customHeight="1">
      <c r="A437" s="2"/>
      <c r="B437" s="2"/>
      <c r="C437" s="2"/>
      <c r="D437" s="18"/>
      <c r="E437" s="2"/>
      <c r="F437" s="49"/>
      <c r="G437" s="49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2.75" customHeight="1">
      <c r="A438" s="2"/>
      <c r="B438" s="2"/>
      <c r="C438" s="2"/>
      <c r="D438" s="18"/>
      <c r="E438" s="2"/>
      <c r="F438" s="49"/>
      <c r="G438" s="49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2.75" customHeight="1">
      <c r="A439" s="2"/>
      <c r="B439" s="2"/>
      <c r="C439" s="2"/>
      <c r="D439" s="18"/>
      <c r="E439" s="2"/>
      <c r="F439" s="49"/>
      <c r="G439" s="49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2.75" customHeight="1">
      <c r="A440" s="2"/>
      <c r="B440" s="2"/>
      <c r="C440" s="2"/>
      <c r="D440" s="18"/>
      <c r="E440" s="2"/>
      <c r="F440" s="49"/>
      <c r="G440" s="49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2.75" customHeight="1">
      <c r="A441" s="2"/>
      <c r="B441" s="2"/>
      <c r="C441" s="2"/>
      <c r="D441" s="18"/>
      <c r="E441" s="2"/>
      <c r="F441" s="49"/>
      <c r="G441" s="49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2.75" customHeight="1">
      <c r="A442" s="2"/>
      <c r="B442" s="2"/>
      <c r="C442" s="2"/>
      <c r="D442" s="18"/>
      <c r="E442" s="2"/>
      <c r="F442" s="49"/>
      <c r="G442" s="49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2.75" customHeight="1">
      <c r="A443" s="2"/>
      <c r="B443" s="2"/>
      <c r="C443" s="2"/>
      <c r="D443" s="18"/>
      <c r="E443" s="2"/>
      <c r="F443" s="49"/>
      <c r="G443" s="49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2.75" customHeight="1">
      <c r="A444" s="2"/>
      <c r="B444" s="2"/>
      <c r="C444" s="2"/>
      <c r="D444" s="18"/>
      <c r="E444" s="2"/>
      <c r="F444" s="49"/>
      <c r="G444" s="49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2.75" customHeight="1">
      <c r="A445" s="2"/>
      <c r="B445" s="2"/>
      <c r="C445" s="2"/>
      <c r="D445" s="18"/>
      <c r="E445" s="2"/>
      <c r="F445" s="49"/>
      <c r="G445" s="49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2.75" customHeight="1">
      <c r="A446" s="2"/>
      <c r="B446" s="2"/>
      <c r="C446" s="2"/>
      <c r="D446" s="18"/>
      <c r="E446" s="2"/>
      <c r="F446" s="49"/>
      <c r="G446" s="49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2.75" customHeight="1">
      <c r="A447" s="2"/>
      <c r="B447" s="2"/>
      <c r="C447" s="2"/>
      <c r="D447" s="18"/>
      <c r="E447" s="2"/>
      <c r="F447" s="49"/>
      <c r="G447" s="49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2.75" customHeight="1">
      <c r="A448" s="2"/>
      <c r="B448" s="2"/>
      <c r="C448" s="2"/>
      <c r="D448" s="18"/>
      <c r="E448" s="2"/>
      <c r="F448" s="49"/>
      <c r="G448" s="49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2.75" customHeight="1">
      <c r="A449" s="2"/>
      <c r="B449" s="2"/>
      <c r="C449" s="2"/>
      <c r="D449" s="18"/>
      <c r="E449" s="2"/>
      <c r="F449" s="49"/>
      <c r="G449" s="49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2.75" customHeight="1">
      <c r="A450" s="2"/>
      <c r="B450" s="2"/>
      <c r="C450" s="2"/>
      <c r="D450" s="18"/>
      <c r="E450" s="2"/>
      <c r="F450" s="49"/>
      <c r="G450" s="49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2.75" customHeight="1">
      <c r="A451" s="2"/>
      <c r="B451" s="2"/>
      <c r="C451" s="2"/>
      <c r="D451" s="18"/>
      <c r="E451" s="2"/>
      <c r="F451" s="49"/>
      <c r="G451" s="49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2.75" customHeight="1">
      <c r="A452" s="2"/>
      <c r="B452" s="2"/>
      <c r="C452" s="2"/>
      <c r="D452" s="18"/>
      <c r="E452" s="2"/>
      <c r="F452" s="49"/>
      <c r="G452" s="49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2.75" customHeight="1">
      <c r="A453" s="2"/>
      <c r="B453" s="2"/>
      <c r="C453" s="2"/>
      <c r="D453" s="18"/>
      <c r="E453" s="2"/>
      <c r="F453" s="49"/>
      <c r="G453" s="49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2.75" customHeight="1">
      <c r="A454" s="2"/>
      <c r="B454" s="2"/>
      <c r="C454" s="2"/>
      <c r="D454" s="18"/>
      <c r="E454" s="2"/>
      <c r="F454" s="49"/>
      <c r="G454" s="49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2.75" customHeight="1">
      <c r="A455" s="2"/>
      <c r="B455" s="2"/>
      <c r="C455" s="2"/>
      <c r="D455" s="18"/>
      <c r="E455" s="2"/>
      <c r="F455" s="49"/>
      <c r="G455" s="49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2.75" customHeight="1">
      <c r="A456" s="2"/>
      <c r="B456" s="2"/>
      <c r="C456" s="2"/>
      <c r="D456" s="18"/>
      <c r="E456" s="2"/>
      <c r="F456" s="49"/>
      <c r="G456" s="49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2.75" customHeight="1">
      <c r="A457" s="2"/>
      <c r="B457" s="2"/>
      <c r="C457" s="2"/>
      <c r="D457" s="18"/>
      <c r="E457" s="2"/>
      <c r="F457" s="49"/>
      <c r="G457" s="49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2.75" customHeight="1">
      <c r="A458" s="2"/>
      <c r="B458" s="2"/>
      <c r="C458" s="2"/>
      <c r="D458" s="18"/>
      <c r="E458" s="2"/>
      <c r="F458" s="49"/>
      <c r="G458" s="49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2.75" customHeight="1">
      <c r="A459" s="2"/>
      <c r="B459" s="2"/>
      <c r="C459" s="2"/>
      <c r="D459" s="18"/>
      <c r="E459" s="2"/>
      <c r="F459" s="49"/>
      <c r="G459" s="49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2.75" customHeight="1">
      <c r="A460" s="2"/>
      <c r="B460" s="2"/>
      <c r="C460" s="2"/>
      <c r="D460" s="18"/>
      <c r="E460" s="2"/>
      <c r="F460" s="49"/>
      <c r="G460" s="49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2.75" customHeight="1">
      <c r="A461" s="2"/>
      <c r="B461" s="2"/>
      <c r="C461" s="2"/>
      <c r="D461" s="18"/>
      <c r="E461" s="2"/>
      <c r="F461" s="49"/>
      <c r="G461" s="49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2.75" customHeight="1">
      <c r="A462" s="2"/>
      <c r="B462" s="2"/>
      <c r="C462" s="2"/>
      <c r="D462" s="18"/>
      <c r="E462" s="2"/>
      <c r="F462" s="49"/>
      <c r="G462" s="49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2.75" customHeight="1">
      <c r="A463" s="2"/>
      <c r="B463" s="2"/>
      <c r="C463" s="2"/>
      <c r="D463" s="18"/>
      <c r="E463" s="2"/>
      <c r="F463" s="49"/>
      <c r="G463" s="49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2.75" customHeight="1">
      <c r="A464" s="2"/>
      <c r="B464" s="2"/>
      <c r="C464" s="2"/>
      <c r="D464" s="18"/>
      <c r="E464" s="2"/>
      <c r="F464" s="49"/>
      <c r="G464" s="49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2.75" customHeight="1">
      <c r="A465" s="2"/>
      <c r="B465" s="2"/>
      <c r="C465" s="2"/>
      <c r="D465" s="18"/>
      <c r="E465" s="2"/>
      <c r="F465" s="49"/>
      <c r="G465" s="49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2.75" customHeight="1">
      <c r="A466" s="2"/>
      <c r="B466" s="2"/>
      <c r="C466" s="2"/>
      <c r="D466" s="18"/>
      <c r="E466" s="2"/>
      <c r="F466" s="49"/>
      <c r="G466" s="49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2.75" customHeight="1">
      <c r="A467" s="2"/>
      <c r="B467" s="2"/>
      <c r="C467" s="2"/>
      <c r="D467" s="18"/>
      <c r="E467" s="2"/>
      <c r="F467" s="49"/>
      <c r="G467" s="49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2.75" customHeight="1">
      <c r="A468" s="2"/>
      <c r="B468" s="2"/>
      <c r="C468" s="2"/>
      <c r="D468" s="18"/>
      <c r="E468" s="2"/>
      <c r="F468" s="49"/>
      <c r="G468" s="49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2.75" customHeight="1">
      <c r="A469" s="2"/>
      <c r="B469" s="2"/>
      <c r="C469" s="2"/>
      <c r="D469" s="18"/>
      <c r="E469" s="2"/>
      <c r="F469" s="49"/>
      <c r="G469" s="49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2.75" customHeight="1">
      <c r="A470" s="2"/>
      <c r="B470" s="2"/>
      <c r="C470" s="2"/>
      <c r="D470" s="18"/>
      <c r="E470" s="2"/>
      <c r="F470" s="49"/>
      <c r="G470" s="49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2.75" customHeight="1">
      <c r="A471" s="2"/>
      <c r="B471" s="2"/>
      <c r="C471" s="2"/>
      <c r="D471" s="18"/>
      <c r="E471" s="2"/>
      <c r="F471" s="49"/>
      <c r="G471" s="49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2.75" customHeight="1">
      <c r="A472" s="2"/>
      <c r="B472" s="2"/>
      <c r="C472" s="2"/>
      <c r="D472" s="18"/>
      <c r="E472" s="2"/>
      <c r="F472" s="49"/>
      <c r="G472" s="49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2.75" customHeight="1">
      <c r="A473" s="2"/>
      <c r="B473" s="2"/>
      <c r="C473" s="2"/>
      <c r="D473" s="18"/>
      <c r="E473" s="2"/>
      <c r="F473" s="49"/>
      <c r="G473" s="49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2.75" customHeight="1">
      <c r="A474" s="2"/>
      <c r="B474" s="2"/>
      <c r="C474" s="2"/>
      <c r="D474" s="18"/>
      <c r="E474" s="2"/>
      <c r="F474" s="49"/>
      <c r="G474" s="49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2.75" customHeight="1">
      <c r="A475" s="2"/>
      <c r="B475" s="2"/>
      <c r="C475" s="2"/>
      <c r="D475" s="18"/>
      <c r="E475" s="2"/>
      <c r="F475" s="49"/>
      <c r="G475" s="49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2.75" customHeight="1">
      <c r="A476" s="2"/>
      <c r="B476" s="2"/>
      <c r="C476" s="2"/>
      <c r="D476" s="18"/>
      <c r="E476" s="2"/>
      <c r="F476" s="49"/>
      <c r="G476" s="49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2.75" customHeight="1">
      <c r="A477" s="2"/>
      <c r="B477" s="2"/>
      <c r="C477" s="2"/>
      <c r="D477" s="18"/>
      <c r="E477" s="2"/>
      <c r="F477" s="49"/>
      <c r="G477" s="49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2.75" customHeight="1">
      <c r="A478" s="2"/>
      <c r="B478" s="2"/>
      <c r="C478" s="2"/>
      <c r="D478" s="18"/>
      <c r="E478" s="2"/>
      <c r="F478" s="49"/>
      <c r="G478" s="49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2.75" customHeight="1">
      <c r="A479" s="2"/>
      <c r="B479" s="2"/>
      <c r="C479" s="2"/>
      <c r="D479" s="18"/>
      <c r="E479" s="2"/>
      <c r="F479" s="49"/>
      <c r="G479" s="49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2.75" customHeight="1">
      <c r="A480" s="2"/>
      <c r="B480" s="2"/>
      <c r="C480" s="2"/>
      <c r="D480" s="18"/>
      <c r="E480" s="2"/>
      <c r="F480" s="49"/>
      <c r="G480" s="49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2.75" customHeight="1">
      <c r="A481" s="2"/>
      <c r="B481" s="2"/>
      <c r="C481" s="2"/>
      <c r="D481" s="18"/>
      <c r="E481" s="2"/>
      <c r="F481" s="49"/>
      <c r="G481" s="49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2.75" customHeight="1">
      <c r="A482" s="2"/>
      <c r="B482" s="2"/>
      <c r="C482" s="2"/>
      <c r="D482" s="18"/>
      <c r="E482" s="2"/>
      <c r="F482" s="49"/>
      <c r="G482" s="49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2.75" customHeight="1">
      <c r="A483" s="2"/>
      <c r="B483" s="2"/>
      <c r="C483" s="2"/>
      <c r="D483" s="18"/>
      <c r="E483" s="2"/>
      <c r="F483" s="49"/>
      <c r="G483" s="49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2.75" customHeight="1">
      <c r="A484" s="2"/>
      <c r="B484" s="2"/>
      <c r="C484" s="2"/>
      <c r="D484" s="18"/>
      <c r="E484" s="2"/>
      <c r="F484" s="49"/>
      <c r="G484" s="49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2.75" customHeight="1">
      <c r="A485" s="2"/>
      <c r="B485" s="2"/>
      <c r="C485" s="2"/>
      <c r="D485" s="18"/>
      <c r="E485" s="2"/>
      <c r="F485" s="49"/>
      <c r="G485" s="49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2.75" customHeight="1">
      <c r="A486" s="2"/>
      <c r="B486" s="2"/>
      <c r="C486" s="2"/>
      <c r="D486" s="18"/>
      <c r="E486" s="2"/>
      <c r="F486" s="49"/>
      <c r="G486" s="49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2.75" customHeight="1">
      <c r="A487" s="2"/>
      <c r="B487" s="2"/>
      <c r="C487" s="2"/>
      <c r="D487" s="18"/>
      <c r="E487" s="2"/>
      <c r="F487" s="49"/>
      <c r="G487" s="49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2.75" customHeight="1">
      <c r="A488" s="2"/>
      <c r="B488" s="2"/>
      <c r="C488" s="2"/>
      <c r="D488" s="18"/>
      <c r="E488" s="2"/>
      <c r="F488" s="49"/>
      <c r="G488" s="49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2.75" customHeight="1">
      <c r="A489" s="2"/>
      <c r="B489" s="2"/>
      <c r="C489" s="2"/>
      <c r="D489" s="18"/>
      <c r="E489" s="2"/>
      <c r="F489" s="49"/>
      <c r="G489" s="49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2.75" customHeight="1">
      <c r="A490" s="2"/>
      <c r="B490" s="2"/>
      <c r="C490" s="2"/>
      <c r="D490" s="18"/>
      <c r="E490" s="2"/>
      <c r="F490" s="49"/>
      <c r="G490" s="49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2.75" customHeight="1">
      <c r="A491" s="2"/>
      <c r="B491" s="2"/>
      <c r="C491" s="2"/>
      <c r="D491" s="18"/>
      <c r="E491" s="2"/>
      <c r="F491" s="49"/>
      <c r="G491" s="49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2.75" customHeight="1">
      <c r="A492" s="2"/>
      <c r="B492" s="2"/>
      <c r="C492" s="2"/>
      <c r="D492" s="18"/>
      <c r="E492" s="2"/>
      <c r="F492" s="49"/>
      <c r="G492" s="49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2.75" customHeight="1">
      <c r="A493" s="2"/>
      <c r="B493" s="2"/>
      <c r="C493" s="2"/>
      <c r="D493" s="18"/>
      <c r="E493" s="2"/>
      <c r="F493" s="49"/>
      <c r="G493" s="49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2.75" customHeight="1">
      <c r="A494" s="2"/>
      <c r="B494" s="2"/>
      <c r="C494" s="2"/>
      <c r="D494" s="18"/>
      <c r="E494" s="2"/>
      <c r="F494" s="49"/>
      <c r="G494" s="49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2.75" customHeight="1">
      <c r="A495" s="2"/>
      <c r="B495" s="2"/>
      <c r="C495" s="2"/>
      <c r="D495" s="18"/>
      <c r="E495" s="2"/>
      <c r="F495" s="49"/>
      <c r="G495" s="49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2.75" customHeight="1">
      <c r="A496" s="2"/>
      <c r="B496" s="2"/>
      <c r="C496" s="2"/>
      <c r="D496" s="18"/>
      <c r="E496" s="2"/>
      <c r="F496" s="49"/>
      <c r="G496" s="49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2.75" customHeight="1">
      <c r="A497" s="2"/>
      <c r="B497" s="2"/>
      <c r="C497" s="2"/>
      <c r="D497" s="18"/>
      <c r="E497" s="2"/>
      <c r="F497" s="49"/>
      <c r="G497" s="49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2.75" customHeight="1">
      <c r="A498" s="2"/>
      <c r="B498" s="2"/>
      <c r="C498" s="2"/>
      <c r="D498" s="18"/>
      <c r="E498" s="2"/>
      <c r="F498" s="49"/>
      <c r="G498" s="49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2.75" customHeight="1">
      <c r="A499" s="2"/>
      <c r="B499" s="2"/>
      <c r="C499" s="2"/>
      <c r="D499" s="18"/>
      <c r="E499" s="2"/>
      <c r="F499" s="49"/>
      <c r="G499" s="49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2.75" customHeight="1">
      <c r="A500" s="2"/>
      <c r="B500" s="2"/>
      <c r="C500" s="2"/>
      <c r="D500" s="18"/>
      <c r="E500" s="2"/>
      <c r="F500" s="49"/>
      <c r="G500" s="49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2.75" customHeight="1">
      <c r="A501" s="2"/>
      <c r="B501" s="2"/>
      <c r="C501" s="2"/>
      <c r="D501" s="18"/>
      <c r="E501" s="2"/>
      <c r="F501" s="49"/>
      <c r="G501" s="49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2.75" customHeight="1">
      <c r="A502" s="2"/>
      <c r="B502" s="2"/>
      <c r="C502" s="2"/>
      <c r="D502" s="18"/>
      <c r="E502" s="2"/>
      <c r="F502" s="49"/>
      <c r="G502" s="49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2.75" customHeight="1">
      <c r="A503" s="2"/>
      <c r="B503" s="2"/>
      <c r="C503" s="2"/>
      <c r="D503" s="18"/>
      <c r="E503" s="2"/>
      <c r="F503" s="49"/>
      <c r="G503" s="49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2.75" customHeight="1">
      <c r="A504" s="2"/>
      <c r="B504" s="2"/>
      <c r="C504" s="2"/>
      <c r="D504" s="18"/>
      <c r="E504" s="2"/>
      <c r="F504" s="49"/>
      <c r="G504" s="49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2.75" customHeight="1">
      <c r="A505" s="2"/>
      <c r="B505" s="2"/>
      <c r="C505" s="2"/>
      <c r="D505" s="18"/>
      <c r="E505" s="2"/>
      <c r="F505" s="49"/>
      <c r="G505" s="49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2.75" customHeight="1">
      <c r="A506" s="2"/>
      <c r="B506" s="2"/>
      <c r="C506" s="2"/>
      <c r="D506" s="18"/>
      <c r="E506" s="2"/>
      <c r="F506" s="49"/>
      <c r="G506" s="49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2.75" customHeight="1">
      <c r="A507" s="2"/>
      <c r="B507" s="2"/>
      <c r="C507" s="2"/>
      <c r="D507" s="18"/>
      <c r="E507" s="2"/>
      <c r="F507" s="49"/>
      <c r="G507" s="49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2.75" customHeight="1">
      <c r="A508" s="2"/>
      <c r="B508" s="2"/>
      <c r="C508" s="2"/>
      <c r="D508" s="18"/>
      <c r="E508" s="2"/>
      <c r="F508" s="49"/>
      <c r="G508" s="49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2.75" customHeight="1">
      <c r="A509" s="2"/>
      <c r="B509" s="2"/>
      <c r="C509" s="2"/>
      <c r="D509" s="18"/>
      <c r="E509" s="2"/>
      <c r="F509" s="49"/>
      <c r="G509" s="49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2.75" customHeight="1">
      <c r="A510" s="2"/>
      <c r="B510" s="2"/>
      <c r="C510" s="2"/>
      <c r="D510" s="18"/>
      <c r="E510" s="2"/>
      <c r="F510" s="49"/>
      <c r="G510" s="49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2.75" customHeight="1">
      <c r="A511" s="2"/>
      <c r="B511" s="2"/>
      <c r="C511" s="2"/>
      <c r="D511" s="18"/>
      <c r="E511" s="2"/>
      <c r="F511" s="49"/>
      <c r="G511" s="49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2.75" customHeight="1">
      <c r="A512" s="2"/>
      <c r="B512" s="2"/>
      <c r="C512" s="2"/>
      <c r="D512" s="18"/>
      <c r="E512" s="2"/>
      <c r="F512" s="49"/>
      <c r="G512" s="49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2.75" customHeight="1">
      <c r="A513" s="2"/>
      <c r="B513" s="2"/>
      <c r="C513" s="2"/>
      <c r="D513" s="18"/>
      <c r="E513" s="2"/>
      <c r="F513" s="49"/>
      <c r="G513" s="49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2.75" customHeight="1">
      <c r="A514" s="2"/>
      <c r="B514" s="2"/>
      <c r="C514" s="2"/>
      <c r="D514" s="18"/>
      <c r="E514" s="2"/>
      <c r="F514" s="49"/>
      <c r="G514" s="49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2.75" customHeight="1">
      <c r="A515" s="2"/>
      <c r="B515" s="2"/>
      <c r="C515" s="2"/>
      <c r="D515" s="18"/>
      <c r="E515" s="2"/>
      <c r="F515" s="49"/>
      <c r="G515" s="49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2.75" customHeight="1">
      <c r="A516" s="2"/>
      <c r="B516" s="2"/>
      <c r="C516" s="2"/>
      <c r="D516" s="18"/>
      <c r="E516" s="2"/>
      <c r="F516" s="49"/>
      <c r="G516" s="49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2.75" customHeight="1">
      <c r="A517" s="2"/>
      <c r="B517" s="2"/>
      <c r="C517" s="2"/>
      <c r="D517" s="18"/>
      <c r="E517" s="2"/>
      <c r="F517" s="49"/>
      <c r="G517" s="49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2.75" customHeight="1">
      <c r="A518" s="2"/>
      <c r="B518" s="2"/>
      <c r="C518" s="2"/>
      <c r="D518" s="18"/>
      <c r="E518" s="2"/>
      <c r="F518" s="49"/>
      <c r="G518" s="49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2.75" customHeight="1">
      <c r="A519" s="2"/>
      <c r="B519" s="2"/>
      <c r="C519" s="2"/>
      <c r="D519" s="18"/>
      <c r="E519" s="2"/>
      <c r="F519" s="49"/>
      <c r="G519" s="49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2.75" customHeight="1">
      <c r="A520" s="2"/>
      <c r="B520" s="2"/>
      <c r="C520" s="2"/>
      <c r="D520" s="18"/>
      <c r="E520" s="2"/>
      <c r="F520" s="49"/>
      <c r="G520" s="49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2.75" customHeight="1">
      <c r="A521" s="2"/>
      <c r="B521" s="2"/>
      <c r="C521" s="2"/>
      <c r="D521" s="18"/>
      <c r="E521" s="2"/>
      <c r="F521" s="49"/>
      <c r="G521" s="49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2.75" customHeight="1">
      <c r="A522" s="2"/>
      <c r="B522" s="2"/>
      <c r="C522" s="2"/>
      <c r="D522" s="18"/>
      <c r="E522" s="2"/>
      <c r="F522" s="49"/>
      <c r="G522" s="49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2.75" customHeight="1">
      <c r="A523" s="2"/>
      <c r="B523" s="2"/>
      <c r="C523" s="2"/>
      <c r="D523" s="18"/>
      <c r="E523" s="2"/>
      <c r="F523" s="49"/>
      <c r="G523" s="49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2.75" customHeight="1">
      <c r="A524" s="2"/>
      <c r="B524" s="2"/>
      <c r="C524" s="2"/>
      <c r="D524" s="18"/>
      <c r="E524" s="2"/>
      <c r="F524" s="49"/>
      <c r="G524" s="49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2.75" customHeight="1">
      <c r="A525" s="2"/>
      <c r="B525" s="2"/>
      <c r="C525" s="2"/>
      <c r="D525" s="18"/>
      <c r="E525" s="2"/>
      <c r="F525" s="49"/>
      <c r="G525" s="49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2.75" customHeight="1">
      <c r="A526" s="2"/>
      <c r="B526" s="2"/>
      <c r="C526" s="2"/>
      <c r="D526" s="18"/>
      <c r="E526" s="2"/>
      <c r="F526" s="49"/>
      <c r="G526" s="49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2.75" customHeight="1">
      <c r="A527" s="2"/>
      <c r="B527" s="2"/>
      <c r="C527" s="2"/>
      <c r="D527" s="18"/>
      <c r="E527" s="2"/>
      <c r="F527" s="49"/>
      <c r="G527" s="49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2.75" customHeight="1">
      <c r="A528" s="2"/>
      <c r="B528" s="2"/>
      <c r="C528" s="2"/>
      <c r="D528" s="18"/>
      <c r="E528" s="2"/>
      <c r="F528" s="49"/>
      <c r="G528" s="49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2.75" customHeight="1">
      <c r="A529" s="2"/>
      <c r="B529" s="2"/>
      <c r="C529" s="2"/>
      <c r="D529" s="18"/>
      <c r="E529" s="2"/>
      <c r="F529" s="49"/>
      <c r="G529" s="49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2.75" customHeight="1">
      <c r="A530" s="2"/>
      <c r="B530" s="2"/>
      <c r="C530" s="2"/>
      <c r="D530" s="18"/>
      <c r="E530" s="2"/>
      <c r="F530" s="49"/>
      <c r="G530" s="49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2.75" customHeight="1">
      <c r="A531" s="2"/>
      <c r="B531" s="2"/>
      <c r="C531" s="2"/>
      <c r="D531" s="18"/>
      <c r="E531" s="2"/>
      <c r="F531" s="49"/>
      <c r="G531" s="49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2.75" customHeight="1">
      <c r="A532" s="2"/>
      <c r="B532" s="2"/>
      <c r="C532" s="2"/>
      <c r="D532" s="18"/>
      <c r="E532" s="2"/>
      <c r="F532" s="49"/>
      <c r="G532" s="49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2.75" customHeight="1">
      <c r="A533" s="2"/>
      <c r="B533" s="2"/>
      <c r="C533" s="2"/>
      <c r="D533" s="18"/>
      <c r="E533" s="2"/>
      <c r="F533" s="49"/>
      <c r="G533" s="49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2.75" customHeight="1">
      <c r="A534" s="2"/>
      <c r="B534" s="2"/>
      <c r="C534" s="2"/>
      <c r="D534" s="18"/>
      <c r="E534" s="2"/>
      <c r="F534" s="49"/>
      <c r="G534" s="49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2.75" customHeight="1">
      <c r="A535" s="2"/>
      <c r="B535" s="2"/>
      <c r="C535" s="2"/>
      <c r="D535" s="18"/>
      <c r="E535" s="2"/>
      <c r="F535" s="49"/>
      <c r="G535" s="49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2.75" customHeight="1">
      <c r="A536" s="2"/>
      <c r="B536" s="2"/>
      <c r="C536" s="2"/>
      <c r="D536" s="18"/>
      <c r="E536" s="2"/>
      <c r="F536" s="49"/>
      <c r="G536" s="49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2.75" customHeight="1">
      <c r="A537" s="2"/>
      <c r="B537" s="2"/>
      <c r="C537" s="2"/>
      <c r="D537" s="18"/>
      <c r="E537" s="2"/>
      <c r="F537" s="49"/>
      <c r="G537" s="49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2.75" customHeight="1">
      <c r="A538" s="2"/>
      <c r="B538" s="2"/>
      <c r="C538" s="2"/>
      <c r="D538" s="18"/>
      <c r="E538" s="2"/>
      <c r="F538" s="49"/>
      <c r="G538" s="49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2.75" customHeight="1">
      <c r="A539" s="2"/>
      <c r="B539" s="2"/>
      <c r="C539" s="2"/>
      <c r="D539" s="18"/>
      <c r="E539" s="2"/>
      <c r="F539" s="49"/>
      <c r="G539" s="49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2.75" customHeight="1">
      <c r="A540" s="2"/>
      <c r="B540" s="2"/>
      <c r="C540" s="2"/>
      <c r="D540" s="18"/>
      <c r="E540" s="2"/>
      <c r="F540" s="49"/>
      <c r="G540" s="49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2.75" customHeight="1">
      <c r="A541" s="2"/>
      <c r="B541" s="2"/>
      <c r="C541" s="2"/>
      <c r="D541" s="18"/>
      <c r="E541" s="2"/>
      <c r="F541" s="49"/>
      <c r="G541" s="49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2.75" customHeight="1">
      <c r="A542" s="2"/>
      <c r="B542" s="2"/>
      <c r="C542" s="2"/>
      <c r="D542" s="18"/>
      <c r="E542" s="2"/>
      <c r="F542" s="49"/>
      <c r="G542" s="49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2.75" customHeight="1">
      <c r="A543" s="2"/>
      <c r="B543" s="2"/>
      <c r="C543" s="2"/>
      <c r="D543" s="18"/>
      <c r="E543" s="2"/>
      <c r="F543" s="49"/>
      <c r="G543" s="49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2.75" customHeight="1">
      <c r="A544" s="2"/>
      <c r="B544" s="2"/>
      <c r="C544" s="2"/>
      <c r="D544" s="18"/>
      <c r="E544" s="2"/>
      <c r="F544" s="49"/>
      <c r="G544" s="49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2.75" customHeight="1">
      <c r="A545" s="2"/>
      <c r="B545" s="2"/>
      <c r="C545" s="2"/>
      <c r="D545" s="18"/>
      <c r="E545" s="2"/>
      <c r="F545" s="49"/>
      <c r="G545" s="49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2.75" customHeight="1">
      <c r="A546" s="2"/>
      <c r="B546" s="2"/>
      <c r="C546" s="2"/>
      <c r="D546" s="18"/>
      <c r="E546" s="2"/>
      <c r="F546" s="49"/>
      <c r="G546" s="49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2.75" customHeight="1">
      <c r="A547" s="2"/>
      <c r="B547" s="2"/>
      <c r="C547" s="2"/>
      <c r="D547" s="18"/>
      <c r="E547" s="2"/>
      <c r="F547" s="49"/>
      <c r="G547" s="49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2.75" customHeight="1">
      <c r="A548" s="2"/>
      <c r="B548" s="2"/>
      <c r="C548" s="2"/>
      <c r="D548" s="18"/>
      <c r="E548" s="2"/>
      <c r="F548" s="49"/>
      <c r="G548" s="49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2.75" customHeight="1">
      <c r="A549" s="2"/>
      <c r="B549" s="2"/>
      <c r="C549" s="2"/>
      <c r="D549" s="18"/>
      <c r="E549" s="2"/>
      <c r="F549" s="49"/>
      <c r="G549" s="49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2.75" customHeight="1">
      <c r="A550" s="2"/>
      <c r="B550" s="2"/>
      <c r="C550" s="2"/>
      <c r="D550" s="18"/>
      <c r="E550" s="2"/>
      <c r="F550" s="49"/>
      <c r="G550" s="49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2.75" customHeight="1">
      <c r="A551" s="2"/>
      <c r="B551" s="2"/>
      <c r="C551" s="2"/>
      <c r="D551" s="18"/>
      <c r="E551" s="2"/>
      <c r="F551" s="49"/>
      <c r="G551" s="49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2.75" customHeight="1">
      <c r="A552" s="2"/>
      <c r="B552" s="2"/>
      <c r="C552" s="2"/>
      <c r="D552" s="18"/>
      <c r="E552" s="2"/>
      <c r="F552" s="49"/>
      <c r="G552" s="49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2.75" customHeight="1">
      <c r="A553" s="2"/>
      <c r="B553" s="2"/>
      <c r="C553" s="2"/>
      <c r="D553" s="18"/>
      <c r="E553" s="2"/>
      <c r="F553" s="49"/>
      <c r="G553" s="49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2.75" customHeight="1">
      <c r="A554" s="2"/>
      <c r="B554" s="2"/>
      <c r="C554" s="2"/>
      <c r="D554" s="18"/>
      <c r="E554" s="2"/>
      <c r="F554" s="49"/>
      <c r="G554" s="49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2.75" customHeight="1">
      <c r="A555" s="2"/>
      <c r="B555" s="2"/>
      <c r="C555" s="2"/>
      <c r="D555" s="18"/>
      <c r="E555" s="2"/>
      <c r="F555" s="49"/>
      <c r="G555" s="49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2.75" customHeight="1">
      <c r="A556" s="2"/>
      <c r="B556" s="2"/>
      <c r="C556" s="2"/>
      <c r="D556" s="18"/>
      <c r="E556" s="2"/>
      <c r="F556" s="49"/>
      <c r="G556" s="49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2.75" customHeight="1">
      <c r="A557" s="2"/>
      <c r="B557" s="2"/>
      <c r="C557" s="2"/>
      <c r="D557" s="18"/>
      <c r="E557" s="2"/>
      <c r="F557" s="49"/>
      <c r="G557" s="49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2.75" customHeight="1">
      <c r="A558" s="2"/>
      <c r="B558" s="2"/>
      <c r="C558" s="2"/>
      <c r="D558" s="18"/>
      <c r="E558" s="2"/>
      <c r="F558" s="49"/>
      <c r="G558" s="49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2.75" customHeight="1">
      <c r="A559" s="2"/>
      <c r="B559" s="2"/>
      <c r="C559" s="2"/>
      <c r="D559" s="18"/>
      <c r="E559" s="2"/>
      <c r="F559" s="49"/>
      <c r="G559" s="49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2.75" customHeight="1">
      <c r="A560" s="2"/>
      <c r="B560" s="2"/>
      <c r="C560" s="2"/>
      <c r="D560" s="18"/>
      <c r="E560" s="2"/>
      <c r="F560" s="49"/>
      <c r="G560" s="49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2.75" customHeight="1">
      <c r="A561" s="2"/>
      <c r="B561" s="2"/>
      <c r="C561" s="2"/>
      <c r="D561" s="18"/>
      <c r="E561" s="2"/>
      <c r="F561" s="49"/>
      <c r="G561" s="49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2.75" customHeight="1">
      <c r="A562" s="2"/>
      <c r="B562" s="2"/>
      <c r="C562" s="2"/>
      <c r="D562" s="18"/>
      <c r="E562" s="2"/>
      <c r="F562" s="49"/>
      <c r="G562" s="49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2.75" customHeight="1">
      <c r="A563" s="2"/>
      <c r="B563" s="2"/>
      <c r="C563" s="2"/>
      <c r="D563" s="18"/>
      <c r="E563" s="2"/>
      <c r="F563" s="49"/>
      <c r="G563" s="49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2.75" customHeight="1">
      <c r="A564" s="2"/>
      <c r="B564" s="2"/>
      <c r="C564" s="2"/>
      <c r="D564" s="18"/>
      <c r="E564" s="2"/>
      <c r="F564" s="49"/>
      <c r="G564" s="49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2.75" customHeight="1">
      <c r="A565" s="2"/>
      <c r="B565" s="2"/>
      <c r="C565" s="2"/>
      <c r="D565" s="18"/>
      <c r="E565" s="2"/>
      <c r="F565" s="49"/>
      <c r="G565" s="49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2.75" customHeight="1">
      <c r="A566" s="2"/>
      <c r="B566" s="2"/>
      <c r="C566" s="2"/>
      <c r="D566" s="18"/>
      <c r="E566" s="2"/>
      <c r="F566" s="49"/>
      <c r="G566" s="49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2.75" customHeight="1">
      <c r="A567" s="2"/>
      <c r="B567" s="2"/>
      <c r="C567" s="2"/>
      <c r="D567" s="18"/>
      <c r="E567" s="2"/>
      <c r="F567" s="49"/>
      <c r="G567" s="49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2.75" customHeight="1">
      <c r="A568" s="2"/>
      <c r="B568" s="2"/>
      <c r="C568" s="2"/>
      <c r="D568" s="18"/>
      <c r="E568" s="2"/>
      <c r="F568" s="49"/>
      <c r="G568" s="49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2.75" customHeight="1">
      <c r="A569" s="2"/>
      <c r="B569" s="2"/>
      <c r="C569" s="2"/>
      <c r="D569" s="18"/>
      <c r="E569" s="2"/>
      <c r="F569" s="49"/>
      <c r="G569" s="49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2.75" customHeight="1">
      <c r="A570" s="2"/>
      <c r="B570" s="2"/>
      <c r="C570" s="2"/>
      <c r="D570" s="18"/>
      <c r="E570" s="2"/>
      <c r="F570" s="49"/>
      <c r="G570" s="49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2.75" customHeight="1">
      <c r="A571" s="2"/>
      <c r="B571" s="2"/>
      <c r="C571" s="2"/>
      <c r="D571" s="18"/>
      <c r="E571" s="2"/>
      <c r="F571" s="49"/>
      <c r="G571" s="49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2.75" customHeight="1">
      <c r="A572" s="2"/>
      <c r="B572" s="2"/>
      <c r="C572" s="2"/>
      <c r="D572" s="18"/>
      <c r="E572" s="2"/>
      <c r="F572" s="49"/>
      <c r="G572" s="49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2.75" customHeight="1">
      <c r="A573" s="2"/>
      <c r="B573" s="2"/>
      <c r="C573" s="2"/>
      <c r="D573" s="18"/>
      <c r="E573" s="2"/>
      <c r="F573" s="49"/>
      <c r="G573" s="49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2.75" customHeight="1">
      <c r="A574" s="2"/>
      <c r="B574" s="2"/>
      <c r="C574" s="2"/>
      <c r="D574" s="18"/>
      <c r="E574" s="2"/>
      <c r="F574" s="49"/>
      <c r="G574" s="49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2.75" customHeight="1">
      <c r="A575" s="2"/>
      <c r="B575" s="2"/>
      <c r="C575" s="2"/>
      <c r="D575" s="18"/>
      <c r="E575" s="2"/>
      <c r="F575" s="49"/>
      <c r="G575" s="49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2.75" customHeight="1">
      <c r="A576" s="2"/>
      <c r="B576" s="2"/>
      <c r="C576" s="2"/>
      <c r="D576" s="18"/>
      <c r="E576" s="2"/>
      <c r="F576" s="49"/>
      <c r="G576" s="49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2.75" customHeight="1">
      <c r="A577" s="2"/>
      <c r="B577" s="2"/>
      <c r="C577" s="2"/>
      <c r="D577" s="18"/>
      <c r="E577" s="2"/>
      <c r="F577" s="49"/>
      <c r="G577" s="49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2.75" customHeight="1">
      <c r="A578" s="2"/>
      <c r="B578" s="2"/>
      <c r="C578" s="2"/>
      <c r="D578" s="18"/>
      <c r="E578" s="2"/>
      <c r="F578" s="49"/>
      <c r="G578" s="49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2.75" customHeight="1">
      <c r="A579" s="2"/>
      <c r="B579" s="2"/>
      <c r="C579" s="2"/>
      <c r="D579" s="18"/>
      <c r="E579" s="2"/>
      <c r="F579" s="49"/>
      <c r="G579" s="49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2.75" customHeight="1">
      <c r="A580" s="2"/>
      <c r="B580" s="2"/>
      <c r="C580" s="2"/>
      <c r="D580" s="18"/>
      <c r="E580" s="2"/>
      <c r="F580" s="49"/>
      <c r="G580" s="49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2.75" customHeight="1">
      <c r="A581" s="2"/>
      <c r="B581" s="2"/>
      <c r="C581" s="2"/>
      <c r="D581" s="18"/>
      <c r="E581" s="2"/>
      <c r="F581" s="49"/>
      <c r="G581" s="49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2.75" customHeight="1">
      <c r="A582" s="2"/>
      <c r="B582" s="2"/>
      <c r="C582" s="2"/>
      <c r="D582" s="18"/>
      <c r="E582" s="2"/>
      <c r="F582" s="49"/>
      <c r="G582" s="49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2.75" customHeight="1">
      <c r="A583" s="2"/>
      <c r="B583" s="2"/>
      <c r="C583" s="2"/>
      <c r="D583" s="18"/>
      <c r="E583" s="2"/>
      <c r="F583" s="49"/>
      <c r="G583" s="49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2.75" customHeight="1">
      <c r="A584" s="2"/>
      <c r="B584" s="2"/>
      <c r="C584" s="2"/>
      <c r="D584" s="18"/>
      <c r="E584" s="2"/>
      <c r="F584" s="49"/>
      <c r="G584" s="49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2.75" customHeight="1">
      <c r="A585" s="2"/>
      <c r="B585" s="2"/>
      <c r="C585" s="2"/>
      <c r="D585" s="18"/>
      <c r="E585" s="2"/>
      <c r="F585" s="49"/>
      <c r="G585" s="49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2.75" customHeight="1">
      <c r="A586" s="2"/>
      <c r="B586" s="2"/>
      <c r="C586" s="2"/>
      <c r="D586" s="18"/>
      <c r="E586" s="2"/>
      <c r="F586" s="49"/>
      <c r="G586" s="49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2.75" customHeight="1">
      <c r="A587" s="2"/>
      <c r="B587" s="2"/>
      <c r="C587" s="2"/>
      <c r="D587" s="18"/>
      <c r="E587" s="2"/>
      <c r="F587" s="49"/>
      <c r="G587" s="49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2.75" customHeight="1">
      <c r="A588" s="2"/>
      <c r="B588" s="2"/>
      <c r="C588" s="2"/>
      <c r="D588" s="18"/>
      <c r="E588" s="2"/>
      <c r="F588" s="49"/>
      <c r="G588" s="49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2.75" customHeight="1">
      <c r="A589" s="2"/>
      <c r="B589" s="2"/>
      <c r="C589" s="2"/>
      <c r="D589" s="18"/>
      <c r="E589" s="2"/>
      <c r="F589" s="49"/>
      <c r="G589" s="49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2.75" customHeight="1">
      <c r="A590" s="2"/>
      <c r="B590" s="2"/>
      <c r="C590" s="2"/>
      <c r="D590" s="18"/>
      <c r="E590" s="2"/>
      <c r="F590" s="49"/>
      <c r="G590" s="49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2.75" customHeight="1">
      <c r="A591" s="2"/>
      <c r="B591" s="2"/>
      <c r="C591" s="2"/>
      <c r="D591" s="18"/>
      <c r="E591" s="2"/>
      <c r="F591" s="49"/>
      <c r="G591" s="49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2.75" customHeight="1">
      <c r="A592" s="2"/>
      <c r="B592" s="2"/>
      <c r="C592" s="2"/>
      <c r="D592" s="18"/>
      <c r="E592" s="2"/>
      <c r="F592" s="49"/>
      <c r="G592" s="49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2.75" customHeight="1">
      <c r="A593" s="2"/>
      <c r="B593" s="2"/>
      <c r="C593" s="2"/>
      <c r="D593" s="18"/>
      <c r="E593" s="2"/>
      <c r="F593" s="49"/>
      <c r="G593" s="49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2.75" customHeight="1">
      <c r="A594" s="2"/>
      <c r="B594" s="2"/>
      <c r="C594" s="2"/>
      <c r="D594" s="18"/>
      <c r="E594" s="2"/>
      <c r="F594" s="49"/>
      <c r="G594" s="49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2.75" customHeight="1">
      <c r="A595" s="2"/>
      <c r="B595" s="2"/>
      <c r="C595" s="2"/>
      <c r="D595" s="18"/>
      <c r="E595" s="2"/>
      <c r="F595" s="49"/>
      <c r="G595" s="49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2.75" customHeight="1">
      <c r="A596" s="2"/>
      <c r="B596" s="2"/>
      <c r="C596" s="2"/>
      <c r="D596" s="18"/>
      <c r="E596" s="2"/>
      <c r="F596" s="49"/>
      <c r="G596" s="49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2.75" customHeight="1">
      <c r="A597" s="2"/>
      <c r="B597" s="2"/>
      <c r="C597" s="2"/>
      <c r="D597" s="18"/>
      <c r="E597" s="2"/>
      <c r="F597" s="49"/>
      <c r="G597" s="49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2.75" customHeight="1">
      <c r="A598" s="2"/>
      <c r="B598" s="2"/>
      <c r="C598" s="2"/>
      <c r="D598" s="18"/>
      <c r="E598" s="2"/>
      <c r="F598" s="49"/>
      <c r="G598" s="49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2.75" customHeight="1">
      <c r="A599" s="2"/>
      <c r="B599" s="2"/>
      <c r="C599" s="2"/>
      <c r="D599" s="18"/>
      <c r="E599" s="2"/>
      <c r="F599" s="49"/>
      <c r="G599" s="49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2.75" customHeight="1">
      <c r="A600" s="2"/>
      <c r="B600" s="2"/>
      <c r="C600" s="2"/>
      <c r="D600" s="18"/>
      <c r="E600" s="2"/>
      <c r="F600" s="49"/>
      <c r="G600" s="49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2.75" customHeight="1">
      <c r="A601" s="2"/>
      <c r="B601" s="2"/>
      <c r="C601" s="2"/>
      <c r="D601" s="18"/>
      <c r="E601" s="2"/>
      <c r="F601" s="49"/>
      <c r="G601" s="49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2.75" customHeight="1">
      <c r="A602" s="2"/>
      <c r="B602" s="2"/>
      <c r="C602" s="2"/>
      <c r="D602" s="18"/>
      <c r="E602" s="2"/>
      <c r="F602" s="49"/>
      <c r="G602" s="49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2.75" customHeight="1">
      <c r="A603" s="2"/>
      <c r="B603" s="2"/>
      <c r="C603" s="2"/>
      <c r="D603" s="18"/>
      <c r="E603" s="2"/>
      <c r="F603" s="49"/>
      <c r="G603" s="49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2.75" customHeight="1">
      <c r="A604" s="2"/>
      <c r="B604" s="2"/>
      <c r="C604" s="2"/>
      <c r="D604" s="18"/>
      <c r="E604" s="2"/>
      <c r="F604" s="49"/>
      <c r="G604" s="49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2.75" customHeight="1">
      <c r="A605" s="2"/>
      <c r="B605" s="2"/>
      <c r="C605" s="2"/>
      <c r="D605" s="18"/>
      <c r="E605" s="2"/>
      <c r="F605" s="49"/>
      <c r="G605" s="49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2.75" customHeight="1">
      <c r="A606" s="2"/>
      <c r="B606" s="2"/>
      <c r="C606" s="2"/>
      <c r="D606" s="18"/>
      <c r="E606" s="2"/>
      <c r="F606" s="49"/>
      <c r="G606" s="49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2.75" customHeight="1">
      <c r="A607" s="2"/>
      <c r="B607" s="2"/>
      <c r="C607" s="2"/>
      <c r="D607" s="18"/>
      <c r="E607" s="2"/>
      <c r="F607" s="49"/>
      <c r="G607" s="49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2.75" customHeight="1">
      <c r="A608" s="2"/>
      <c r="B608" s="2"/>
      <c r="C608" s="2"/>
      <c r="D608" s="18"/>
      <c r="E608" s="2"/>
      <c r="F608" s="49"/>
      <c r="G608" s="49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2.75" customHeight="1">
      <c r="A609" s="2"/>
      <c r="B609" s="2"/>
      <c r="C609" s="2"/>
      <c r="D609" s="18"/>
      <c r="E609" s="2"/>
      <c r="F609" s="49"/>
      <c r="G609" s="49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2.75" customHeight="1">
      <c r="A610" s="2"/>
      <c r="B610" s="2"/>
      <c r="C610" s="2"/>
      <c r="D610" s="18"/>
      <c r="E610" s="2"/>
      <c r="F610" s="49"/>
      <c r="G610" s="49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2.75" customHeight="1">
      <c r="A611" s="2"/>
      <c r="B611" s="2"/>
      <c r="C611" s="2"/>
      <c r="D611" s="18"/>
      <c r="E611" s="2"/>
      <c r="F611" s="49"/>
      <c r="G611" s="49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2.75" customHeight="1">
      <c r="A612" s="2"/>
      <c r="B612" s="2"/>
      <c r="C612" s="2"/>
      <c r="D612" s="18"/>
      <c r="E612" s="2"/>
      <c r="F612" s="49"/>
      <c r="G612" s="49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2.75" customHeight="1">
      <c r="A613" s="2"/>
      <c r="B613" s="2"/>
      <c r="C613" s="2"/>
      <c r="D613" s="18"/>
      <c r="E613" s="2"/>
      <c r="F613" s="49"/>
      <c r="G613" s="49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2.75" customHeight="1">
      <c r="A614" s="2"/>
      <c r="B614" s="2"/>
      <c r="C614" s="2"/>
      <c r="D614" s="18"/>
      <c r="E614" s="2"/>
      <c r="F614" s="49"/>
      <c r="G614" s="49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2.75" customHeight="1">
      <c r="A615" s="2"/>
      <c r="B615" s="2"/>
      <c r="C615" s="2"/>
      <c r="D615" s="18"/>
      <c r="E615" s="2"/>
      <c r="F615" s="49"/>
      <c r="G615" s="49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2.75" customHeight="1">
      <c r="A616" s="2"/>
      <c r="B616" s="2"/>
      <c r="C616" s="2"/>
      <c r="D616" s="18"/>
      <c r="E616" s="2"/>
      <c r="F616" s="49"/>
      <c r="G616" s="49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2.75" customHeight="1">
      <c r="A617" s="2"/>
      <c r="B617" s="2"/>
      <c r="C617" s="2"/>
      <c r="D617" s="18"/>
      <c r="E617" s="2"/>
      <c r="F617" s="49"/>
      <c r="G617" s="49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2.75" customHeight="1">
      <c r="A618" s="2"/>
      <c r="B618" s="2"/>
      <c r="C618" s="2"/>
      <c r="D618" s="18"/>
      <c r="E618" s="2"/>
      <c r="F618" s="49"/>
      <c r="G618" s="49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2.75" customHeight="1">
      <c r="A619" s="2"/>
      <c r="B619" s="2"/>
      <c r="C619" s="2"/>
      <c r="D619" s="18"/>
      <c r="E619" s="2"/>
      <c r="F619" s="49"/>
      <c r="G619" s="49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2.75" customHeight="1">
      <c r="A620" s="2"/>
      <c r="B620" s="2"/>
      <c r="C620" s="2"/>
      <c r="D620" s="18"/>
      <c r="E620" s="2"/>
      <c r="F620" s="49"/>
      <c r="G620" s="49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2.75" customHeight="1">
      <c r="A621" s="2"/>
      <c r="B621" s="2"/>
      <c r="C621" s="2"/>
      <c r="D621" s="18"/>
      <c r="E621" s="2"/>
      <c r="F621" s="49"/>
      <c r="G621" s="49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2.75" customHeight="1">
      <c r="A622" s="2"/>
      <c r="B622" s="2"/>
      <c r="C622" s="2"/>
      <c r="D622" s="18"/>
      <c r="E622" s="2"/>
      <c r="F622" s="49"/>
      <c r="G622" s="49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2.75" customHeight="1">
      <c r="A623" s="2"/>
      <c r="B623" s="2"/>
      <c r="C623" s="2"/>
      <c r="D623" s="18"/>
      <c r="E623" s="2"/>
      <c r="F623" s="49"/>
      <c r="G623" s="49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2.75" customHeight="1">
      <c r="A624" s="2"/>
      <c r="B624" s="2"/>
      <c r="C624" s="2"/>
      <c r="D624" s="18"/>
      <c r="E624" s="2"/>
      <c r="F624" s="49"/>
      <c r="G624" s="49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2.75" customHeight="1">
      <c r="A625" s="2"/>
      <c r="B625" s="2"/>
      <c r="C625" s="2"/>
      <c r="D625" s="18"/>
      <c r="E625" s="2"/>
      <c r="F625" s="49"/>
      <c r="G625" s="49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2.75" customHeight="1">
      <c r="A626" s="2"/>
      <c r="B626" s="2"/>
      <c r="C626" s="2"/>
      <c r="D626" s="18"/>
      <c r="E626" s="2"/>
      <c r="F626" s="49"/>
      <c r="G626" s="49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2.75" customHeight="1">
      <c r="A627" s="2"/>
      <c r="B627" s="2"/>
      <c r="C627" s="2"/>
      <c r="D627" s="18"/>
      <c r="E627" s="2"/>
      <c r="F627" s="49"/>
      <c r="G627" s="49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2.75" customHeight="1">
      <c r="A628" s="2"/>
      <c r="B628" s="2"/>
      <c r="C628" s="2"/>
      <c r="D628" s="18"/>
      <c r="E628" s="2"/>
      <c r="F628" s="49"/>
      <c r="G628" s="49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2.75" customHeight="1">
      <c r="A629" s="2"/>
      <c r="B629" s="2"/>
      <c r="C629" s="2"/>
      <c r="D629" s="18"/>
      <c r="E629" s="2"/>
      <c r="F629" s="49"/>
      <c r="G629" s="49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2.75" customHeight="1">
      <c r="A630" s="2"/>
      <c r="B630" s="2"/>
      <c r="C630" s="2"/>
      <c r="D630" s="18"/>
      <c r="E630" s="2"/>
      <c r="F630" s="49"/>
      <c r="G630" s="49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2.75" customHeight="1">
      <c r="A631" s="2"/>
      <c r="B631" s="2"/>
      <c r="C631" s="2"/>
      <c r="D631" s="18"/>
      <c r="E631" s="2"/>
      <c r="F631" s="49"/>
      <c r="G631" s="49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2.75" customHeight="1">
      <c r="A632" s="2"/>
      <c r="B632" s="2"/>
      <c r="C632" s="2"/>
      <c r="D632" s="18"/>
      <c r="E632" s="2"/>
      <c r="F632" s="49"/>
      <c r="G632" s="49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2.75" customHeight="1">
      <c r="A633" s="2"/>
      <c r="B633" s="2"/>
      <c r="C633" s="2"/>
      <c r="D633" s="18"/>
      <c r="E633" s="2"/>
      <c r="F633" s="49"/>
      <c r="G633" s="49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2.75" customHeight="1">
      <c r="A634" s="2"/>
      <c r="B634" s="2"/>
      <c r="C634" s="2"/>
      <c r="D634" s="18"/>
      <c r="E634" s="2"/>
      <c r="F634" s="49"/>
      <c r="G634" s="49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2.75" customHeight="1">
      <c r="A635" s="2"/>
      <c r="B635" s="2"/>
      <c r="C635" s="2"/>
      <c r="D635" s="18"/>
      <c r="E635" s="2"/>
      <c r="F635" s="49"/>
      <c r="G635" s="49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2.75" customHeight="1">
      <c r="A636" s="2"/>
      <c r="B636" s="2"/>
      <c r="C636" s="2"/>
      <c r="D636" s="18"/>
      <c r="E636" s="2"/>
      <c r="F636" s="49"/>
      <c r="G636" s="49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2.75" customHeight="1">
      <c r="A637" s="2"/>
      <c r="B637" s="2"/>
      <c r="C637" s="2"/>
      <c r="D637" s="18"/>
      <c r="E637" s="2"/>
      <c r="F637" s="49"/>
      <c r="G637" s="49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2.75" customHeight="1">
      <c r="A638" s="2"/>
      <c r="B638" s="2"/>
      <c r="C638" s="2"/>
      <c r="D638" s="18"/>
      <c r="E638" s="2"/>
      <c r="F638" s="49"/>
      <c r="G638" s="49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2.75" customHeight="1">
      <c r="A639" s="2"/>
      <c r="B639" s="2"/>
      <c r="C639" s="2"/>
      <c r="D639" s="18"/>
      <c r="E639" s="2"/>
      <c r="F639" s="49"/>
      <c r="G639" s="49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2.75" customHeight="1">
      <c r="A640" s="2"/>
      <c r="B640" s="2"/>
      <c r="C640" s="2"/>
      <c r="D640" s="18"/>
      <c r="E640" s="2"/>
      <c r="F640" s="49"/>
      <c r="G640" s="49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2.75" customHeight="1">
      <c r="A641" s="2"/>
      <c r="B641" s="2"/>
      <c r="C641" s="2"/>
      <c r="D641" s="18"/>
      <c r="E641" s="2"/>
      <c r="F641" s="49"/>
      <c r="G641" s="49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2.75" customHeight="1">
      <c r="A642" s="2"/>
      <c r="B642" s="2"/>
      <c r="C642" s="2"/>
      <c r="D642" s="18"/>
      <c r="E642" s="2"/>
      <c r="F642" s="49"/>
      <c r="G642" s="49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2.75" customHeight="1">
      <c r="A643" s="2"/>
      <c r="B643" s="2"/>
      <c r="C643" s="2"/>
      <c r="D643" s="18"/>
      <c r="E643" s="2"/>
      <c r="F643" s="49"/>
      <c r="G643" s="49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2.75" customHeight="1">
      <c r="A644" s="2"/>
      <c r="B644" s="2"/>
      <c r="C644" s="2"/>
      <c r="D644" s="18"/>
      <c r="E644" s="2"/>
      <c r="F644" s="49"/>
      <c r="G644" s="49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2.75" customHeight="1">
      <c r="A645" s="2"/>
      <c r="B645" s="2"/>
      <c r="C645" s="2"/>
      <c r="D645" s="18"/>
      <c r="E645" s="2"/>
      <c r="F645" s="49"/>
      <c r="G645" s="49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2.75" customHeight="1">
      <c r="A646" s="2"/>
      <c r="B646" s="2"/>
      <c r="C646" s="2"/>
      <c r="D646" s="18"/>
      <c r="E646" s="2"/>
      <c r="F646" s="49"/>
      <c r="G646" s="49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2.75" customHeight="1">
      <c r="A647" s="2"/>
      <c r="B647" s="2"/>
      <c r="C647" s="2"/>
      <c r="D647" s="18"/>
      <c r="E647" s="2"/>
      <c r="F647" s="49"/>
      <c r="G647" s="49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2.75" customHeight="1">
      <c r="A648" s="2"/>
      <c r="B648" s="2"/>
      <c r="C648" s="2"/>
      <c r="D648" s="18"/>
      <c r="E648" s="2"/>
      <c r="F648" s="49"/>
      <c r="G648" s="49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2.75" customHeight="1">
      <c r="A649" s="2"/>
      <c r="B649" s="2"/>
      <c r="C649" s="2"/>
      <c r="D649" s="18"/>
      <c r="E649" s="2"/>
      <c r="F649" s="49"/>
      <c r="G649" s="49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2.75" customHeight="1">
      <c r="A650" s="2"/>
      <c r="B650" s="2"/>
      <c r="C650" s="2"/>
      <c r="D650" s="18"/>
      <c r="E650" s="2"/>
      <c r="F650" s="49"/>
      <c r="G650" s="49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2.75" customHeight="1">
      <c r="A651" s="2"/>
      <c r="B651" s="2"/>
      <c r="C651" s="2"/>
      <c r="D651" s="18"/>
      <c r="E651" s="2"/>
      <c r="F651" s="49"/>
      <c r="G651" s="49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2.75" customHeight="1">
      <c r="A652" s="2"/>
      <c r="B652" s="2"/>
      <c r="C652" s="2"/>
      <c r="D652" s="18"/>
      <c r="E652" s="2"/>
      <c r="F652" s="49"/>
      <c r="G652" s="49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2.75" customHeight="1">
      <c r="A653" s="2"/>
      <c r="B653" s="2"/>
      <c r="C653" s="2"/>
      <c r="D653" s="18"/>
      <c r="E653" s="2"/>
      <c r="F653" s="49"/>
      <c r="G653" s="49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2.75" customHeight="1">
      <c r="A654" s="2"/>
      <c r="B654" s="2"/>
      <c r="C654" s="2"/>
      <c r="D654" s="18"/>
      <c r="E654" s="2"/>
      <c r="F654" s="49"/>
      <c r="G654" s="49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2.75" customHeight="1">
      <c r="A655" s="2"/>
      <c r="B655" s="2"/>
      <c r="C655" s="2"/>
      <c r="D655" s="18"/>
      <c r="E655" s="2"/>
      <c r="F655" s="49"/>
      <c r="G655" s="49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2.75" customHeight="1">
      <c r="A656" s="2"/>
      <c r="B656" s="2"/>
      <c r="C656" s="2"/>
      <c r="D656" s="18"/>
      <c r="E656" s="2"/>
      <c r="F656" s="49"/>
      <c r="G656" s="49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2.75" customHeight="1">
      <c r="A657" s="2"/>
      <c r="B657" s="2"/>
      <c r="C657" s="2"/>
      <c r="D657" s="18"/>
      <c r="E657" s="2"/>
      <c r="F657" s="49"/>
      <c r="G657" s="49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2.75" customHeight="1">
      <c r="A658" s="2"/>
      <c r="B658" s="2"/>
      <c r="C658" s="2"/>
      <c r="D658" s="18"/>
      <c r="E658" s="2"/>
      <c r="F658" s="49"/>
      <c r="G658" s="49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2.75" customHeight="1">
      <c r="A659" s="2"/>
      <c r="B659" s="2"/>
      <c r="C659" s="2"/>
      <c r="D659" s="18"/>
      <c r="E659" s="2"/>
      <c r="F659" s="49"/>
      <c r="G659" s="49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2.75" customHeight="1">
      <c r="A660" s="2"/>
      <c r="B660" s="2"/>
      <c r="C660" s="2"/>
      <c r="D660" s="18"/>
      <c r="E660" s="2"/>
      <c r="F660" s="49"/>
      <c r="G660" s="49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2.75" customHeight="1">
      <c r="A661" s="2"/>
      <c r="B661" s="2"/>
      <c r="C661" s="2"/>
      <c r="D661" s="18"/>
      <c r="E661" s="2"/>
      <c r="F661" s="49"/>
      <c r="G661" s="49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2.75" customHeight="1">
      <c r="A662" s="2"/>
      <c r="B662" s="2"/>
      <c r="C662" s="2"/>
      <c r="D662" s="18"/>
      <c r="E662" s="2"/>
      <c r="F662" s="49"/>
      <c r="G662" s="49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2.75" customHeight="1">
      <c r="A663" s="2"/>
      <c r="B663" s="2"/>
      <c r="C663" s="2"/>
      <c r="D663" s="18"/>
      <c r="E663" s="2"/>
      <c r="F663" s="49"/>
      <c r="G663" s="49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2.75" customHeight="1">
      <c r="A664" s="2"/>
      <c r="B664" s="2"/>
      <c r="C664" s="2"/>
      <c r="D664" s="18"/>
      <c r="E664" s="2"/>
      <c r="F664" s="49"/>
      <c r="G664" s="49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2.75" customHeight="1">
      <c r="A665" s="2"/>
      <c r="B665" s="2"/>
      <c r="C665" s="2"/>
      <c r="D665" s="18"/>
      <c r="E665" s="2"/>
      <c r="F665" s="49"/>
      <c r="G665" s="49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2.75" customHeight="1">
      <c r="A666" s="2"/>
      <c r="B666" s="2"/>
      <c r="C666" s="2"/>
      <c r="D666" s="18"/>
      <c r="E666" s="2"/>
      <c r="F666" s="49"/>
      <c r="G666" s="49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2.75" customHeight="1">
      <c r="A667" s="2"/>
      <c r="B667" s="2"/>
      <c r="C667" s="2"/>
      <c r="D667" s="18"/>
      <c r="E667" s="2"/>
      <c r="F667" s="49"/>
      <c r="G667" s="49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2.75" customHeight="1">
      <c r="A668" s="2"/>
      <c r="B668" s="2"/>
      <c r="C668" s="2"/>
      <c r="D668" s="18"/>
      <c r="E668" s="2"/>
      <c r="F668" s="49"/>
      <c r="G668" s="49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2.75" customHeight="1">
      <c r="A669" s="2"/>
      <c r="B669" s="2"/>
      <c r="C669" s="2"/>
      <c r="D669" s="18"/>
      <c r="E669" s="2"/>
      <c r="F669" s="49"/>
      <c r="G669" s="49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2.75" customHeight="1">
      <c r="A670" s="2"/>
      <c r="B670" s="2"/>
      <c r="C670" s="2"/>
      <c r="D670" s="18"/>
      <c r="E670" s="2"/>
      <c r="F670" s="49"/>
      <c r="G670" s="49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2.75" customHeight="1">
      <c r="A671" s="2"/>
      <c r="B671" s="2"/>
      <c r="C671" s="2"/>
      <c r="D671" s="18"/>
      <c r="E671" s="2"/>
      <c r="F671" s="49"/>
      <c r="G671" s="49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2.75" customHeight="1">
      <c r="A672" s="2"/>
      <c r="B672" s="2"/>
      <c r="C672" s="2"/>
      <c r="D672" s="18"/>
      <c r="E672" s="2"/>
      <c r="F672" s="49"/>
      <c r="G672" s="49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2.75" customHeight="1">
      <c r="A673" s="2"/>
      <c r="B673" s="2"/>
      <c r="C673" s="2"/>
      <c r="D673" s="18"/>
      <c r="E673" s="2"/>
      <c r="F673" s="49"/>
      <c r="G673" s="49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2.75" customHeight="1">
      <c r="A674" s="2"/>
      <c r="B674" s="2"/>
      <c r="C674" s="2"/>
      <c r="D674" s="18"/>
      <c r="E674" s="2"/>
      <c r="F674" s="49"/>
      <c r="G674" s="49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2.75" customHeight="1">
      <c r="A675" s="2"/>
      <c r="B675" s="2"/>
      <c r="C675" s="2"/>
      <c r="D675" s="18"/>
      <c r="E675" s="2"/>
      <c r="F675" s="49"/>
      <c r="G675" s="49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2.75" customHeight="1">
      <c r="A676" s="2"/>
      <c r="B676" s="2"/>
      <c r="C676" s="2"/>
      <c r="D676" s="18"/>
      <c r="E676" s="2"/>
      <c r="F676" s="49"/>
      <c r="G676" s="49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2.75" customHeight="1">
      <c r="A677" s="2"/>
      <c r="B677" s="2"/>
      <c r="C677" s="2"/>
      <c r="D677" s="18"/>
      <c r="E677" s="2"/>
      <c r="F677" s="49"/>
      <c r="G677" s="49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2.75" customHeight="1">
      <c r="A678" s="2"/>
      <c r="B678" s="2"/>
      <c r="C678" s="2"/>
      <c r="D678" s="18"/>
      <c r="E678" s="2"/>
      <c r="F678" s="49"/>
      <c r="G678" s="49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2.75" customHeight="1">
      <c r="A679" s="2"/>
      <c r="B679" s="2"/>
      <c r="C679" s="2"/>
      <c r="D679" s="18"/>
      <c r="E679" s="2"/>
      <c r="F679" s="49"/>
      <c r="G679" s="49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2.75" customHeight="1">
      <c r="A680" s="2"/>
      <c r="B680" s="2"/>
      <c r="C680" s="2"/>
      <c r="D680" s="18"/>
      <c r="E680" s="2"/>
      <c r="F680" s="49"/>
      <c r="G680" s="49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2.75" customHeight="1">
      <c r="A681" s="2"/>
      <c r="B681" s="2"/>
      <c r="C681" s="2"/>
      <c r="D681" s="18"/>
      <c r="E681" s="2"/>
      <c r="F681" s="49"/>
      <c r="G681" s="49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2.75" customHeight="1">
      <c r="A682" s="2"/>
      <c r="B682" s="2"/>
      <c r="C682" s="2"/>
      <c r="D682" s="18"/>
      <c r="E682" s="2"/>
      <c r="F682" s="49"/>
      <c r="G682" s="49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2.75" customHeight="1">
      <c r="A683" s="2"/>
      <c r="B683" s="2"/>
      <c r="C683" s="2"/>
      <c r="D683" s="18"/>
      <c r="E683" s="2"/>
      <c r="F683" s="49"/>
      <c r="G683" s="49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2.75" customHeight="1">
      <c r="A684" s="2"/>
      <c r="B684" s="2"/>
      <c r="C684" s="2"/>
      <c r="D684" s="18"/>
      <c r="E684" s="2"/>
      <c r="F684" s="49"/>
      <c r="G684" s="49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2.75" customHeight="1">
      <c r="A685" s="2"/>
      <c r="B685" s="2"/>
      <c r="C685" s="2"/>
      <c r="D685" s="18"/>
      <c r="E685" s="2"/>
      <c r="F685" s="49"/>
      <c r="G685" s="49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2.75" customHeight="1">
      <c r="A686" s="2"/>
      <c r="B686" s="2"/>
      <c r="C686" s="2"/>
      <c r="D686" s="18"/>
      <c r="E686" s="2"/>
      <c r="F686" s="49"/>
      <c r="G686" s="49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2.75" customHeight="1">
      <c r="A687" s="2"/>
      <c r="B687" s="2"/>
      <c r="C687" s="2"/>
      <c r="D687" s="18"/>
      <c r="E687" s="2"/>
      <c r="F687" s="49"/>
      <c r="G687" s="49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2.75" customHeight="1">
      <c r="A688" s="2"/>
      <c r="B688" s="2"/>
      <c r="C688" s="2"/>
      <c r="D688" s="18"/>
      <c r="E688" s="2"/>
      <c r="F688" s="49"/>
      <c r="G688" s="49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2.75" customHeight="1">
      <c r="A689" s="2"/>
      <c r="B689" s="2"/>
      <c r="C689" s="2"/>
      <c r="D689" s="18"/>
      <c r="E689" s="2"/>
      <c r="F689" s="49"/>
      <c r="G689" s="49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2.75" customHeight="1">
      <c r="A690" s="2"/>
      <c r="B690" s="2"/>
      <c r="C690" s="2"/>
      <c r="D690" s="18"/>
      <c r="E690" s="2"/>
      <c r="F690" s="49"/>
      <c r="G690" s="49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2.75" customHeight="1">
      <c r="A691" s="2"/>
      <c r="B691" s="2"/>
      <c r="C691" s="2"/>
      <c r="D691" s="18"/>
      <c r="E691" s="2"/>
      <c r="F691" s="49"/>
      <c r="G691" s="49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2.75" customHeight="1">
      <c r="A692" s="2"/>
      <c r="B692" s="2"/>
      <c r="C692" s="2"/>
      <c r="D692" s="18"/>
      <c r="E692" s="2"/>
      <c r="F692" s="49"/>
      <c r="G692" s="49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2.75" customHeight="1">
      <c r="A693" s="2"/>
      <c r="B693" s="2"/>
      <c r="C693" s="2"/>
      <c r="D693" s="18"/>
      <c r="E693" s="2"/>
      <c r="F693" s="49"/>
      <c r="G693" s="49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2.75" customHeight="1">
      <c r="A694" s="2"/>
      <c r="B694" s="2"/>
      <c r="C694" s="2"/>
      <c r="D694" s="18"/>
      <c r="E694" s="2"/>
      <c r="F694" s="49"/>
      <c r="G694" s="49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2.75" customHeight="1">
      <c r="A695" s="2"/>
      <c r="B695" s="2"/>
      <c r="C695" s="2"/>
      <c r="D695" s="18"/>
      <c r="E695" s="2"/>
      <c r="F695" s="49"/>
      <c r="G695" s="49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2.75" customHeight="1">
      <c r="A696" s="2"/>
      <c r="B696" s="2"/>
      <c r="C696" s="2"/>
      <c r="D696" s="18"/>
      <c r="E696" s="2"/>
      <c r="F696" s="49"/>
      <c r="G696" s="49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2.75" customHeight="1">
      <c r="A697" s="2"/>
      <c r="B697" s="2"/>
      <c r="C697" s="2"/>
      <c r="D697" s="18"/>
      <c r="E697" s="2"/>
      <c r="F697" s="49"/>
      <c r="G697" s="49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2.75" customHeight="1">
      <c r="A698" s="2"/>
      <c r="B698" s="2"/>
      <c r="C698" s="2"/>
      <c r="D698" s="18"/>
      <c r="E698" s="2"/>
      <c r="F698" s="49"/>
      <c r="G698" s="49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2.75" customHeight="1">
      <c r="A699" s="2"/>
      <c r="B699" s="2"/>
      <c r="C699" s="2"/>
      <c r="D699" s="18"/>
      <c r="E699" s="2"/>
      <c r="F699" s="49"/>
      <c r="G699" s="49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2.75" customHeight="1">
      <c r="A700" s="2"/>
      <c r="B700" s="2"/>
      <c r="C700" s="2"/>
      <c r="D700" s="18"/>
      <c r="E700" s="2"/>
      <c r="F700" s="49"/>
      <c r="G700" s="49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2.75" customHeight="1">
      <c r="A701" s="2"/>
      <c r="B701" s="2"/>
      <c r="C701" s="2"/>
      <c r="D701" s="18"/>
      <c r="E701" s="2"/>
      <c r="F701" s="49"/>
      <c r="G701" s="49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2.75" customHeight="1">
      <c r="A702" s="2"/>
      <c r="B702" s="2"/>
      <c r="C702" s="2"/>
      <c r="D702" s="18"/>
      <c r="E702" s="2"/>
      <c r="F702" s="49"/>
      <c r="G702" s="49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2.75" customHeight="1">
      <c r="A703" s="2"/>
      <c r="B703" s="2"/>
      <c r="C703" s="2"/>
      <c r="D703" s="18"/>
      <c r="E703" s="2"/>
      <c r="F703" s="49"/>
      <c r="G703" s="49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2.75" customHeight="1">
      <c r="A704" s="2"/>
      <c r="B704" s="2"/>
      <c r="C704" s="2"/>
      <c r="D704" s="18"/>
      <c r="E704" s="2"/>
      <c r="F704" s="49"/>
      <c r="G704" s="49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2.75" customHeight="1">
      <c r="A705" s="2"/>
      <c r="B705" s="2"/>
      <c r="C705" s="2"/>
      <c r="D705" s="18"/>
      <c r="E705" s="2"/>
      <c r="F705" s="49"/>
      <c r="G705" s="49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2.75" customHeight="1">
      <c r="A706" s="2"/>
      <c r="B706" s="2"/>
      <c r="C706" s="2"/>
      <c r="D706" s="18"/>
      <c r="E706" s="2"/>
      <c r="F706" s="49"/>
      <c r="G706" s="49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2.75" customHeight="1">
      <c r="A707" s="2"/>
      <c r="B707" s="2"/>
      <c r="C707" s="2"/>
      <c r="D707" s="18"/>
      <c r="E707" s="2"/>
      <c r="F707" s="49"/>
      <c r="G707" s="49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2.75" customHeight="1">
      <c r="A708" s="2"/>
      <c r="B708" s="2"/>
      <c r="C708" s="2"/>
      <c r="D708" s="18"/>
      <c r="E708" s="2"/>
      <c r="F708" s="49"/>
      <c r="G708" s="49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2.75" customHeight="1">
      <c r="A709" s="2"/>
      <c r="B709" s="2"/>
      <c r="C709" s="2"/>
      <c r="D709" s="18"/>
      <c r="E709" s="2"/>
      <c r="F709" s="49"/>
      <c r="G709" s="49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2.75" customHeight="1">
      <c r="A710" s="2"/>
      <c r="B710" s="2"/>
      <c r="C710" s="2"/>
      <c r="D710" s="18"/>
      <c r="E710" s="2"/>
      <c r="F710" s="49"/>
      <c r="G710" s="49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2.75" customHeight="1">
      <c r="A711" s="2"/>
      <c r="B711" s="2"/>
      <c r="C711" s="2"/>
      <c r="D711" s="18"/>
      <c r="E711" s="2"/>
      <c r="F711" s="49"/>
      <c r="G711" s="49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2.75" customHeight="1">
      <c r="A712" s="2"/>
      <c r="B712" s="2"/>
      <c r="C712" s="2"/>
      <c r="D712" s="18"/>
      <c r="E712" s="2"/>
      <c r="F712" s="49"/>
      <c r="G712" s="49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2.75" customHeight="1">
      <c r="A713" s="2"/>
      <c r="B713" s="2"/>
      <c r="C713" s="2"/>
      <c r="D713" s="18"/>
      <c r="E713" s="2"/>
      <c r="F713" s="49"/>
      <c r="G713" s="49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2.75" customHeight="1">
      <c r="A714" s="2"/>
      <c r="B714" s="2"/>
      <c r="C714" s="2"/>
      <c r="D714" s="18"/>
      <c r="E714" s="2"/>
      <c r="F714" s="49"/>
      <c r="G714" s="49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2.75" customHeight="1">
      <c r="A715" s="2"/>
      <c r="B715" s="2"/>
      <c r="C715" s="2"/>
      <c r="D715" s="18"/>
      <c r="E715" s="2"/>
      <c r="F715" s="49"/>
      <c r="G715" s="49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2.75" customHeight="1">
      <c r="A716" s="2"/>
      <c r="B716" s="2"/>
      <c r="C716" s="2"/>
      <c r="D716" s="18"/>
      <c r="E716" s="2"/>
      <c r="F716" s="49"/>
      <c r="G716" s="49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2.75" customHeight="1">
      <c r="A717" s="2"/>
      <c r="B717" s="2"/>
      <c r="C717" s="2"/>
      <c r="D717" s="18"/>
      <c r="E717" s="2"/>
      <c r="F717" s="49"/>
      <c r="G717" s="49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2.75" customHeight="1">
      <c r="A718" s="2"/>
      <c r="B718" s="2"/>
      <c r="C718" s="2"/>
      <c r="D718" s="18"/>
      <c r="E718" s="2"/>
      <c r="F718" s="49"/>
      <c r="G718" s="49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2.75" customHeight="1">
      <c r="A719" s="2"/>
      <c r="B719" s="2"/>
      <c r="C719" s="2"/>
      <c r="D719" s="18"/>
      <c r="E719" s="2"/>
      <c r="F719" s="49"/>
      <c r="G719" s="49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2.75" customHeight="1">
      <c r="A720" s="2"/>
      <c r="B720" s="2"/>
      <c r="C720" s="2"/>
      <c r="D720" s="18"/>
      <c r="E720" s="2"/>
      <c r="F720" s="49"/>
      <c r="G720" s="49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2.75" customHeight="1">
      <c r="A721" s="2"/>
      <c r="B721" s="2"/>
      <c r="C721" s="2"/>
      <c r="D721" s="18"/>
      <c r="E721" s="2"/>
      <c r="F721" s="49"/>
      <c r="G721" s="49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2.75" customHeight="1">
      <c r="A722" s="2"/>
      <c r="B722" s="2"/>
      <c r="C722" s="2"/>
      <c r="D722" s="18"/>
      <c r="E722" s="2"/>
      <c r="F722" s="49"/>
      <c r="G722" s="49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2.75" customHeight="1">
      <c r="A723" s="2"/>
      <c r="B723" s="2"/>
      <c r="C723" s="2"/>
      <c r="D723" s="18"/>
      <c r="E723" s="2"/>
      <c r="F723" s="49"/>
      <c r="G723" s="49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2.75" customHeight="1">
      <c r="A724" s="2"/>
      <c r="B724" s="2"/>
      <c r="C724" s="2"/>
      <c r="D724" s="18"/>
      <c r="E724" s="2"/>
      <c r="F724" s="49"/>
      <c r="G724" s="49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2.75" customHeight="1">
      <c r="A725" s="2"/>
      <c r="B725" s="2"/>
      <c r="C725" s="2"/>
      <c r="D725" s="18"/>
      <c r="E725" s="2"/>
      <c r="F725" s="49"/>
      <c r="G725" s="49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2.75" customHeight="1">
      <c r="A726" s="2"/>
      <c r="B726" s="2"/>
      <c r="C726" s="2"/>
      <c r="D726" s="18"/>
      <c r="E726" s="2"/>
      <c r="F726" s="49"/>
      <c r="G726" s="49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2.75" customHeight="1">
      <c r="A727" s="2"/>
      <c r="B727" s="2"/>
      <c r="C727" s="2"/>
      <c r="D727" s="18"/>
      <c r="E727" s="2"/>
      <c r="F727" s="49"/>
      <c r="G727" s="49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2.75" customHeight="1">
      <c r="A728" s="2"/>
      <c r="B728" s="2"/>
      <c r="C728" s="2"/>
      <c r="D728" s="18"/>
      <c r="E728" s="2"/>
      <c r="F728" s="49"/>
      <c r="G728" s="49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2.75" customHeight="1">
      <c r="A729" s="2"/>
      <c r="B729" s="2"/>
      <c r="C729" s="2"/>
      <c r="D729" s="18"/>
      <c r="E729" s="2"/>
      <c r="F729" s="49"/>
      <c r="G729" s="49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2.75" customHeight="1">
      <c r="A730" s="2"/>
      <c r="B730" s="2"/>
      <c r="C730" s="2"/>
      <c r="D730" s="18"/>
      <c r="E730" s="2"/>
      <c r="F730" s="49"/>
      <c r="G730" s="49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2.75" customHeight="1">
      <c r="A731" s="2"/>
      <c r="B731" s="2"/>
      <c r="C731" s="2"/>
      <c r="D731" s="18"/>
      <c r="E731" s="2"/>
      <c r="F731" s="49"/>
      <c r="G731" s="49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2.75" customHeight="1">
      <c r="A732" s="2"/>
      <c r="B732" s="2"/>
      <c r="C732" s="2"/>
      <c r="D732" s="18"/>
      <c r="E732" s="2"/>
      <c r="F732" s="49"/>
      <c r="G732" s="49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2.75" customHeight="1">
      <c r="A733" s="2"/>
      <c r="B733" s="2"/>
      <c r="C733" s="2"/>
      <c r="D733" s="18"/>
      <c r="E733" s="2"/>
      <c r="F733" s="49"/>
      <c r="G733" s="49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2.75" customHeight="1">
      <c r="A734" s="2"/>
      <c r="B734" s="2"/>
      <c r="C734" s="2"/>
      <c r="D734" s="18"/>
      <c r="E734" s="2"/>
      <c r="F734" s="49"/>
      <c r="G734" s="49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2.75" customHeight="1">
      <c r="A735" s="2"/>
      <c r="B735" s="2"/>
      <c r="C735" s="2"/>
      <c r="D735" s="18"/>
      <c r="E735" s="2"/>
      <c r="F735" s="49"/>
      <c r="G735" s="49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2.75" customHeight="1">
      <c r="A736" s="2"/>
      <c r="B736" s="2"/>
      <c r="C736" s="2"/>
      <c r="D736" s="18"/>
      <c r="E736" s="2"/>
      <c r="F736" s="49"/>
      <c r="G736" s="49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2.75" customHeight="1">
      <c r="A737" s="2"/>
      <c r="B737" s="2"/>
      <c r="C737" s="2"/>
      <c r="D737" s="18"/>
      <c r="E737" s="2"/>
      <c r="F737" s="49"/>
      <c r="G737" s="49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2.75" customHeight="1">
      <c r="A738" s="2"/>
      <c r="B738" s="2"/>
      <c r="C738" s="2"/>
      <c r="D738" s="18"/>
      <c r="E738" s="2"/>
      <c r="F738" s="49"/>
      <c r="G738" s="49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2.75" customHeight="1">
      <c r="A739" s="2"/>
      <c r="B739" s="2"/>
      <c r="C739" s="2"/>
      <c r="D739" s="18"/>
      <c r="E739" s="2"/>
      <c r="F739" s="49"/>
      <c r="G739" s="49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2.75" customHeight="1">
      <c r="A740" s="2"/>
      <c r="B740" s="2"/>
      <c r="C740" s="2"/>
      <c r="D740" s="18"/>
      <c r="E740" s="2"/>
      <c r="F740" s="49"/>
      <c r="G740" s="49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2.75" customHeight="1">
      <c r="A741" s="2"/>
      <c r="B741" s="2"/>
      <c r="C741" s="2"/>
      <c r="D741" s="18"/>
      <c r="E741" s="2"/>
      <c r="F741" s="49"/>
      <c r="G741" s="49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2.75" customHeight="1">
      <c r="A742" s="2"/>
      <c r="B742" s="2"/>
      <c r="C742" s="2"/>
      <c r="D742" s="18"/>
      <c r="E742" s="2"/>
      <c r="F742" s="49"/>
      <c r="G742" s="49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2.75" customHeight="1">
      <c r="A743" s="2"/>
      <c r="B743" s="2"/>
      <c r="C743" s="2"/>
      <c r="D743" s="18"/>
      <c r="E743" s="2"/>
      <c r="F743" s="49"/>
      <c r="G743" s="49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2.75" customHeight="1">
      <c r="A744" s="2"/>
      <c r="B744" s="2"/>
      <c r="C744" s="2"/>
      <c r="D744" s="18"/>
      <c r="E744" s="2"/>
      <c r="F744" s="49"/>
      <c r="G744" s="49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2.75" customHeight="1">
      <c r="A745" s="2"/>
      <c r="B745" s="2"/>
      <c r="C745" s="2"/>
      <c r="D745" s="18"/>
      <c r="E745" s="2"/>
      <c r="F745" s="49"/>
      <c r="G745" s="49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2.75" customHeight="1">
      <c r="A746" s="2"/>
      <c r="B746" s="2"/>
      <c r="C746" s="2"/>
      <c r="D746" s="18"/>
      <c r="E746" s="2"/>
      <c r="F746" s="49"/>
      <c r="G746" s="49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2.75" customHeight="1">
      <c r="A747" s="2"/>
      <c r="B747" s="2"/>
      <c r="C747" s="2"/>
      <c r="D747" s="18"/>
      <c r="E747" s="2"/>
      <c r="F747" s="49"/>
      <c r="G747" s="49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2.75" customHeight="1">
      <c r="A748" s="2"/>
      <c r="B748" s="2"/>
      <c r="C748" s="2"/>
      <c r="D748" s="18"/>
      <c r="E748" s="2"/>
      <c r="F748" s="49"/>
      <c r="G748" s="49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2.75" customHeight="1">
      <c r="A749" s="2"/>
      <c r="B749" s="2"/>
      <c r="C749" s="2"/>
      <c r="D749" s="18"/>
      <c r="E749" s="2"/>
      <c r="F749" s="49"/>
      <c r="G749" s="49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2.75" customHeight="1">
      <c r="A750" s="2"/>
      <c r="B750" s="2"/>
      <c r="C750" s="2"/>
      <c r="D750" s="18"/>
      <c r="E750" s="2"/>
      <c r="F750" s="49"/>
      <c r="G750" s="49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2.75" customHeight="1">
      <c r="A751" s="2"/>
      <c r="B751" s="2"/>
      <c r="C751" s="2"/>
      <c r="D751" s="18"/>
      <c r="E751" s="2"/>
      <c r="F751" s="49"/>
      <c r="G751" s="49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2.75" customHeight="1">
      <c r="A752" s="2"/>
      <c r="B752" s="2"/>
      <c r="C752" s="2"/>
      <c r="D752" s="18"/>
      <c r="E752" s="2"/>
      <c r="F752" s="49"/>
      <c r="G752" s="49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2.75" customHeight="1">
      <c r="A753" s="2"/>
      <c r="B753" s="2"/>
      <c r="C753" s="2"/>
      <c r="D753" s="18"/>
      <c r="E753" s="2"/>
      <c r="F753" s="49"/>
      <c r="G753" s="49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2.75" customHeight="1">
      <c r="A754" s="2"/>
      <c r="B754" s="2"/>
      <c r="C754" s="2"/>
      <c r="D754" s="18"/>
      <c r="E754" s="2"/>
      <c r="F754" s="49"/>
      <c r="G754" s="49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2.75" customHeight="1">
      <c r="A755" s="2"/>
      <c r="B755" s="2"/>
      <c r="C755" s="2"/>
      <c r="D755" s="18"/>
      <c r="E755" s="2"/>
      <c r="F755" s="49"/>
      <c r="G755" s="49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2.75" customHeight="1">
      <c r="A756" s="2"/>
      <c r="B756" s="2"/>
      <c r="C756" s="2"/>
      <c r="D756" s="18"/>
      <c r="E756" s="2"/>
      <c r="F756" s="49"/>
      <c r="G756" s="49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2.75" customHeight="1">
      <c r="A757" s="2"/>
      <c r="B757" s="2"/>
      <c r="C757" s="2"/>
      <c r="D757" s="18"/>
      <c r="E757" s="2"/>
      <c r="F757" s="49"/>
      <c r="G757" s="49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2.75" customHeight="1">
      <c r="A758" s="2"/>
      <c r="B758" s="2"/>
      <c r="C758" s="2"/>
      <c r="D758" s="18"/>
      <c r="E758" s="2"/>
      <c r="F758" s="49"/>
      <c r="G758" s="49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2.75" customHeight="1">
      <c r="A759" s="2"/>
      <c r="B759" s="2"/>
      <c r="C759" s="2"/>
      <c r="D759" s="18"/>
      <c r="E759" s="2"/>
      <c r="F759" s="49"/>
      <c r="G759" s="49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2.75" customHeight="1">
      <c r="A760" s="2"/>
      <c r="B760" s="2"/>
      <c r="C760" s="2"/>
      <c r="D760" s="18"/>
      <c r="E760" s="2"/>
      <c r="F760" s="49"/>
      <c r="G760" s="49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2.75" customHeight="1">
      <c r="A761" s="2"/>
      <c r="B761" s="2"/>
      <c r="C761" s="2"/>
      <c r="D761" s="18"/>
      <c r="E761" s="2"/>
      <c r="F761" s="49"/>
      <c r="G761" s="49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2.75" customHeight="1">
      <c r="A762" s="2"/>
      <c r="B762" s="2"/>
      <c r="C762" s="2"/>
      <c r="D762" s="18"/>
      <c r="E762" s="2"/>
      <c r="F762" s="49"/>
      <c r="G762" s="49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2.75" customHeight="1">
      <c r="A763" s="2"/>
      <c r="B763" s="2"/>
      <c r="C763" s="2"/>
      <c r="D763" s="18"/>
      <c r="E763" s="2"/>
      <c r="F763" s="49"/>
      <c r="G763" s="49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2.75" customHeight="1">
      <c r="A764" s="2"/>
      <c r="B764" s="2"/>
      <c r="C764" s="2"/>
      <c r="D764" s="18"/>
      <c r="E764" s="2"/>
      <c r="F764" s="49"/>
      <c r="G764" s="49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2.75" customHeight="1">
      <c r="A765" s="2"/>
      <c r="B765" s="2"/>
      <c r="C765" s="2"/>
      <c r="D765" s="18"/>
      <c r="E765" s="2"/>
      <c r="F765" s="49"/>
      <c r="G765" s="49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2.75" customHeight="1">
      <c r="A766" s="2"/>
      <c r="B766" s="2"/>
      <c r="C766" s="2"/>
      <c r="D766" s="18"/>
      <c r="E766" s="2"/>
      <c r="F766" s="49"/>
      <c r="G766" s="49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2.75" customHeight="1">
      <c r="A767" s="2"/>
      <c r="B767" s="2"/>
      <c r="C767" s="2"/>
      <c r="D767" s="18"/>
      <c r="E767" s="2"/>
      <c r="F767" s="49"/>
      <c r="G767" s="49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2.75" customHeight="1">
      <c r="A768" s="2"/>
      <c r="B768" s="2"/>
      <c r="C768" s="2"/>
      <c r="D768" s="18"/>
      <c r="E768" s="2"/>
      <c r="F768" s="49"/>
      <c r="G768" s="49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2.75" customHeight="1">
      <c r="A769" s="2"/>
      <c r="B769" s="2"/>
      <c r="C769" s="2"/>
      <c r="D769" s="18"/>
      <c r="E769" s="2"/>
      <c r="F769" s="49"/>
      <c r="G769" s="49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2.75" customHeight="1">
      <c r="A770" s="2"/>
      <c r="B770" s="2"/>
      <c r="C770" s="2"/>
      <c r="D770" s="18"/>
      <c r="E770" s="2"/>
      <c r="F770" s="49"/>
      <c r="G770" s="49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2.75" customHeight="1">
      <c r="A771" s="2"/>
      <c r="B771" s="2"/>
      <c r="C771" s="2"/>
      <c r="D771" s="18"/>
      <c r="E771" s="2"/>
      <c r="F771" s="49"/>
      <c r="G771" s="49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2.75" customHeight="1">
      <c r="A772" s="2"/>
      <c r="B772" s="2"/>
      <c r="C772" s="2"/>
      <c r="D772" s="18"/>
      <c r="E772" s="2"/>
      <c r="F772" s="49"/>
      <c r="G772" s="49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2.75" customHeight="1">
      <c r="A773" s="2"/>
      <c r="B773" s="2"/>
      <c r="C773" s="2"/>
      <c r="D773" s="18"/>
      <c r="E773" s="2"/>
      <c r="F773" s="49"/>
      <c r="G773" s="49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2.75" customHeight="1">
      <c r="A774" s="2"/>
      <c r="B774" s="2"/>
      <c r="C774" s="2"/>
      <c r="D774" s="18"/>
      <c r="E774" s="2"/>
      <c r="F774" s="49"/>
      <c r="G774" s="49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2.75" customHeight="1">
      <c r="A775" s="2"/>
      <c r="B775" s="2"/>
      <c r="C775" s="2"/>
      <c r="D775" s="18"/>
      <c r="E775" s="2"/>
      <c r="F775" s="49"/>
      <c r="G775" s="49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2.75" customHeight="1">
      <c r="A776" s="2"/>
      <c r="B776" s="2"/>
      <c r="C776" s="2"/>
      <c r="D776" s="18"/>
      <c r="E776" s="2"/>
      <c r="F776" s="49"/>
      <c r="G776" s="49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2.75" customHeight="1">
      <c r="A777" s="2"/>
      <c r="B777" s="2"/>
      <c r="C777" s="2"/>
      <c r="D777" s="18"/>
      <c r="E777" s="2"/>
      <c r="F777" s="49"/>
      <c r="G777" s="49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2.75" customHeight="1">
      <c r="A778" s="2"/>
      <c r="B778" s="2"/>
      <c r="C778" s="2"/>
      <c r="D778" s="18"/>
      <c r="E778" s="2"/>
      <c r="F778" s="49"/>
      <c r="G778" s="49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2.75" customHeight="1">
      <c r="A779" s="2"/>
      <c r="B779" s="2"/>
      <c r="C779" s="2"/>
      <c r="D779" s="18"/>
      <c r="E779" s="2"/>
      <c r="F779" s="49"/>
      <c r="G779" s="49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2.75" customHeight="1">
      <c r="A780" s="2"/>
      <c r="B780" s="2"/>
      <c r="C780" s="2"/>
      <c r="D780" s="18"/>
      <c r="E780" s="2"/>
      <c r="F780" s="49"/>
      <c r="G780" s="49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2.75" customHeight="1">
      <c r="A781" s="2"/>
      <c r="B781" s="2"/>
      <c r="C781" s="2"/>
      <c r="D781" s="18"/>
      <c r="E781" s="2"/>
      <c r="F781" s="49"/>
      <c r="G781" s="49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2.75" customHeight="1">
      <c r="A782" s="2"/>
      <c r="B782" s="2"/>
      <c r="C782" s="2"/>
      <c r="D782" s="18"/>
      <c r="E782" s="2"/>
      <c r="F782" s="49"/>
      <c r="G782" s="49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2.75" customHeight="1">
      <c r="A783" s="2"/>
      <c r="B783" s="2"/>
      <c r="C783" s="2"/>
      <c r="D783" s="18"/>
      <c r="E783" s="2"/>
      <c r="F783" s="49"/>
      <c r="G783" s="49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2.75" customHeight="1">
      <c r="A784" s="2"/>
      <c r="B784" s="2"/>
      <c r="C784" s="2"/>
      <c r="D784" s="18"/>
      <c r="E784" s="2"/>
      <c r="F784" s="49"/>
      <c r="G784" s="49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2.75" customHeight="1">
      <c r="A785" s="2"/>
      <c r="B785" s="2"/>
      <c r="C785" s="2"/>
      <c r="D785" s="18"/>
      <c r="E785" s="2"/>
      <c r="F785" s="49"/>
      <c r="G785" s="49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2.75" customHeight="1">
      <c r="A786" s="2"/>
      <c r="B786" s="2"/>
      <c r="C786" s="2"/>
      <c r="D786" s="18"/>
      <c r="E786" s="2"/>
      <c r="F786" s="49"/>
      <c r="G786" s="49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2.75" customHeight="1">
      <c r="A787" s="2"/>
      <c r="B787" s="2"/>
      <c r="C787" s="2"/>
      <c r="D787" s="18"/>
      <c r="E787" s="2"/>
      <c r="F787" s="49"/>
      <c r="G787" s="49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2.75" customHeight="1">
      <c r="A788" s="2"/>
      <c r="B788" s="2"/>
      <c r="C788" s="2"/>
      <c r="D788" s="18"/>
      <c r="E788" s="2"/>
      <c r="F788" s="49"/>
      <c r="G788" s="49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2.75" customHeight="1">
      <c r="A789" s="2"/>
      <c r="B789" s="2"/>
      <c r="C789" s="2"/>
      <c r="D789" s="18"/>
      <c r="E789" s="2"/>
      <c r="F789" s="49"/>
      <c r="G789" s="49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2.75" customHeight="1">
      <c r="A790" s="2"/>
      <c r="B790" s="2"/>
      <c r="C790" s="2"/>
      <c r="D790" s="18"/>
      <c r="E790" s="2"/>
      <c r="F790" s="49"/>
      <c r="G790" s="49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2.75" customHeight="1">
      <c r="A791" s="2"/>
      <c r="B791" s="2"/>
      <c r="C791" s="2"/>
      <c r="D791" s="18"/>
      <c r="E791" s="2"/>
      <c r="F791" s="49"/>
      <c r="G791" s="49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2.75" customHeight="1">
      <c r="A792" s="2"/>
      <c r="B792" s="2"/>
      <c r="C792" s="2"/>
      <c r="D792" s="18"/>
      <c r="E792" s="2"/>
      <c r="F792" s="49"/>
      <c r="G792" s="49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2.75" customHeight="1">
      <c r="A793" s="2"/>
      <c r="B793" s="2"/>
      <c r="C793" s="2"/>
      <c r="D793" s="18"/>
      <c r="E793" s="2"/>
      <c r="F793" s="49"/>
      <c r="G793" s="49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2.75" customHeight="1">
      <c r="A794" s="2"/>
      <c r="B794" s="2"/>
      <c r="C794" s="2"/>
      <c r="D794" s="18"/>
      <c r="E794" s="2"/>
      <c r="F794" s="49"/>
      <c r="G794" s="49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2.75" customHeight="1">
      <c r="A795" s="2"/>
      <c r="B795" s="2"/>
      <c r="C795" s="2"/>
      <c r="D795" s="18"/>
      <c r="E795" s="2"/>
      <c r="F795" s="49"/>
      <c r="G795" s="49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2.75" customHeight="1">
      <c r="A796" s="2"/>
      <c r="B796" s="2"/>
      <c r="C796" s="2"/>
      <c r="D796" s="18"/>
      <c r="E796" s="2"/>
      <c r="F796" s="49"/>
      <c r="G796" s="49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2.75" customHeight="1">
      <c r="A797" s="2"/>
      <c r="B797" s="2"/>
      <c r="C797" s="2"/>
      <c r="D797" s="18"/>
      <c r="E797" s="2"/>
      <c r="F797" s="49"/>
      <c r="G797" s="49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2.75" customHeight="1">
      <c r="A798" s="2"/>
      <c r="B798" s="2"/>
      <c r="C798" s="2"/>
      <c r="D798" s="18"/>
      <c r="E798" s="2"/>
      <c r="F798" s="49"/>
      <c r="G798" s="49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2.75" customHeight="1">
      <c r="A799" s="2"/>
      <c r="B799" s="2"/>
      <c r="C799" s="2"/>
      <c r="D799" s="18"/>
      <c r="E799" s="2"/>
      <c r="F799" s="49"/>
      <c r="G799" s="49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2.75" customHeight="1">
      <c r="A800" s="2"/>
      <c r="B800" s="2"/>
      <c r="C800" s="2"/>
      <c r="D800" s="18"/>
      <c r="E800" s="2"/>
      <c r="F800" s="49"/>
      <c r="G800" s="49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2.75" customHeight="1">
      <c r="A801" s="2"/>
      <c r="B801" s="2"/>
      <c r="C801" s="2"/>
      <c r="D801" s="18"/>
      <c r="E801" s="2"/>
      <c r="F801" s="49"/>
      <c r="G801" s="49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2.75" customHeight="1">
      <c r="A802" s="2"/>
      <c r="B802" s="2"/>
      <c r="C802" s="2"/>
      <c r="D802" s="18"/>
      <c r="E802" s="2"/>
      <c r="F802" s="49"/>
      <c r="G802" s="49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2.75" customHeight="1">
      <c r="A803" s="2"/>
      <c r="B803" s="2"/>
      <c r="C803" s="2"/>
      <c r="D803" s="18"/>
      <c r="E803" s="2"/>
      <c r="F803" s="49"/>
      <c r="G803" s="49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2.75" customHeight="1">
      <c r="A804" s="2"/>
      <c r="B804" s="2"/>
      <c r="C804" s="2"/>
      <c r="D804" s="18"/>
      <c r="E804" s="2"/>
      <c r="F804" s="49"/>
      <c r="G804" s="49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2.75" customHeight="1">
      <c r="A805" s="2"/>
      <c r="B805" s="2"/>
      <c r="C805" s="2"/>
      <c r="D805" s="18"/>
      <c r="E805" s="2"/>
      <c r="F805" s="49"/>
      <c r="G805" s="49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2.75" customHeight="1">
      <c r="A806" s="2"/>
      <c r="B806" s="2"/>
      <c r="C806" s="2"/>
      <c r="D806" s="18"/>
      <c r="E806" s="2"/>
      <c r="F806" s="49"/>
      <c r="G806" s="49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2.75" customHeight="1">
      <c r="A807" s="2"/>
      <c r="B807" s="2"/>
      <c r="C807" s="2"/>
      <c r="D807" s="18"/>
      <c r="E807" s="2"/>
      <c r="F807" s="49"/>
      <c r="G807" s="49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2.75" customHeight="1">
      <c r="A808" s="2"/>
      <c r="B808" s="2"/>
      <c r="C808" s="2"/>
      <c r="D808" s="18"/>
      <c r="E808" s="2"/>
      <c r="F808" s="49"/>
      <c r="G808" s="49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2.75" customHeight="1">
      <c r="A809" s="2"/>
      <c r="B809" s="2"/>
      <c r="C809" s="2"/>
      <c r="D809" s="18"/>
      <c r="E809" s="2"/>
      <c r="F809" s="49"/>
      <c r="G809" s="49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2.75" customHeight="1">
      <c r="A810" s="2"/>
      <c r="B810" s="2"/>
      <c r="C810" s="2"/>
      <c r="D810" s="18"/>
      <c r="E810" s="2"/>
      <c r="F810" s="49"/>
      <c r="G810" s="49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2.75" customHeight="1">
      <c r="A811" s="2"/>
      <c r="B811" s="2"/>
      <c r="C811" s="2"/>
      <c r="D811" s="18"/>
      <c r="E811" s="2"/>
      <c r="F811" s="49"/>
      <c r="G811" s="49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2.75" customHeight="1">
      <c r="A812" s="2"/>
      <c r="B812" s="2"/>
      <c r="C812" s="2"/>
      <c r="D812" s="18"/>
      <c r="E812" s="2"/>
      <c r="F812" s="49"/>
      <c r="G812" s="49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2.75" customHeight="1">
      <c r="A813" s="2"/>
      <c r="B813" s="2"/>
      <c r="C813" s="2"/>
      <c r="D813" s="18"/>
      <c r="E813" s="2"/>
      <c r="F813" s="49"/>
      <c r="G813" s="49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2.75" customHeight="1">
      <c r="A814" s="2"/>
      <c r="B814" s="2"/>
      <c r="C814" s="2"/>
      <c r="D814" s="18"/>
      <c r="E814" s="2"/>
      <c r="F814" s="49"/>
      <c r="G814" s="49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2.75" customHeight="1">
      <c r="A815" s="2"/>
      <c r="B815" s="2"/>
      <c r="C815" s="2"/>
      <c r="D815" s="18"/>
      <c r="E815" s="2"/>
      <c r="F815" s="49"/>
      <c r="G815" s="49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2.75" customHeight="1">
      <c r="A816" s="2"/>
      <c r="B816" s="2"/>
      <c r="C816" s="2"/>
      <c r="D816" s="18"/>
      <c r="E816" s="2"/>
      <c r="F816" s="49"/>
      <c r="G816" s="49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2.75" customHeight="1">
      <c r="A817" s="2"/>
      <c r="B817" s="2"/>
      <c r="C817" s="2"/>
      <c r="D817" s="18"/>
      <c r="E817" s="2"/>
      <c r="F817" s="49"/>
      <c r="G817" s="49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2.75" customHeight="1">
      <c r="A818" s="2"/>
      <c r="B818" s="2"/>
      <c r="C818" s="2"/>
      <c r="D818" s="18"/>
      <c r="E818" s="2"/>
      <c r="F818" s="49"/>
      <c r="G818" s="49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2.75" customHeight="1">
      <c r="A819" s="2"/>
      <c r="B819" s="2"/>
      <c r="C819" s="2"/>
      <c r="D819" s="18"/>
      <c r="E819" s="2"/>
      <c r="F819" s="49"/>
      <c r="G819" s="49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2.75" customHeight="1">
      <c r="A820" s="2"/>
      <c r="B820" s="2"/>
      <c r="C820" s="2"/>
      <c r="D820" s="18"/>
      <c r="E820" s="2"/>
      <c r="F820" s="49"/>
      <c r="G820" s="49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2.75" customHeight="1">
      <c r="A821" s="2"/>
      <c r="B821" s="2"/>
      <c r="C821" s="2"/>
      <c r="D821" s="18"/>
      <c r="E821" s="2"/>
      <c r="F821" s="49"/>
      <c r="G821" s="49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2.75" customHeight="1">
      <c r="A822" s="2"/>
      <c r="B822" s="2"/>
      <c r="C822" s="2"/>
      <c r="D822" s="18"/>
      <c r="E822" s="2"/>
      <c r="F822" s="49"/>
      <c r="G822" s="49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2.75" customHeight="1">
      <c r="A823" s="2"/>
      <c r="B823" s="2"/>
      <c r="C823" s="2"/>
      <c r="D823" s="18"/>
      <c r="E823" s="2"/>
      <c r="F823" s="49"/>
      <c r="G823" s="49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2.75" customHeight="1">
      <c r="A824" s="2"/>
      <c r="B824" s="2"/>
      <c r="C824" s="2"/>
      <c r="D824" s="18"/>
      <c r="E824" s="2"/>
      <c r="F824" s="49"/>
      <c r="G824" s="49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2.75" customHeight="1">
      <c r="A825" s="2"/>
      <c r="B825" s="2"/>
      <c r="C825" s="2"/>
      <c r="D825" s="18"/>
      <c r="E825" s="2"/>
      <c r="F825" s="49"/>
      <c r="G825" s="49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2.75" customHeight="1">
      <c r="A826" s="2"/>
      <c r="B826" s="2"/>
      <c r="C826" s="2"/>
      <c r="D826" s="18"/>
      <c r="E826" s="2"/>
      <c r="F826" s="49"/>
      <c r="G826" s="49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2.75" customHeight="1">
      <c r="A827" s="2"/>
      <c r="B827" s="2"/>
      <c r="C827" s="2"/>
      <c r="D827" s="18"/>
      <c r="E827" s="2"/>
      <c r="F827" s="49"/>
      <c r="G827" s="49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2.75" customHeight="1">
      <c r="A828" s="2"/>
      <c r="B828" s="2"/>
      <c r="C828" s="2"/>
      <c r="D828" s="18"/>
      <c r="E828" s="2"/>
      <c r="F828" s="49"/>
      <c r="G828" s="49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2.75" customHeight="1">
      <c r="A829" s="2"/>
      <c r="B829" s="2"/>
      <c r="C829" s="2"/>
      <c r="D829" s="18"/>
      <c r="E829" s="2"/>
      <c r="F829" s="49"/>
      <c r="G829" s="49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2.75" customHeight="1">
      <c r="A830" s="2"/>
      <c r="B830" s="2"/>
      <c r="C830" s="2"/>
      <c r="D830" s="18"/>
      <c r="E830" s="2"/>
      <c r="F830" s="49"/>
      <c r="G830" s="49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2.75" customHeight="1">
      <c r="A831" s="2"/>
      <c r="B831" s="2"/>
      <c r="C831" s="2"/>
      <c r="D831" s="18"/>
      <c r="E831" s="2"/>
      <c r="F831" s="49"/>
      <c r="G831" s="49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2.75" customHeight="1">
      <c r="A832" s="2"/>
      <c r="B832" s="2"/>
      <c r="C832" s="2"/>
      <c r="D832" s="18"/>
      <c r="E832" s="2"/>
      <c r="F832" s="49"/>
      <c r="G832" s="49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2.75" customHeight="1">
      <c r="A833" s="2"/>
      <c r="B833" s="2"/>
      <c r="C833" s="2"/>
      <c r="D833" s="18"/>
      <c r="E833" s="2"/>
      <c r="F833" s="49"/>
      <c r="G833" s="49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2.75" customHeight="1">
      <c r="A834" s="2"/>
      <c r="B834" s="2"/>
      <c r="C834" s="2"/>
      <c r="D834" s="18"/>
      <c r="E834" s="2"/>
      <c r="F834" s="49"/>
      <c r="G834" s="49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2.75" customHeight="1">
      <c r="A835" s="2"/>
      <c r="B835" s="2"/>
      <c r="C835" s="2"/>
      <c r="D835" s="18"/>
      <c r="E835" s="2"/>
      <c r="F835" s="49"/>
      <c r="G835" s="49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2.75" customHeight="1">
      <c r="A836" s="2"/>
      <c r="B836" s="2"/>
      <c r="C836" s="2"/>
      <c r="D836" s="18"/>
      <c r="E836" s="2"/>
      <c r="F836" s="49"/>
      <c r="G836" s="49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2.75" customHeight="1">
      <c r="A837" s="2"/>
      <c r="B837" s="2"/>
      <c r="C837" s="2"/>
      <c r="D837" s="18"/>
      <c r="E837" s="2"/>
      <c r="F837" s="49"/>
      <c r="G837" s="49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2.75" customHeight="1">
      <c r="A838" s="2"/>
      <c r="B838" s="2"/>
      <c r="C838" s="2"/>
      <c r="D838" s="18"/>
      <c r="E838" s="2"/>
      <c r="F838" s="49"/>
      <c r="G838" s="49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2.75" customHeight="1">
      <c r="A839" s="2"/>
      <c r="B839" s="2"/>
      <c r="C839" s="2"/>
      <c r="D839" s="18"/>
      <c r="E839" s="2"/>
      <c r="F839" s="49"/>
      <c r="G839" s="49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2.75" customHeight="1">
      <c r="A840" s="2"/>
      <c r="B840" s="2"/>
      <c r="C840" s="2"/>
      <c r="D840" s="18"/>
      <c r="E840" s="2"/>
      <c r="F840" s="49"/>
      <c r="G840" s="49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2.75" customHeight="1">
      <c r="A841" s="2"/>
      <c r="B841" s="2"/>
      <c r="C841" s="2"/>
      <c r="D841" s="18"/>
      <c r="E841" s="2"/>
      <c r="F841" s="49"/>
      <c r="G841" s="49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2.75" customHeight="1">
      <c r="A842" s="2"/>
      <c r="B842" s="2"/>
      <c r="C842" s="2"/>
      <c r="D842" s="18"/>
      <c r="E842" s="2"/>
      <c r="F842" s="49"/>
      <c r="G842" s="49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2.75" customHeight="1">
      <c r="A843" s="2"/>
      <c r="B843" s="2"/>
      <c r="C843" s="2"/>
      <c r="D843" s="18"/>
      <c r="E843" s="2"/>
      <c r="F843" s="49"/>
      <c r="G843" s="49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2.75" customHeight="1">
      <c r="A844" s="2"/>
      <c r="B844" s="2"/>
      <c r="C844" s="2"/>
      <c r="D844" s="18"/>
      <c r="E844" s="2"/>
      <c r="F844" s="49"/>
      <c r="G844" s="49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2.75" customHeight="1">
      <c r="A845" s="2"/>
      <c r="B845" s="2"/>
      <c r="C845" s="2"/>
      <c r="D845" s="18"/>
      <c r="E845" s="2"/>
      <c r="F845" s="49"/>
      <c r="G845" s="49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2.75" customHeight="1">
      <c r="A846" s="2"/>
      <c r="B846" s="2"/>
      <c r="C846" s="2"/>
      <c r="D846" s="18"/>
      <c r="E846" s="2"/>
      <c r="F846" s="49"/>
      <c r="G846" s="49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2.75" customHeight="1">
      <c r="A847" s="2"/>
      <c r="B847" s="2"/>
      <c r="C847" s="2"/>
      <c r="D847" s="18"/>
      <c r="E847" s="2"/>
      <c r="F847" s="49"/>
      <c r="G847" s="49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2.75" customHeight="1">
      <c r="A848" s="2"/>
      <c r="B848" s="2"/>
      <c r="C848" s="2"/>
      <c r="D848" s="18"/>
      <c r="E848" s="2"/>
      <c r="F848" s="49"/>
      <c r="G848" s="49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2.75" customHeight="1">
      <c r="A849" s="2"/>
      <c r="B849" s="2"/>
      <c r="C849" s="2"/>
      <c r="D849" s="18"/>
      <c r="E849" s="2"/>
      <c r="F849" s="49"/>
      <c r="G849" s="49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2.75" customHeight="1">
      <c r="A850" s="2"/>
      <c r="B850" s="2"/>
      <c r="C850" s="2"/>
      <c r="D850" s="18"/>
      <c r="E850" s="2"/>
      <c r="F850" s="49"/>
      <c r="G850" s="49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2.75" customHeight="1">
      <c r="A851" s="2"/>
      <c r="B851" s="2"/>
      <c r="C851" s="2"/>
      <c r="D851" s="18"/>
      <c r="E851" s="2"/>
      <c r="F851" s="49"/>
      <c r="G851" s="49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2.75" customHeight="1">
      <c r="A852" s="2"/>
      <c r="B852" s="2"/>
      <c r="C852" s="2"/>
      <c r="D852" s="18"/>
      <c r="E852" s="2"/>
      <c r="F852" s="49"/>
      <c r="G852" s="49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2.75" customHeight="1">
      <c r="A853" s="2"/>
      <c r="B853" s="2"/>
      <c r="C853" s="2"/>
      <c r="D853" s="18"/>
      <c r="E853" s="2"/>
      <c r="F853" s="49"/>
      <c r="G853" s="49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2.75" customHeight="1">
      <c r="A854" s="2"/>
      <c r="B854" s="2"/>
      <c r="C854" s="2"/>
      <c r="D854" s="18"/>
      <c r="E854" s="2"/>
      <c r="F854" s="49"/>
      <c r="G854" s="49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2.75" customHeight="1">
      <c r="A855" s="2"/>
      <c r="B855" s="2"/>
      <c r="C855" s="2"/>
      <c r="D855" s="18"/>
      <c r="E855" s="2"/>
      <c r="F855" s="49"/>
      <c r="G855" s="49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2.75" customHeight="1">
      <c r="A856" s="2"/>
      <c r="B856" s="2"/>
      <c r="C856" s="2"/>
      <c r="D856" s="18"/>
      <c r="E856" s="2"/>
      <c r="F856" s="49"/>
      <c r="G856" s="49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2.75" customHeight="1">
      <c r="A857" s="2"/>
      <c r="B857" s="2"/>
      <c r="C857" s="2"/>
      <c r="D857" s="18"/>
      <c r="E857" s="2"/>
      <c r="F857" s="49"/>
      <c r="G857" s="49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2.75" customHeight="1">
      <c r="A858" s="2"/>
      <c r="B858" s="2"/>
      <c r="C858" s="2"/>
      <c r="D858" s="18"/>
      <c r="E858" s="2"/>
      <c r="F858" s="49"/>
      <c r="G858" s="49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2.75" customHeight="1">
      <c r="A859" s="2"/>
      <c r="B859" s="2"/>
      <c r="C859" s="2"/>
      <c r="D859" s="18"/>
      <c r="E859" s="2"/>
      <c r="F859" s="49"/>
      <c r="G859" s="49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2.75" customHeight="1">
      <c r="A860" s="2"/>
      <c r="B860" s="2"/>
      <c r="C860" s="2"/>
      <c r="D860" s="18"/>
      <c r="E860" s="2"/>
      <c r="F860" s="49"/>
      <c r="G860" s="49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2.75" customHeight="1">
      <c r="A861" s="2"/>
      <c r="B861" s="2"/>
      <c r="C861" s="2"/>
      <c r="D861" s="18"/>
      <c r="E861" s="2"/>
      <c r="F861" s="49"/>
      <c r="G861" s="49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2.75" customHeight="1">
      <c r="A862" s="2"/>
      <c r="B862" s="2"/>
      <c r="C862" s="2"/>
      <c r="D862" s="18"/>
      <c r="E862" s="2"/>
      <c r="F862" s="49"/>
      <c r="G862" s="49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2.75" customHeight="1">
      <c r="A863" s="2"/>
      <c r="B863" s="2"/>
      <c r="C863" s="2"/>
      <c r="D863" s="18"/>
      <c r="E863" s="2"/>
      <c r="F863" s="49"/>
      <c r="G863" s="49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2.75" customHeight="1">
      <c r="A864" s="2"/>
      <c r="B864" s="2"/>
      <c r="C864" s="2"/>
      <c r="D864" s="18"/>
      <c r="E864" s="2"/>
      <c r="F864" s="49"/>
      <c r="G864" s="49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2.75" customHeight="1">
      <c r="A865" s="2"/>
      <c r="B865" s="2"/>
      <c r="C865" s="2"/>
      <c r="D865" s="18"/>
      <c r="E865" s="2"/>
      <c r="F865" s="49"/>
      <c r="G865" s="49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2.75" customHeight="1">
      <c r="A866" s="2"/>
      <c r="B866" s="2"/>
      <c r="C866" s="2"/>
      <c r="D866" s="18"/>
      <c r="E866" s="2"/>
      <c r="F866" s="49"/>
      <c r="G866" s="49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2.75" customHeight="1">
      <c r="A867" s="2"/>
      <c r="B867" s="2"/>
      <c r="C867" s="2"/>
      <c r="D867" s="18"/>
      <c r="E867" s="2"/>
      <c r="F867" s="49"/>
      <c r="G867" s="49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2.75" customHeight="1">
      <c r="A868" s="2"/>
      <c r="B868" s="2"/>
      <c r="C868" s="2"/>
      <c r="D868" s="18"/>
      <c r="E868" s="2"/>
      <c r="F868" s="49"/>
      <c r="G868" s="49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2.75" customHeight="1">
      <c r="A869" s="2"/>
      <c r="B869" s="2"/>
      <c r="C869" s="2"/>
      <c r="D869" s="18"/>
      <c r="E869" s="2"/>
      <c r="F869" s="49"/>
      <c r="G869" s="49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2.75" customHeight="1">
      <c r="A870" s="2"/>
      <c r="B870" s="2"/>
      <c r="C870" s="2"/>
      <c r="D870" s="18"/>
      <c r="E870" s="2"/>
      <c r="F870" s="49"/>
      <c r="G870" s="49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2.75" customHeight="1">
      <c r="A871" s="2"/>
      <c r="B871" s="2"/>
      <c r="C871" s="2"/>
      <c r="D871" s="18"/>
      <c r="E871" s="2"/>
      <c r="F871" s="49"/>
      <c r="G871" s="49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2.75" customHeight="1">
      <c r="A872" s="2"/>
      <c r="B872" s="2"/>
      <c r="C872" s="2"/>
      <c r="D872" s="18"/>
      <c r="E872" s="2"/>
      <c r="F872" s="49"/>
      <c r="G872" s="49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2.75" customHeight="1">
      <c r="A873" s="2"/>
      <c r="B873" s="2"/>
      <c r="C873" s="2"/>
      <c r="D873" s="18"/>
      <c r="E873" s="2"/>
      <c r="F873" s="49"/>
      <c r="G873" s="49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2.75" customHeight="1">
      <c r="A874" s="2"/>
      <c r="B874" s="2"/>
      <c r="C874" s="2"/>
      <c r="D874" s="18"/>
      <c r="E874" s="2"/>
      <c r="F874" s="49"/>
      <c r="G874" s="49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2.75" customHeight="1">
      <c r="A875" s="2"/>
      <c r="B875" s="2"/>
      <c r="C875" s="2"/>
      <c r="D875" s="18"/>
      <c r="E875" s="2"/>
      <c r="F875" s="49"/>
      <c r="G875" s="49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2.75" customHeight="1">
      <c r="A876" s="2"/>
      <c r="B876" s="2"/>
      <c r="C876" s="2"/>
      <c r="D876" s="18"/>
      <c r="E876" s="2"/>
      <c r="F876" s="49"/>
      <c r="G876" s="49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2.75" customHeight="1">
      <c r="A877" s="2"/>
      <c r="B877" s="2"/>
      <c r="C877" s="2"/>
      <c r="D877" s="18"/>
      <c r="E877" s="2"/>
      <c r="F877" s="49"/>
      <c r="G877" s="49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2.75" customHeight="1">
      <c r="A878" s="2"/>
      <c r="B878" s="2"/>
      <c r="C878" s="2"/>
      <c r="D878" s="18"/>
      <c r="E878" s="2"/>
      <c r="F878" s="49"/>
      <c r="G878" s="49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2.75" customHeight="1">
      <c r="A879" s="2"/>
      <c r="B879" s="2"/>
      <c r="C879" s="2"/>
      <c r="D879" s="18"/>
      <c r="E879" s="2"/>
      <c r="F879" s="49"/>
      <c r="G879" s="49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2.75" customHeight="1">
      <c r="A880" s="2"/>
      <c r="B880" s="2"/>
      <c r="C880" s="2"/>
      <c r="D880" s="18"/>
      <c r="E880" s="2"/>
      <c r="F880" s="49"/>
      <c r="G880" s="49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2.75" customHeight="1">
      <c r="A881" s="2"/>
      <c r="B881" s="2"/>
      <c r="C881" s="2"/>
      <c r="D881" s="18"/>
      <c r="E881" s="2"/>
      <c r="F881" s="49"/>
      <c r="G881" s="49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2.75" customHeight="1">
      <c r="A882" s="2"/>
      <c r="B882" s="2"/>
      <c r="C882" s="2"/>
      <c r="D882" s="18"/>
      <c r="E882" s="2"/>
      <c r="F882" s="49"/>
      <c r="G882" s="49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2.75" customHeight="1">
      <c r="A883" s="2"/>
      <c r="B883" s="2"/>
      <c r="C883" s="2"/>
      <c r="D883" s="18"/>
      <c r="E883" s="2"/>
      <c r="F883" s="49"/>
      <c r="G883" s="49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2.75" customHeight="1">
      <c r="A884" s="2"/>
      <c r="B884" s="2"/>
      <c r="C884" s="2"/>
      <c r="D884" s="18"/>
      <c r="E884" s="2"/>
      <c r="F884" s="49"/>
      <c r="G884" s="49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2.75" customHeight="1">
      <c r="A885" s="2"/>
      <c r="B885" s="2"/>
      <c r="C885" s="2"/>
      <c r="D885" s="18"/>
      <c r="E885" s="2"/>
      <c r="F885" s="49"/>
      <c r="G885" s="49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2.75" customHeight="1">
      <c r="A886" s="2"/>
      <c r="B886" s="2"/>
      <c r="C886" s="2"/>
      <c r="D886" s="18"/>
      <c r="E886" s="2"/>
      <c r="F886" s="49"/>
      <c r="G886" s="49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2.75" customHeight="1">
      <c r="A887" s="2"/>
      <c r="B887" s="2"/>
      <c r="C887" s="2"/>
      <c r="D887" s="18"/>
      <c r="E887" s="2"/>
      <c r="F887" s="49"/>
      <c r="G887" s="49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2.75" customHeight="1">
      <c r="A888" s="2"/>
      <c r="B888" s="2"/>
      <c r="C888" s="2"/>
      <c r="D888" s="18"/>
      <c r="E888" s="2"/>
      <c r="F888" s="49"/>
      <c r="G888" s="49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2.75" customHeight="1">
      <c r="A889" s="2"/>
      <c r="B889" s="2"/>
      <c r="C889" s="2"/>
      <c r="D889" s="18"/>
      <c r="E889" s="2"/>
      <c r="F889" s="49"/>
      <c r="G889" s="49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2.75" customHeight="1">
      <c r="A890" s="2"/>
      <c r="B890" s="2"/>
      <c r="C890" s="2"/>
      <c r="D890" s="18"/>
      <c r="E890" s="2"/>
      <c r="F890" s="49"/>
      <c r="G890" s="49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2.75" customHeight="1">
      <c r="A891" s="2"/>
      <c r="B891" s="2"/>
      <c r="C891" s="2"/>
      <c r="D891" s="18"/>
      <c r="E891" s="2"/>
      <c r="F891" s="49"/>
      <c r="G891" s="49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2.75" customHeight="1">
      <c r="A892" s="2"/>
      <c r="B892" s="2"/>
      <c r="C892" s="2"/>
      <c r="D892" s="18"/>
      <c r="E892" s="2"/>
      <c r="F892" s="49"/>
      <c r="G892" s="49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2.75" customHeight="1">
      <c r="A893" s="2"/>
      <c r="B893" s="2"/>
      <c r="C893" s="2"/>
      <c r="D893" s="18"/>
      <c r="E893" s="2"/>
      <c r="F893" s="49"/>
      <c r="G893" s="49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2.75" customHeight="1">
      <c r="A894" s="2"/>
      <c r="B894" s="2"/>
      <c r="C894" s="2"/>
      <c r="D894" s="18"/>
      <c r="E894" s="2"/>
      <c r="F894" s="49"/>
      <c r="G894" s="49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2.75" customHeight="1">
      <c r="A895" s="2"/>
      <c r="B895" s="2"/>
      <c r="C895" s="2"/>
      <c r="D895" s="18"/>
      <c r="E895" s="2"/>
      <c r="F895" s="49"/>
      <c r="G895" s="49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2.75" customHeight="1">
      <c r="A896" s="2"/>
      <c r="B896" s="2"/>
      <c r="C896" s="2"/>
      <c r="D896" s="18"/>
      <c r="E896" s="2"/>
      <c r="F896" s="49"/>
      <c r="G896" s="49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2.75" customHeight="1">
      <c r="A897" s="2"/>
      <c r="B897" s="2"/>
      <c r="C897" s="2"/>
      <c r="D897" s="18"/>
      <c r="E897" s="2"/>
      <c r="F897" s="49"/>
      <c r="G897" s="49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2.75" customHeight="1">
      <c r="A898" s="2"/>
      <c r="B898" s="2"/>
      <c r="C898" s="2"/>
      <c r="D898" s="18"/>
      <c r="E898" s="2"/>
      <c r="F898" s="49"/>
      <c r="G898" s="49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2.75" customHeight="1">
      <c r="A899" s="2"/>
      <c r="B899" s="2"/>
      <c r="C899" s="2"/>
      <c r="D899" s="18"/>
      <c r="E899" s="2"/>
      <c r="F899" s="49"/>
      <c r="G899" s="49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2.75" customHeight="1">
      <c r="A900" s="2"/>
      <c r="B900" s="2"/>
      <c r="C900" s="2"/>
      <c r="D900" s="18"/>
      <c r="E900" s="2"/>
      <c r="F900" s="49"/>
      <c r="G900" s="49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2.75" customHeight="1">
      <c r="A901" s="2"/>
      <c r="B901" s="2"/>
      <c r="C901" s="2"/>
      <c r="D901" s="18"/>
      <c r="E901" s="2"/>
      <c r="F901" s="49"/>
      <c r="G901" s="49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2.75" customHeight="1">
      <c r="A902" s="2"/>
      <c r="B902" s="2"/>
      <c r="C902" s="2"/>
      <c r="D902" s="18"/>
      <c r="E902" s="2"/>
      <c r="F902" s="49"/>
      <c r="G902" s="49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2.75" customHeight="1">
      <c r="A903" s="2"/>
      <c r="B903" s="2"/>
      <c r="C903" s="2"/>
      <c r="D903" s="18"/>
      <c r="E903" s="2"/>
      <c r="F903" s="49"/>
      <c r="G903" s="49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2.75" customHeight="1">
      <c r="A904" s="2"/>
      <c r="B904" s="2"/>
      <c r="C904" s="2"/>
      <c r="D904" s="18"/>
      <c r="E904" s="2"/>
      <c r="F904" s="49"/>
      <c r="G904" s="49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2.75" customHeight="1">
      <c r="A905" s="2"/>
      <c r="B905" s="2"/>
      <c r="C905" s="2"/>
      <c r="D905" s="18"/>
      <c r="E905" s="2"/>
      <c r="F905" s="49"/>
      <c r="G905" s="49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2.75" customHeight="1">
      <c r="A906" s="2"/>
      <c r="B906" s="2"/>
      <c r="C906" s="2"/>
      <c r="D906" s="18"/>
      <c r="E906" s="2"/>
      <c r="F906" s="49"/>
      <c r="G906" s="49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2.75" customHeight="1">
      <c r="A907" s="2"/>
      <c r="B907" s="2"/>
      <c r="C907" s="2"/>
      <c r="D907" s="18"/>
      <c r="E907" s="2"/>
      <c r="F907" s="49"/>
      <c r="G907" s="49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2.75" customHeight="1">
      <c r="A908" s="2"/>
      <c r="B908" s="2"/>
      <c r="C908" s="2"/>
      <c r="D908" s="18"/>
      <c r="E908" s="2"/>
      <c r="F908" s="49"/>
      <c r="G908" s="49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2.75" customHeight="1">
      <c r="A909" s="2"/>
      <c r="B909" s="2"/>
      <c r="C909" s="2"/>
      <c r="D909" s="18"/>
      <c r="E909" s="2"/>
      <c r="F909" s="49"/>
      <c r="G909" s="49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2.75" customHeight="1">
      <c r="A910" s="2"/>
      <c r="B910" s="2"/>
      <c r="C910" s="2"/>
      <c r="D910" s="18"/>
      <c r="E910" s="2"/>
      <c r="F910" s="49"/>
      <c r="G910" s="49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2.75" customHeight="1">
      <c r="A911" s="2"/>
      <c r="B911" s="2"/>
      <c r="C911" s="2"/>
      <c r="D911" s="18"/>
      <c r="E911" s="2"/>
      <c r="F911" s="49"/>
      <c r="G911" s="49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2.75" customHeight="1">
      <c r="A912" s="2"/>
      <c r="B912" s="2"/>
      <c r="C912" s="2"/>
      <c r="D912" s="18"/>
      <c r="E912" s="2"/>
      <c r="F912" s="49"/>
      <c r="G912" s="49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2.75" customHeight="1">
      <c r="A913" s="2"/>
      <c r="B913" s="2"/>
      <c r="C913" s="2"/>
      <c r="D913" s="18"/>
      <c r="E913" s="2"/>
      <c r="F913" s="49"/>
      <c r="G913" s="49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2.75" customHeight="1">
      <c r="A914" s="2"/>
      <c r="B914" s="2"/>
      <c r="C914" s="2"/>
      <c r="D914" s="18"/>
      <c r="E914" s="2"/>
      <c r="F914" s="49"/>
      <c r="G914" s="49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2.75" customHeight="1">
      <c r="A915" s="2"/>
      <c r="B915" s="2"/>
      <c r="C915" s="2"/>
      <c r="D915" s="18"/>
      <c r="E915" s="2"/>
      <c r="F915" s="49"/>
      <c r="G915" s="49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2.75" customHeight="1">
      <c r="A916" s="2"/>
      <c r="B916" s="2"/>
      <c r="C916" s="2"/>
      <c r="D916" s="18"/>
      <c r="E916" s="2"/>
      <c r="F916" s="49"/>
      <c r="G916" s="49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2.75" customHeight="1">
      <c r="A917" s="2"/>
      <c r="B917" s="2"/>
      <c r="C917" s="2"/>
      <c r="D917" s="18"/>
      <c r="E917" s="2"/>
      <c r="F917" s="49"/>
      <c r="G917" s="49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2.75" customHeight="1">
      <c r="A918" s="2"/>
      <c r="B918" s="2"/>
      <c r="C918" s="2"/>
      <c r="D918" s="18"/>
      <c r="E918" s="2"/>
      <c r="F918" s="49"/>
      <c r="G918" s="49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2.75" customHeight="1">
      <c r="A919" s="2"/>
      <c r="B919" s="2"/>
      <c r="C919" s="2"/>
      <c r="D919" s="18"/>
      <c r="E919" s="2"/>
      <c r="F919" s="49"/>
      <c r="G919" s="49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2.75" customHeight="1">
      <c r="A920" s="2"/>
      <c r="B920" s="2"/>
      <c r="C920" s="2"/>
      <c r="D920" s="18"/>
      <c r="E920" s="2"/>
      <c r="F920" s="49"/>
      <c r="G920" s="49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2.75" customHeight="1">
      <c r="A921" s="2"/>
      <c r="B921" s="2"/>
      <c r="C921" s="2"/>
      <c r="D921" s="18"/>
      <c r="E921" s="2"/>
      <c r="F921" s="49"/>
      <c r="G921" s="49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2.75" customHeight="1">
      <c r="A922" s="2"/>
      <c r="B922" s="2"/>
      <c r="C922" s="2"/>
      <c r="D922" s="18"/>
      <c r="E922" s="2"/>
      <c r="F922" s="49"/>
      <c r="G922" s="49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2.75" customHeight="1">
      <c r="A923" s="2"/>
      <c r="B923" s="2"/>
      <c r="C923" s="2"/>
      <c r="D923" s="18"/>
      <c r="E923" s="2"/>
      <c r="F923" s="49"/>
      <c r="G923" s="49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2.75" customHeight="1">
      <c r="A924" s="2"/>
      <c r="B924" s="2"/>
      <c r="C924" s="2"/>
      <c r="D924" s="18"/>
      <c r="E924" s="2"/>
      <c r="F924" s="49"/>
      <c r="G924" s="49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2.75" customHeight="1">
      <c r="A925" s="2"/>
      <c r="B925" s="2"/>
      <c r="C925" s="2"/>
      <c r="D925" s="18"/>
      <c r="E925" s="2"/>
      <c r="F925" s="49"/>
      <c r="G925" s="49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2.75" customHeight="1">
      <c r="A926" s="2"/>
      <c r="B926" s="2"/>
      <c r="C926" s="2"/>
      <c r="D926" s="18"/>
      <c r="E926" s="2"/>
      <c r="F926" s="49"/>
      <c r="G926" s="49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2.75" customHeight="1">
      <c r="A927" s="2"/>
      <c r="B927" s="2"/>
      <c r="C927" s="2"/>
      <c r="D927" s="18"/>
      <c r="E927" s="2"/>
      <c r="F927" s="49"/>
      <c r="G927" s="49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2.75" customHeight="1">
      <c r="A928" s="2"/>
      <c r="B928" s="2"/>
      <c r="C928" s="2"/>
      <c r="D928" s="18"/>
      <c r="E928" s="2"/>
      <c r="F928" s="49"/>
      <c r="G928" s="49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2.75" customHeight="1">
      <c r="A929" s="2"/>
      <c r="B929" s="2"/>
      <c r="C929" s="2"/>
      <c r="D929" s="18"/>
      <c r="E929" s="2"/>
      <c r="F929" s="49"/>
      <c r="G929" s="49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2.75" customHeight="1">
      <c r="A930" s="2"/>
      <c r="B930" s="2"/>
      <c r="C930" s="2"/>
      <c r="D930" s="18"/>
      <c r="E930" s="2"/>
      <c r="F930" s="49"/>
      <c r="G930" s="49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2.75" customHeight="1">
      <c r="A931" s="2"/>
      <c r="B931" s="2"/>
      <c r="C931" s="2"/>
      <c r="D931" s="18"/>
      <c r="E931" s="2"/>
      <c r="F931" s="49"/>
      <c r="G931" s="49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2.75" customHeight="1">
      <c r="A932" s="2"/>
      <c r="B932" s="2"/>
      <c r="C932" s="2"/>
      <c r="D932" s="18"/>
      <c r="E932" s="2"/>
      <c r="F932" s="49"/>
      <c r="G932" s="49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2.75" customHeight="1">
      <c r="A933" s="2"/>
      <c r="B933" s="2"/>
      <c r="C933" s="2"/>
      <c r="D933" s="18"/>
      <c r="E933" s="2"/>
      <c r="F933" s="49"/>
      <c r="G933" s="49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2.75" customHeight="1">
      <c r="A934" s="2"/>
      <c r="B934" s="2"/>
      <c r="C934" s="2"/>
      <c r="D934" s="18"/>
      <c r="E934" s="2"/>
      <c r="F934" s="49"/>
      <c r="G934" s="49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2.75" customHeight="1">
      <c r="A935" s="2"/>
      <c r="B935" s="2"/>
      <c r="C935" s="2"/>
      <c r="D935" s="18"/>
      <c r="E935" s="2"/>
      <c r="F935" s="49"/>
      <c r="G935" s="49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2.75" customHeight="1">
      <c r="A936" s="2"/>
      <c r="B936" s="2"/>
      <c r="C936" s="2"/>
      <c r="D936" s="18"/>
      <c r="E936" s="2"/>
      <c r="F936" s="49"/>
      <c r="G936" s="49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2.75" customHeight="1">
      <c r="A937" s="2"/>
      <c r="B937" s="2"/>
      <c r="C937" s="2"/>
      <c r="D937" s="18"/>
      <c r="E937" s="2"/>
      <c r="F937" s="49"/>
      <c r="G937" s="49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2.75" customHeight="1">
      <c r="A938" s="2"/>
      <c r="B938" s="2"/>
      <c r="C938" s="2"/>
      <c r="D938" s="18"/>
      <c r="E938" s="2"/>
      <c r="F938" s="49"/>
      <c r="G938" s="49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2.75" customHeight="1">
      <c r="A939" s="2"/>
      <c r="B939" s="2"/>
      <c r="C939" s="2"/>
      <c r="D939" s="18"/>
      <c r="E939" s="2"/>
      <c r="F939" s="49"/>
      <c r="G939" s="49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2.75" customHeight="1">
      <c r="A940" s="2"/>
      <c r="B940" s="2"/>
      <c r="C940" s="2"/>
      <c r="D940" s="18"/>
      <c r="E940" s="2"/>
      <c r="F940" s="49"/>
      <c r="G940" s="49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2.75" customHeight="1">
      <c r="A941" s="2"/>
      <c r="B941" s="2"/>
      <c r="C941" s="2"/>
      <c r="D941" s="18"/>
      <c r="E941" s="2"/>
      <c r="F941" s="49"/>
      <c r="G941" s="49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2.75" customHeight="1">
      <c r="A942" s="2"/>
      <c r="B942" s="2"/>
      <c r="C942" s="2"/>
      <c r="D942" s="18"/>
      <c r="E942" s="2"/>
      <c r="F942" s="49"/>
      <c r="G942" s="49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2.75" customHeight="1">
      <c r="A943" s="2"/>
      <c r="B943" s="2"/>
      <c r="C943" s="2"/>
      <c r="D943" s="18"/>
      <c r="E943" s="2"/>
      <c r="F943" s="49"/>
      <c r="G943" s="49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2.75" customHeight="1">
      <c r="A944" s="2"/>
      <c r="B944" s="2"/>
      <c r="C944" s="2"/>
      <c r="D944" s="18"/>
      <c r="E944" s="2"/>
      <c r="F944" s="49"/>
      <c r="G944" s="49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2.75" customHeight="1">
      <c r="A945" s="2"/>
      <c r="B945" s="2"/>
      <c r="C945" s="2"/>
      <c r="D945" s="18"/>
      <c r="E945" s="2"/>
      <c r="F945" s="49"/>
      <c r="G945" s="49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2.75" customHeight="1">
      <c r="A946" s="2"/>
      <c r="B946" s="2"/>
      <c r="C946" s="2"/>
      <c r="D946" s="18"/>
      <c r="E946" s="2"/>
      <c r="F946" s="49"/>
      <c r="G946" s="49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2.75" customHeight="1">
      <c r="A947" s="2"/>
      <c r="B947" s="2"/>
      <c r="C947" s="2"/>
      <c r="D947" s="18"/>
      <c r="E947" s="2"/>
      <c r="F947" s="49"/>
      <c r="G947" s="49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2.75" customHeight="1">
      <c r="A948" s="2"/>
      <c r="B948" s="2"/>
      <c r="C948" s="2"/>
      <c r="D948" s="18"/>
      <c r="E948" s="2"/>
      <c r="F948" s="49"/>
      <c r="G948" s="49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2.75" customHeight="1">
      <c r="A949" s="2"/>
      <c r="B949" s="2"/>
      <c r="C949" s="2"/>
      <c r="D949" s="18"/>
      <c r="E949" s="2"/>
      <c r="F949" s="49"/>
      <c r="G949" s="49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2.75" customHeight="1">
      <c r="A950" s="2"/>
      <c r="B950" s="2"/>
      <c r="C950" s="2"/>
      <c r="D950" s="18"/>
      <c r="E950" s="2"/>
      <c r="F950" s="49"/>
      <c r="G950" s="49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2.75" customHeight="1">
      <c r="A951" s="2"/>
      <c r="B951" s="2"/>
      <c r="C951" s="2"/>
      <c r="D951" s="18"/>
      <c r="E951" s="2"/>
      <c r="F951" s="49"/>
      <c r="G951" s="49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2.75" customHeight="1">
      <c r="A952" s="2"/>
      <c r="B952" s="2"/>
      <c r="C952" s="2"/>
      <c r="D952" s="18"/>
      <c r="E952" s="2"/>
      <c r="F952" s="49"/>
      <c r="G952" s="49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2.75" customHeight="1">
      <c r="A953" s="2"/>
      <c r="B953" s="2"/>
      <c r="C953" s="2"/>
      <c r="D953" s="18"/>
      <c r="E953" s="2"/>
      <c r="F953" s="49"/>
      <c r="G953" s="49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2.75" customHeight="1">
      <c r="A954" s="2"/>
      <c r="B954" s="2"/>
      <c r="C954" s="2"/>
      <c r="D954" s="18"/>
      <c r="E954" s="2"/>
      <c r="F954" s="49"/>
      <c r="G954" s="49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2.75" customHeight="1">
      <c r="A955" s="2"/>
      <c r="B955" s="2"/>
      <c r="C955" s="2"/>
      <c r="D955" s="18"/>
      <c r="E955" s="2"/>
      <c r="F955" s="49"/>
      <c r="G955" s="49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2.75" customHeight="1">
      <c r="A956" s="2"/>
      <c r="B956" s="2"/>
      <c r="C956" s="2"/>
      <c r="D956" s="18"/>
      <c r="E956" s="2"/>
      <c r="F956" s="49"/>
      <c r="G956" s="49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2.75" customHeight="1">
      <c r="A957" s="2"/>
      <c r="B957" s="2"/>
      <c r="C957" s="2"/>
      <c r="D957" s="18"/>
      <c r="E957" s="2"/>
      <c r="F957" s="49"/>
      <c r="G957" s="49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2.75" customHeight="1">
      <c r="A958" s="2"/>
      <c r="B958" s="2"/>
      <c r="C958" s="2"/>
      <c r="D958" s="18"/>
      <c r="E958" s="2"/>
      <c r="F958" s="49"/>
      <c r="G958" s="49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2.75" customHeight="1">
      <c r="A959" s="2"/>
      <c r="B959" s="2"/>
      <c r="C959" s="2"/>
      <c r="D959" s="18"/>
      <c r="E959" s="2"/>
      <c r="F959" s="49"/>
      <c r="G959" s="49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2.75" customHeight="1">
      <c r="A960" s="2"/>
      <c r="B960" s="2"/>
      <c r="C960" s="2"/>
      <c r="D960" s="18"/>
      <c r="E960" s="2"/>
      <c r="F960" s="49"/>
      <c r="G960" s="49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2.75" customHeight="1">
      <c r="A961" s="2"/>
      <c r="B961" s="2"/>
      <c r="C961" s="2"/>
      <c r="D961" s="18"/>
      <c r="E961" s="2"/>
      <c r="F961" s="49"/>
      <c r="G961" s="49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2.75" customHeight="1">
      <c r="A962" s="2"/>
      <c r="B962" s="2"/>
      <c r="C962" s="2"/>
      <c r="D962" s="18"/>
      <c r="E962" s="2"/>
      <c r="F962" s="49"/>
      <c r="G962" s="49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2.75" customHeight="1">
      <c r="A963" s="2"/>
      <c r="B963" s="2"/>
      <c r="C963" s="2"/>
      <c r="D963" s="18"/>
      <c r="E963" s="2"/>
      <c r="F963" s="49"/>
      <c r="G963" s="49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2.75" customHeight="1">
      <c r="A964" s="2"/>
      <c r="B964" s="2"/>
      <c r="C964" s="2"/>
      <c r="D964" s="18"/>
      <c r="E964" s="2"/>
      <c r="F964" s="49"/>
      <c r="G964" s="49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2.75" customHeight="1">
      <c r="A965" s="2"/>
      <c r="B965" s="2"/>
      <c r="C965" s="2"/>
      <c r="D965" s="18"/>
      <c r="E965" s="2"/>
      <c r="F965" s="49"/>
      <c r="G965" s="49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2.75" customHeight="1">
      <c r="A966" s="2"/>
      <c r="B966" s="2"/>
      <c r="C966" s="2"/>
      <c r="D966" s="18"/>
      <c r="E966" s="2"/>
      <c r="F966" s="49"/>
      <c r="G966" s="49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2.75" customHeight="1">
      <c r="A967" s="2"/>
      <c r="B967" s="2"/>
      <c r="C967" s="2"/>
      <c r="D967" s="18"/>
      <c r="E967" s="2"/>
      <c r="F967" s="49"/>
      <c r="G967" s="49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2.75" customHeight="1">
      <c r="A968" s="2"/>
      <c r="B968" s="2"/>
      <c r="C968" s="2"/>
      <c r="D968" s="18"/>
      <c r="E968" s="2"/>
      <c r="F968" s="49"/>
      <c r="G968" s="49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2.75" customHeight="1">
      <c r="A969" s="2"/>
      <c r="B969" s="2"/>
      <c r="C969" s="2"/>
      <c r="D969" s="18"/>
      <c r="E969" s="2"/>
      <c r="F969" s="49"/>
      <c r="G969" s="49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2.75" customHeight="1">
      <c r="A970" s="2"/>
      <c r="B970" s="2"/>
      <c r="C970" s="2"/>
      <c r="D970" s="18"/>
      <c r="E970" s="2"/>
      <c r="F970" s="49"/>
      <c r="G970" s="49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2.75" customHeight="1">
      <c r="A971" s="2"/>
      <c r="B971" s="2"/>
      <c r="C971" s="2"/>
      <c r="D971" s="18"/>
      <c r="E971" s="2"/>
      <c r="F971" s="49"/>
      <c r="G971" s="49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2.75" customHeight="1">
      <c r="A972" s="2"/>
      <c r="B972" s="2"/>
      <c r="C972" s="2"/>
      <c r="D972" s="18"/>
      <c r="E972" s="2"/>
      <c r="F972" s="49"/>
      <c r="G972" s="49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2.75" customHeight="1">
      <c r="A973" s="2"/>
      <c r="B973" s="2"/>
      <c r="C973" s="2"/>
      <c r="D973" s="18"/>
      <c r="E973" s="2"/>
      <c r="F973" s="49"/>
      <c r="G973" s="49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2.75" customHeight="1">
      <c r="A974" s="2"/>
      <c r="B974" s="2"/>
      <c r="C974" s="2"/>
      <c r="D974" s="18"/>
      <c r="E974" s="2"/>
      <c r="F974" s="49"/>
      <c r="G974" s="49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2.75" customHeight="1">
      <c r="A975" s="2"/>
      <c r="B975" s="2"/>
      <c r="C975" s="2"/>
      <c r="D975" s="18"/>
      <c r="E975" s="2"/>
      <c r="F975" s="49"/>
      <c r="G975" s="49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2.75" customHeight="1">
      <c r="A976" s="2"/>
      <c r="B976" s="2"/>
      <c r="C976" s="2"/>
      <c r="D976" s="18"/>
      <c r="E976" s="2"/>
      <c r="F976" s="49"/>
      <c r="G976" s="49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2.75" customHeight="1">
      <c r="A977" s="2"/>
      <c r="B977" s="2"/>
      <c r="C977" s="2"/>
      <c r="D977" s="18"/>
      <c r="E977" s="2"/>
      <c r="F977" s="49"/>
      <c r="G977" s="49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2.75" customHeight="1">
      <c r="A978" s="2"/>
      <c r="B978" s="2"/>
      <c r="C978" s="2"/>
      <c r="D978" s="18"/>
      <c r="E978" s="2"/>
      <c r="F978" s="49"/>
      <c r="G978" s="49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2.75" customHeight="1">
      <c r="A979" s="2"/>
      <c r="B979" s="2"/>
      <c r="C979" s="2"/>
      <c r="D979" s="18"/>
      <c r="E979" s="2"/>
      <c r="F979" s="49"/>
      <c r="G979" s="49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2.75" customHeight="1">
      <c r="A980" s="2"/>
      <c r="B980" s="2"/>
      <c r="C980" s="2"/>
      <c r="D980" s="18"/>
      <c r="E980" s="2"/>
      <c r="F980" s="49"/>
      <c r="G980" s="49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2.75" customHeight="1">
      <c r="A981" s="2"/>
      <c r="B981" s="2"/>
      <c r="C981" s="2"/>
      <c r="D981" s="18"/>
      <c r="E981" s="2"/>
      <c r="F981" s="49"/>
      <c r="G981" s="49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2.75" customHeight="1">
      <c r="A982" s="2"/>
      <c r="B982" s="2"/>
      <c r="C982" s="2"/>
      <c r="D982" s="18"/>
      <c r="E982" s="2"/>
      <c r="F982" s="49"/>
      <c r="G982" s="49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2.75" customHeight="1">
      <c r="A983" s="2"/>
      <c r="B983" s="2"/>
      <c r="C983" s="2"/>
      <c r="D983" s="18"/>
      <c r="E983" s="2"/>
      <c r="F983" s="49"/>
      <c r="G983" s="49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2.75" customHeight="1">
      <c r="A984" s="2"/>
      <c r="B984" s="2"/>
      <c r="C984" s="2"/>
      <c r="D984" s="18"/>
      <c r="E984" s="2"/>
      <c r="F984" s="49"/>
      <c r="G984" s="49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2.75" customHeight="1">
      <c r="A985" s="2"/>
      <c r="B985" s="2"/>
      <c r="C985" s="2"/>
      <c r="D985" s="18"/>
      <c r="E985" s="2"/>
      <c r="F985" s="49"/>
      <c r="G985" s="49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2.75" customHeight="1">
      <c r="A986" s="2"/>
      <c r="B986" s="2"/>
      <c r="C986" s="2"/>
      <c r="D986" s="18"/>
      <c r="E986" s="2"/>
      <c r="F986" s="49"/>
      <c r="G986" s="49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2.75" customHeight="1">
      <c r="A987" s="2"/>
      <c r="B987" s="2"/>
      <c r="C987" s="2"/>
      <c r="D987" s="18"/>
      <c r="E987" s="2"/>
      <c r="F987" s="49"/>
      <c r="G987" s="49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2.75" customHeight="1">
      <c r="A988" s="2"/>
      <c r="B988" s="2"/>
      <c r="C988" s="2"/>
      <c r="D988" s="18"/>
      <c r="E988" s="2"/>
      <c r="F988" s="49"/>
      <c r="G988" s="49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2.75" customHeight="1">
      <c r="A989" s="2"/>
      <c r="B989" s="2"/>
      <c r="C989" s="2"/>
      <c r="D989" s="18"/>
      <c r="E989" s="2"/>
      <c r="F989" s="49"/>
      <c r="G989" s="49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2.75" customHeight="1">
      <c r="A990" s="2"/>
      <c r="B990" s="2"/>
      <c r="C990" s="2"/>
      <c r="D990" s="18"/>
      <c r="E990" s="2"/>
      <c r="F990" s="49"/>
      <c r="G990" s="49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2.75" customHeight="1">
      <c r="A991" s="2"/>
      <c r="B991" s="2"/>
      <c r="C991" s="2"/>
      <c r="D991" s="18"/>
      <c r="E991" s="2"/>
      <c r="F991" s="49"/>
      <c r="G991" s="49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2.75" customHeight="1">
      <c r="A992" s="2"/>
      <c r="B992" s="2"/>
      <c r="C992" s="2"/>
      <c r="D992" s="18"/>
      <c r="E992" s="2"/>
      <c r="F992" s="49"/>
      <c r="G992" s="49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2.75" customHeight="1">
      <c r="A993" s="2"/>
      <c r="B993" s="2"/>
      <c r="C993" s="2"/>
      <c r="D993" s="18"/>
      <c r="E993" s="2"/>
      <c r="F993" s="49"/>
      <c r="G993" s="49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2.75" customHeight="1">
      <c r="A994" s="2"/>
      <c r="B994" s="2"/>
      <c r="C994" s="2"/>
      <c r="D994" s="18"/>
      <c r="E994" s="2"/>
      <c r="F994" s="49"/>
      <c r="G994" s="49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2.75" customHeight="1">
      <c r="A995" s="2"/>
      <c r="B995" s="2"/>
      <c r="C995" s="2"/>
      <c r="D995" s="18"/>
      <c r="E995" s="2"/>
      <c r="F995" s="49"/>
      <c r="G995" s="49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2.75" customHeight="1">
      <c r="A996" s="2"/>
      <c r="B996" s="2"/>
      <c r="C996" s="2"/>
      <c r="D996" s="18"/>
      <c r="E996" s="2"/>
      <c r="F996" s="49"/>
      <c r="G996" s="49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2.75" customHeight="1">
      <c r="A997" s="2"/>
      <c r="B997" s="2"/>
      <c r="C997" s="2"/>
      <c r="D997" s="18"/>
      <c r="E997" s="2"/>
      <c r="F997" s="49"/>
      <c r="G997" s="49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2.75" customHeight="1">
      <c r="A998" s="2"/>
      <c r="B998" s="2"/>
      <c r="C998" s="2"/>
      <c r="D998" s="18"/>
      <c r="E998" s="2"/>
      <c r="F998" s="49"/>
      <c r="G998" s="49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2.75" customHeight="1">
      <c r="A999" s="2"/>
      <c r="B999" s="2"/>
      <c r="C999" s="2"/>
      <c r="D999" s="18"/>
      <c r="E999" s="2"/>
      <c r="F999" s="49"/>
      <c r="G999" s="49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2.75" customHeight="1">
      <c r="A1000" s="2"/>
      <c r="B1000" s="2"/>
      <c r="C1000" s="2"/>
      <c r="D1000" s="18"/>
      <c r="E1000" s="2"/>
      <c r="F1000" s="49"/>
      <c r="G1000" s="49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2.75" customHeight="1">
      <c r="A1001" s="2"/>
      <c r="B1001" s="2"/>
      <c r="C1001" s="2"/>
      <c r="D1001" s="18"/>
      <c r="E1001" s="2"/>
      <c r="F1001" s="49"/>
      <c r="G1001" s="49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12.75" customHeight="1">
      <c r="A1002" s="2"/>
      <c r="B1002" s="2"/>
      <c r="C1002" s="2"/>
      <c r="D1002" s="18"/>
      <c r="E1002" s="2"/>
      <c r="F1002" s="49"/>
      <c r="G1002" s="49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12.75" customHeight="1">
      <c r="A1003" s="2"/>
      <c r="B1003" s="2"/>
      <c r="C1003" s="2"/>
      <c r="D1003" s="18"/>
      <c r="E1003" s="2"/>
      <c r="F1003" s="49"/>
      <c r="G1003" s="49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12.75" customHeight="1">
      <c r="A1004" s="2"/>
      <c r="B1004" s="2"/>
      <c r="C1004" s="2"/>
      <c r="D1004" s="18"/>
      <c r="E1004" s="2"/>
      <c r="F1004" s="49"/>
      <c r="G1004" s="49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12.75" customHeight="1">
      <c r="A1005" s="2"/>
      <c r="B1005" s="2"/>
      <c r="C1005" s="2"/>
      <c r="D1005" s="18"/>
      <c r="E1005" s="2"/>
      <c r="F1005" s="49"/>
      <c r="G1005" s="49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12.75" customHeight="1">
      <c r="A1006" s="2"/>
      <c r="B1006" s="2"/>
      <c r="C1006" s="2"/>
      <c r="D1006" s="18"/>
      <c r="E1006" s="2"/>
      <c r="F1006" s="49"/>
      <c r="G1006" s="49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12.75" customHeight="1">
      <c r="A1007" s="2"/>
      <c r="B1007" s="2"/>
      <c r="C1007" s="2"/>
      <c r="D1007" s="18"/>
      <c r="E1007" s="2"/>
      <c r="F1007" s="49"/>
      <c r="G1007" s="49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12.75" customHeight="1">
      <c r="A1008" s="2"/>
      <c r="B1008" s="2"/>
      <c r="C1008" s="2"/>
      <c r="D1008" s="18"/>
      <c r="E1008" s="2"/>
      <c r="F1008" s="49"/>
      <c r="G1008" s="49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12.75" customHeight="1">
      <c r="A1009" s="2"/>
      <c r="B1009" s="2"/>
      <c r="C1009" s="2"/>
      <c r="D1009" s="18"/>
      <c r="E1009" s="2"/>
      <c r="F1009" s="49"/>
      <c r="G1009" s="49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12.75" customHeight="1">
      <c r="A1010" s="2"/>
      <c r="B1010" s="2"/>
      <c r="C1010" s="2"/>
      <c r="D1010" s="18"/>
      <c r="E1010" s="2"/>
      <c r="F1010" s="49"/>
      <c r="G1010" s="49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12.75" customHeight="1">
      <c r="A1011" s="2"/>
      <c r="B1011" s="2"/>
      <c r="C1011" s="2"/>
      <c r="D1011" s="18"/>
      <c r="E1011" s="2"/>
      <c r="F1011" s="49"/>
      <c r="G1011" s="49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12.75" customHeight="1">
      <c r="A1012" s="2"/>
      <c r="B1012" s="2"/>
      <c r="C1012" s="2"/>
      <c r="D1012" s="18"/>
      <c r="E1012" s="2"/>
      <c r="F1012" s="49"/>
      <c r="G1012" s="49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12.75" customHeight="1">
      <c r="A1013" s="2"/>
      <c r="B1013" s="2"/>
      <c r="C1013" s="2"/>
      <c r="D1013" s="18"/>
      <c r="E1013" s="2"/>
      <c r="F1013" s="49"/>
      <c r="G1013" s="49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12.75" customHeight="1">
      <c r="A1014" s="2"/>
      <c r="B1014" s="2"/>
      <c r="C1014" s="2"/>
      <c r="D1014" s="18"/>
      <c r="E1014" s="2"/>
      <c r="F1014" s="49"/>
      <c r="G1014" s="49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12.75" customHeight="1">
      <c r="A1015" s="2"/>
      <c r="B1015" s="2"/>
      <c r="C1015" s="2"/>
      <c r="D1015" s="18"/>
      <c r="E1015" s="2"/>
      <c r="F1015" s="49"/>
      <c r="G1015" s="49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12.75" customHeight="1">
      <c r="A1016" s="2"/>
      <c r="B1016" s="2"/>
      <c r="C1016" s="2"/>
      <c r="D1016" s="18"/>
      <c r="E1016" s="2"/>
      <c r="F1016" s="49"/>
      <c r="G1016" s="49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12.75" customHeight="1">
      <c r="A1017" s="2"/>
      <c r="B1017" s="2"/>
      <c r="C1017" s="2"/>
      <c r="D1017" s="18"/>
      <c r="E1017" s="2"/>
      <c r="F1017" s="49"/>
      <c r="G1017" s="49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12.75" customHeight="1">
      <c r="A1018" s="2"/>
      <c r="B1018" s="2"/>
      <c r="C1018" s="2"/>
      <c r="D1018" s="18"/>
      <c r="E1018" s="2"/>
      <c r="F1018" s="49"/>
      <c r="G1018" s="49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12.75" customHeight="1">
      <c r="A1019" s="2"/>
      <c r="B1019" s="2"/>
      <c r="C1019" s="2"/>
      <c r="D1019" s="18"/>
      <c r="E1019" s="2"/>
      <c r="F1019" s="49"/>
      <c r="G1019" s="49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12.75" customHeight="1">
      <c r="A1020" s="2"/>
      <c r="B1020" s="2"/>
      <c r="C1020" s="2"/>
      <c r="D1020" s="18"/>
      <c r="E1020" s="2"/>
      <c r="F1020" s="49"/>
      <c r="G1020" s="49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12.75" customHeight="1">
      <c r="A1021" s="2"/>
      <c r="B1021" s="2"/>
      <c r="C1021" s="2"/>
      <c r="D1021" s="18"/>
      <c r="E1021" s="2"/>
      <c r="F1021" s="49"/>
      <c r="G1021" s="49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12.75" customHeight="1">
      <c r="A1022" s="2"/>
      <c r="B1022" s="2"/>
      <c r="C1022" s="2"/>
      <c r="D1022" s="18"/>
      <c r="E1022" s="2"/>
      <c r="F1022" s="49"/>
      <c r="G1022" s="49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12.75" customHeight="1">
      <c r="A1023" s="2"/>
      <c r="B1023" s="2"/>
      <c r="C1023" s="2"/>
      <c r="D1023" s="18"/>
      <c r="E1023" s="2"/>
      <c r="F1023" s="49"/>
      <c r="G1023" s="49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12.75" customHeight="1">
      <c r="A1024" s="2"/>
      <c r="B1024" s="2"/>
      <c r="C1024" s="2"/>
      <c r="D1024" s="18"/>
      <c r="E1024" s="2"/>
      <c r="F1024" s="49"/>
      <c r="G1024" s="49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12.75" customHeight="1">
      <c r="A1025" s="2"/>
      <c r="B1025" s="2"/>
      <c r="C1025" s="2"/>
      <c r="D1025" s="18"/>
      <c r="E1025" s="2"/>
      <c r="F1025" s="49"/>
      <c r="G1025" s="49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12.75" customHeight="1">
      <c r="A1026" s="2"/>
      <c r="B1026" s="2"/>
      <c r="C1026" s="2"/>
      <c r="D1026" s="18"/>
      <c r="E1026" s="2"/>
      <c r="F1026" s="49"/>
      <c r="G1026" s="49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12.75" customHeight="1">
      <c r="A1027" s="2"/>
      <c r="B1027" s="2"/>
      <c r="C1027" s="2"/>
      <c r="D1027" s="18"/>
      <c r="E1027" s="2"/>
      <c r="F1027" s="49"/>
      <c r="G1027" s="49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12.75" customHeight="1">
      <c r="A1028" s="2"/>
      <c r="B1028" s="2"/>
      <c r="C1028" s="2"/>
      <c r="D1028" s="18"/>
      <c r="E1028" s="2"/>
      <c r="F1028" s="49"/>
      <c r="G1028" s="49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12.75" customHeight="1">
      <c r="A1029" s="2"/>
      <c r="B1029" s="2"/>
      <c r="C1029" s="2"/>
      <c r="D1029" s="18"/>
      <c r="E1029" s="2"/>
      <c r="F1029" s="49"/>
      <c r="G1029" s="49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12.75" customHeight="1">
      <c r="A1030" s="2"/>
      <c r="B1030" s="2"/>
      <c r="C1030" s="2"/>
      <c r="D1030" s="18"/>
      <c r="E1030" s="2"/>
      <c r="F1030" s="49"/>
      <c r="G1030" s="49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12.75" customHeight="1">
      <c r="A1031" s="2"/>
      <c r="B1031" s="2"/>
      <c r="C1031" s="2"/>
      <c r="D1031" s="18"/>
      <c r="E1031" s="2"/>
      <c r="F1031" s="49"/>
      <c r="G1031" s="49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12.75" customHeight="1">
      <c r="A1032" s="2"/>
      <c r="B1032" s="2"/>
      <c r="C1032" s="2"/>
      <c r="D1032" s="18"/>
      <c r="E1032" s="2"/>
      <c r="F1032" s="49"/>
      <c r="G1032" s="49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</sheetData>
  <mergeCells count="31">
    <mergeCell ref="A26:A38"/>
    <mergeCell ref="H235:L247"/>
    <mergeCell ref="H91:L103"/>
    <mergeCell ref="A91:A103"/>
    <mergeCell ref="H10:L22"/>
    <mergeCell ref="A43:A55"/>
    <mergeCell ref="H137:L149"/>
    <mergeCell ref="A10:A22"/>
    <mergeCell ref="H26:L38"/>
    <mergeCell ref="H43:L55"/>
    <mergeCell ref="H59:L71"/>
    <mergeCell ref="A170:A182"/>
    <mergeCell ref="A186:A198"/>
    <mergeCell ref="A59:A71"/>
    <mergeCell ref="A202:B202"/>
    <mergeCell ref="A107:A119"/>
    <mergeCell ref="A235:A247"/>
    <mergeCell ref="H107:L119"/>
    <mergeCell ref="H154:L166"/>
    <mergeCell ref="A203:A215"/>
    <mergeCell ref="A154:A166"/>
    <mergeCell ref="A219:A231"/>
    <mergeCell ref="A123:A135"/>
    <mergeCell ref="H219:L231"/>
    <mergeCell ref="H203:L215"/>
    <mergeCell ref="A137:A149"/>
    <mergeCell ref="H75:L87"/>
    <mergeCell ref="H186:L198"/>
    <mergeCell ref="A75:A87"/>
    <mergeCell ref="A153:B153"/>
    <mergeCell ref="H170:L182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26"/>
  <sheetViews>
    <sheetView workbookViewId="0">
      <selection activeCell="AI4" sqref="AI4:AJ4"/>
    </sheetView>
  </sheetViews>
  <sheetFormatPr defaultColWidth="14.453125" defaultRowHeight="12.5"/>
  <cols>
    <col min="1" max="1" width="5" style="253" customWidth="1"/>
    <col min="2" max="3" width="44" style="253" customWidth="1"/>
    <col min="4" max="4" width="0.1796875" style="253" hidden="1" customWidth="1"/>
    <col min="5" max="5" width="9.6328125" style="253" hidden="1" customWidth="1"/>
    <col min="6" max="6" width="9.453125" style="253" hidden="1" customWidth="1"/>
    <col min="7" max="7" width="10.1796875" style="253" hidden="1" customWidth="1"/>
    <col min="8" max="8" width="9" style="253" hidden="1" customWidth="1"/>
    <col min="9" max="9" width="8.81640625" style="253" hidden="1" customWidth="1"/>
    <col min="10" max="10" width="9.36328125" style="253" hidden="1" customWidth="1"/>
    <col min="11" max="11" width="10" style="253" hidden="1" customWidth="1"/>
    <col min="12" max="12" width="8.81640625" style="253" hidden="1" customWidth="1"/>
    <col min="13" max="14" width="10.36328125" style="253" hidden="1" customWidth="1"/>
    <col min="15" max="15" width="9.6328125" style="253" hidden="1" customWidth="1"/>
    <col min="16" max="16" width="10.453125" style="253" hidden="1" customWidth="1"/>
    <col min="17" max="17" width="10.36328125" style="253" hidden="1" customWidth="1"/>
    <col min="18" max="18" width="9.36328125" style="253" hidden="1" customWidth="1"/>
    <col min="19" max="19" width="9.6328125" style="253" hidden="1" customWidth="1"/>
    <col min="20" max="20" width="10.1796875" style="253" hidden="1" customWidth="1"/>
    <col min="21" max="21" width="9.6328125" style="253" hidden="1" customWidth="1"/>
    <col min="22" max="22" width="0.1796875" style="253" customWidth="1"/>
    <col min="23" max="23" width="0.1796875" style="253" hidden="1" customWidth="1"/>
    <col min="24" max="24" width="15.453125" style="253" hidden="1" customWidth="1"/>
    <col min="25" max="25" width="10.81640625" style="253" hidden="1" customWidth="1"/>
    <col min="26" max="26" width="13.6328125" style="253" hidden="1" customWidth="1"/>
    <col min="27" max="27" width="0.1796875" style="253" hidden="1" customWidth="1"/>
    <col min="28" max="28" width="10.453125" style="253" hidden="1" customWidth="1"/>
    <col min="29" max="29" width="11.36328125" style="253" hidden="1" customWidth="1"/>
    <col min="30" max="30" width="11.6328125" style="253" hidden="1" customWidth="1"/>
    <col min="31" max="31" width="11.1796875" style="253" hidden="1" customWidth="1"/>
    <col min="32" max="32" width="11.36328125" style="253" hidden="1" customWidth="1"/>
    <col min="33" max="33" width="10.81640625" style="253" hidden="1" customWidth="1"/>
    <col min="34" max="35" width="19.1796875" style="209" customWidth="1"/>
    <col min="36" max="45" width="9.1796875" style="253" customWidth="1"/>
    <col min="46" max="49" width="14.453125" style="253" customWidth="1"/>
    <col min="50" max="16384" width="14.453125" style="253"/>
  </cols>
  <sheetData>
    <row r="1" spans="1:53" ht="14.25" customHeight="1" thickBo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</row>
    <row r="2" spans="1:53" ht="33" customHeight="1">
      <c r="A2" s="273" t="s">
        <v>57</v>
      </c>
      <c r="B2" s="275" t="s">
        <v>58</v>
      </c>
      <c r="C2" s="271" t="s">
        <v>59</v>
      </c>
      <c r="D2" s="240">
        <v>42613</v>
      </c>
      <c r="E2" s="240">
        <v>42643</v>
      </c>
      <c r="F2" s="240">
        <v>42674</v>
      </c>
      <c r="G2" s="240">
        <v>42704</v>
      </c>
      <c r="H2" s="240">
        <v>42734</v>
      </c>
      <c r="I2" s="240">
        <v>42766</v>
      </c>
      <c r="J2" s="240">
        <v>42794</v>
      </c>
      <c r="K2" s="240">
        <v>42825</v>
      </c>
      <c r="L2" s="240">
        <v>42855</v>
      </c>
      <c r="M2" s="240">
        <v>42886</v>
      </c>
      <c r="N2" s="240">
        <v>42916</v>
      </c>
      <c r="O2" s="240">
        <v>42947</v>
      </c>
      <c r="P2" s="240">
        <v>42978</v>
      </c>
      <c r="Q2" s="240">
        <v>43011</v>
      </c>
      <c r="R2" s="240">
        <v>43039</v>
      </c>
      <c r="S2" s="240">
        <v>43069</v>
      </c>
      <c r="T2" s="240">
        <v>43102</v>
      </c>
      <c r="U2" s="240">
        <v>43132</v>
      </c>
      <c r="V2" s="240">
        <v>43160</v>
      </c>
      <c r="W2" s="240">
        <v>43192</v>
      </c>
      <c r="X2" s="240">
        <v>43221</v>
      </c>
      <c r="Y2" s="240">
        <v>43255</v>
      </c>
      <c r="Z2" s="240">
        <v>43285</v>
      </c>
      <c r="AA2" s="240">
        <v>43314</v>
      </c>
      <c r="AB2" s="240">
        <v>43348</v>
      </c>
      <c r="AC2" s="240">
        <v>43378</v>
      </c>
      <c r="AD2" s="240">
        <v>43406</v>
      </c>
      <c r="AE2" s="240">
        <v>43434</v>
      </c>
      <c r="AF2" s="240">
        <v>43467</v>
      </c>
      <c r="AG2" s="240">
        <v>43500</v>
      </c>
      <c r="AH2" s="241" t="s">
        <v>60</v>
      </c>
      <c r="AI2" s="241" t="s">
        <v>60</v>
      </c>
      <c r="AJ2" s="210"/>
      <c r="AK2" s="211"/>
      <c r="AL2" s="211"/>
      <c r="AM2" s="211"/>
      <c r="AN2" s="211"/>
      <c r="AO2" s="211"/>
      <c r="AP2" s="211"/>
      <c r="AQ2" s="210"/>
      <c r="AR2" s="210"/>
      <c r="AS2" s="210"/>
      <c r="AT2" s="210"/>
      <c r="AU2" s="210"/>
      <c r="AV2" s="210"/>
      <c r="AW2" s="210"/>
      <c r="AX2" s="210"/>
      <c r="AY2" s="210"/>
      <c r="AZ2" s="210"/>
      <c r="BA2" s="210"/>
    </row>
    <row r="3" spans="1:53" ht="26.25" customHeight="1">
      <c r="A3" s="274"/>
      <c r="B3" s="272"/>
      <c r="C3" s="272"/>
      <c r="D3" s="212" t="s">
        <v>43</v>
      </c>
      <c r="E3" s="212" t="s">
        <v>43</v>
      </c>
      <c r="F3" s="212" t="s">
        <v>43</v>
      </c>
      <c r="G3" s="212" t="s">
        <v>43</v>
      </c>
      <c r="H3" s="212" t="s">
        <v>43</v>
      </c>
      <c r="I3" s="212" t="s">
        <v>43</v>
      </c>
      <c r="J3" s="212" t="s">
        <v>43</v>
      </c>
      <c r="K3" s="212" t="s">
        <v>43</v>
      </c>
      <c r="L3" s="212" t="s">
        <v>43</v>
      </c>
      <c r="M3" s="212" t="s">
        <v>43</v>
      </c>
      <c r="N3" s="212" t="s">
        <v>43</v>
      </c>
      <c r="O3" s="212" t="s">
        <v>43</v>
      </c>
      <c r="P3" s="212" t="s">
        <v>43</v>
      </c>
      <c r="Q3" s="212" t="s">
        <v>43</v>
      </c>
      <c r="R3" s="212" t="s">
        <v>43</v>
      </c>
      <c r="S3" s="212" t="s">
        <v>43</v>
      </c>
      <c r="T3" s="212" t="s">
        <v>43</v>
      </c>
      <c r="U3" s="212" t="s">
        <v>43</v>
      </c>
      <c r="V3" s="212" t="s">
        <v>43</v>
      </c>
      <c r="W3" s="212" t="s">
        <v>43</v>
      </c>
      <c r="X3" s="212" t="s">
        <v>43</v>
      </c>
      <c r="Y3" s="212" t="s">
        <v>43</v>
      </c>
      <c r="Z3" s="212" t="s">
        <v>43</v>
      </c>
      <c r="AA3" s="212" t="s">
        <v>43</v>
      </c>
      <c r="AB3" s="212" t="s">
        <v>43</v>
      </c>
      <c r="AC3" s="212" t="s">
        <v>43</v>
      </c>
      <c r="AD3" s="212" t="s">
        <v>43</v>
      </c>
      <c r="AE3" s="212" t="s">
        <v>43</v>
      </c>
      <c r="AF3" s="212" t="s">
        <v>43</v>
      </c>
      <c r="AG3" s="212" t="s">
        <v>43</v>
      </c>
      <c r="AH3" s="213" t="s">
        <v>61</v>
      </c>
      <c r="AI3" s="213" t="s">
        <v>62</v>
      </c>
      <c r="AJ3" s="210"/>
      <c r="AK3" s="211"/>
      <c r="AL3" s="211"/>
      <c r="AM3" s="211"/>
      <c r="AN3" s="211"/>
      <c r="AO3" s="211"/>
      <c r="AP3" s="211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</row>
    <row r="4" spans="1:53" ht="13.5" customHeight="1">
      <c r="A4" s="214">
        <v>1</v>
      </c>
      <c r="B4" s="222" t="s">
        <v>63</v>
      </c>
      <c r="C4" s="215" t="s">
        <v>64</v>
      </c>
      <c r="D4" s="216">
        <v>18</v>
      </c>
      <c r="E4" s="216">
        <v>17</v>
      </c>
      <c r="F4" s="216">
        <v>9</v>
      </c>
      <c r="G4" s="216">
        <v>10</v>
      </c>
      <c r="H4" s="216">
        <v>9</v>
      </c>
      <c r="I4" s="216">
        <v>8</v>
      </c>
      <c r="J4" s="216">
        <v>6</v>
      </c>
      <c r="K4" s="216">
        <v>5</v>
      </c>
      <c r="L4" s="216">
        <v>3</v>
      </c>
      <c r="M4" s="216">
        <v>2</v>
      </c>
      <c r="N4" s="216">
        <v>2</v>
      </c>
      <c r="O4" s="216">
        <v>2</v>
      </c>
      <c r="P4" s="216">
        <v>2</v>
      </c>
      <c r="Q4" s="216">
        <v>2</v>
      </c>
      <c r="R4" s="216">
        <v>2</v>
      </c>
      <c r="S4" s="216">
        <v>3</v>
      </c>
      <c r="T4" s="216">
        <v>2</v>
      </c>
      <c r="U4" s="216">
        <v>2</v>
      </c>
      <c r="V4" s="216">
        <v>3</v>
      </c>
      <c r="W4" s="216">
        <v>2</v>
      </c>
      <c r="X4" s="216">
        <v>2</v>
      </c>
      <c r="Y4" s="216">
        <v>3</v>
      </c>
      <c r="Z4" s="216">
        <v>4</v>
      </c>
      <c r="AA4" s="216">
        <v>3</v>
      </c>
      <c r="AB4" s="216">
        <v>4</v>
      </c>
      <c r="AC4" s="216">
        <v>4</v>
      </c>
      <c r="AD4" s="216">
        <v>3</v>
      </c>
      <c r="AE4" s="216">
        <v>3</v>
      </c>
      <c r="AF4" s="216">
        <v>3</v>
      </c>
      <c r="AG4" s="223">
        <v>3</v>
      </c>
      <c r="AH4" s="217"/>
      <c r="AI4" s="269"/>
      <c r="AJ4" s="270"/>
      <c r="AK4" s="211"/>
      <c r="AL4" s="211"/>
      <c r="AM4" s="211"/>
      <c r="AN4" s="211"/>
      <c r="AO4" s="211"/>
      <c r="AP4" s="211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</row>
    <row r="5" spans="1:53" ht="13.5" customHeight="1">
      <c r="A5" s="214">
        <v>2</v>
      </c>
      <c r="B5" s="222" t="s">
        <v>65</v>
      </c>
      <c r="C5" s="215" t="s">
        <v>64</v>
      </c>
      <c r="D5" s="218">
        <v>23</v>
      </c>
      <c r="E5" s="218">
        <v>36</v>
      </c>
      <c r="F5" s="218">
        <v>20</v>
      </c>
      <c r="G5" s="218">
        <v>11</v>
      </c>
      <c r="H5" s="218">
        <v>9</v>
      </c>
      <c r="I5" s="218">
        <v>8</v>
      </c>
      <c r="J5" s="218">
        <v>7</v>
      </c>
      <c r="K5" s="218">
        <v>5</v>
      </c>
      <c r="L5" s="218">
        <v>4</v>
      </c>
      <c r="M5" s="218">
        <v>3</v>
      </c>
      <c r="N5" s="218">
        <v>3</v>
      </c>
      <c r="O5" s="218">
        <v>3</v>
      </c>
      <c r="P5" s="218">
        <v>3</v>
      </c>
      <c r="Q5" s="218">
        <v>2</v>
      </c>
      <c r="R5" s="218">
        <v>2</v>
      </c>
      <c r="S5" s="218">
        <v>4</v>
      </c>
      <c r="T5" s="218">
        <v>4</v>
      </c>
      <c r="U5" s="218">
        <v>3</v>
      </c>
      <c r="V5" s="218">
        <v>2</v>
      </c>
      <c r="W5" s="218">
        <v>3</v>
      </c>
      <c r="X5" s="218">
        <v>2</v>
      </c>
      <c r="Y5" s="218">
        <v>3</v>
      </c>
      <c r="Z5" s="218">
        <v>4</v>
      </c>
      <c r="AA5" s="218">
        <v>5</v>
      </c>
      <c r="AB5" s="218">
        <v>4</v>
      </c>
      <c r="AC5" s="218">
        <v>4</v>
      </c>
      <c r="AD5" s="218">
        <v>3</v>
      </c>
      <c r="AE5" s="218">
        <v>5</v>
      </c>
      <c r="AF5" s="218">
        <v>4</v>
      </c>
      <c r="AG5" s="223">
        <v>5</v>
      </c>
      <c r="AH5" s="217"/>
      <c r="AI5" s="217"/>
      <c r="AJ5" s="210"/>
      <c r="AK5" s="211"/>
      <c r="AL5" s="211"/>
      <c r="AM5" s="211"/>
      <c r="AN5" s="211"/>
      <c r="AO5" s="211"/>
      <c r="AP5" s="211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</row>
    <row r="6" spans="1:53" ht="13.5" customHeight="1">
      <c r="A6" s="214">
        <v>3</v>
      </c>
      <c r="B6" s="222" t="s">
        <v>66</v>
      </c>
      <c r="C6" s="215" t="s">
        <v>64</v>
      </c>
      <c r="D6" s="218">
        <v>17</v>
      </c>
      <c r="E6" s="218">
        <v>21</v>
      </c>
      <c r="F6" s="218">
        <v>18</v>
      </c>
      <c r="G6" s="218">
        <v>16</v>
      </c>
      <c r="H6" s="218">
        <v>11</v>
      </c>
      <c r="I6" s="218">
        <v>11</v>
      </c>
      <c r="J6" s="218">
        <v>13</v>
      </c>
      <c r="K6" s="218">
        <v>9</v>
      </c>
      <c r="L6" s="218">
        <v>8</v>
      </c>
      <c r="M6" s="218">
        <v>7</v>
      </c>
      <c r="N6" s="218">
        <v>5</v>
      </c>
      <c r="O6" s="218">
        <v>4</v>
      </c>
      <c r="P6" s="218">
        <v>3</v>
      </c>
      <c r="Q6" s="218">
        <v>2</v>
      </c>
      <c r="R6" s="218">
        <v>2</v>
      </c>
      <c r="S6" s="218">
        <v>3</v>
      </c>
      <c r="T6" s="218">
        <v>3</v>
      </c>
      <c r="U6" s="218">
        <v>3</v>
      </c>
      <c r="V6" s="218">
        <v>2</v>
      </c>
      <c r="W6" s="218">
        <v>3</v>
      </c>
      <c r="X6" s="218">
        <v>2</v>
      </c>
      <c r="Y6" s="218">
        <v>2</v>
      </c>
      <c r="Z6" s="218">
        <v>4</v>
      </c>
      <c r="AA6" s="218">
        <v>3</v>
      </c>
      <c r="AB6" s="218">
        <v>3</v>
      </c>
      <c r="AC6" s="218">
        <v>2</v>
      </c>
      <c r="AD6" s="218">
        <v>4</v>
      </c>
      <c r="AE6" s="218">
        <v>3</v>
      </c>
      <c r="AF6" s="218">
        <v>5</v>
      </c>
      <c r="AG6" s="223">
        <v>3</v>
      </c>
      <c r="AH6" s="217"/>
      <c r="AI6" s="217"/>
      <c r="AJ6" s="210"/>
      <c r="AK6" s="211"/>
      <c r="AL6" s="211"/>
      <c r="AM6" s="211"/>
      <c r="AN6" s="211"/>
      <c r="AO6" s="211"/>
      <c r="AP6" s="211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</row>
    <row r="7" spans="1:53" ht="13.5" customHeight="1">
      <c r="A7" s="214">
        <v>4</v>
      </c>
      <c r="B7" s="222" t="s">
        <v>67</v>
      </c>
      <c r="C7" s="215" t="s">
        <v>64</v>
      </c>
      <c r="D7" s="218">
        <v>20</v>
      </c>
      <c r="E7" s="218">
        <v>25</v>
      </c>
      <c r="F7" s="218">
        <v>13</v>
      </c>
      <c r="G7" s="218">
        <v>12</v>
      </c>
      <c r="H7" s="218">
        <v>11</v>
      </c>
      <c r="I7" s="218">
        <v>11</v>
      </c>
      <c r="J7" s="218">
        <v>7</v>
      </c>
      <c r="K7" s="218">
        <v>6</v>
      </c>
      <c r="L7" s="218">
        <v>5</v>
      </c>
      <c r="M7" s="218">
        <v>4</v>
      </c>
      <c r="N7" s="218">
        <v>3</v>
      </c>
      <c r="O7" s="218">
        <v>2</v>
      </c>
      <c r="P7" s="218">
        <v>2</v>
      </c>
      <c r="Q7" s="218">
        <v>3</v>
      </c>
      <c r="R7" s="218">
        <v>3</v>
      </c>
      <c r="S7" s="218">
        <v>2</v>
      </c>
      <c r="T7" s="218">
        <v>2</v>
      </c>
      <c r="U7" s="218">
        <v>2</v>
      </c>
      <c r="V7" s="218">
        <v>2</v>
      </c>
      <c r="W7" s="218">
        <v>2</v>
      </c>
      <c r="X7" s="218">
        <v>4</v>
      </c>
      <c r="Y7" s="218">
        <v>3</v>
      </c>
      <c r="Z7" s="218">
        <v>2</v>
      </c>
      <c r="AA7" s="218">
        <v>4</v>
      </c>
      <c r="AB7" s="218">
        <v>3</v>
      </c>
      <c r="AC7" s="218">
        <v>5</v>
      </c>
      <c r="AD7" s="218">
        <v>3</v>
      </c>
      <c r="AE7" s="218">
        <v>5</v>
      </c>
      <c r="AF7" s="218">
        <v>3</v>
      </c>
      <c r="AG7" s="223">
        <v>2</v>
      </c>
      <c r="AH7" s="217"/>
      <c r="AI7" s="217"/>
      <c r="AJ7" s="210"/>
      <c r="AK7" s="211"/>
      <c r="AL7" s="211"/>
      <c r="AM7" s="211"/>
      <c r="AN7" s="211"/>
      <c r="AO7" s="211"/>
      <c r="AP7" s="211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</row>
    <row r="8" spans="1:53" ht="13.5" customHeight="1">
      <c r="A8" s="214">
        <v>5</v>
      </c>
      <c r="B8" s="222" t="s">
        <v>68</v>
      </c>
      <c r="C8" s="215" t="s">
        <v>64</v>
      </c>
      <c r="D8" s="218">
        <v>21</v>
      </c>
      <c r="E8" s="218">
        <v>30</v>
      </c>
      <c r="F8" s="218">
        <v>24</v>
      </c>
      <c r="G8" s="218">
        <v>22</v>
      </c>
      <c r="H8" s="218">
        <v>25</v>
      </c>
      <c r="I8" s="218">
        <v>20</v>
      </c>
      <c r="J8" s="218">
        <v>19</v>
      </c>
      <c r="K8" s="218">
        <v>18</v>
      </c>
      <c r="L8" s="218">
        <v>16</v>
      </c>
      <c r="M8" s="218">
        <v>8</v>
      </c>
      <c r="N8" s="218">
        <v>6</v>
      </c>
      <c r="O8" s="218">
        <v>6</v>
      </c>
      <c r="P8" s="218">
        <v>6</v>
      </c>
      <c r="Q8" s="218">
        <v>5</v>
      </c>
      <c r="R8" s="218">
        <v>4</v>
      </c>
      <c r="S8" s="218">
        <v>4</v>
      </c>
      <c r="T8" s="218">
        <v>5</v>
      </c>
      <c r="U8" s="218">
        <v>4</v>
      </c>
      <c r="V8" s="218">
        <v>5</v>
      </c>
      <c r="W8" s="218">
        <v>4</v>
      </c>
      <c r="X8" s="218">
        <v>6</v>
      </c>
      <c r="Y8" s="218">
        <v>5</v>
      </c>
      <c r="Z8" s="218">
        <v>8</v>
      </c>
      <c r="AA8" s="218">
        <v>7</v>
      </c>
      <c r="AB8" s="218">
        <v>6</v>
      </c>
      <c r="AC8" s="218">
        <v>5</v>
      </c>
      <c r="AD8" s="218">
        <v>4</v>
      </c>
      <c r="AE8" s="218">
        <v>8</v>
      </c>
      <c r="AF8" s="218">
        <v>7</v>
      </c>
      <c r="AG8" s="223">
        <v>5</v>
      </c>
      <c r="AH8" s="217"/>
      <c r="AI8" s="217"/>
      <c r="AJ8" s="210"/>
      <c r="AK8" s="211"/>
      <c r="AL8" s="211"/>
      <c r="AM8" s="211"/>
      <c r="AN8" s="211"/>
      <c r="AO8" s="211"/>
      <c r="AP8" s="211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</row>
    <row r="9" spans="1:53" ht="13.5" customHeight="1">
      <c r="A9" s="214">
        <v>6</v>
      </c>
      <c r="B9" s="222" t="s">
        <v>69</v>
      </c>
      <c r="C9" s="215" t="s">
        <v>64</v>
      </c>
      <c r="D9" s="218">
        <v>13</v>
      </c>
      <c r="E9" s="218">
        <v>40</v>
      </c>
      <c r="F9" s="218">
        <v>15</v>
      </c>
      <c r="G9" s="218">
        <v>26</v>
      </c>
      <c r="H9" s="218">
        <v>29</v>
      </c>
      <c r="I9" s="218">
        <v>38</v>
      </c>
      <c r="J9" s="218">
        <v>20</v>
      </c>
      <c r="K9" s="218">
        <v>25</v>
      </c>
      <c r="L9" s="218">
        <v>26</v>
      </c>
      <c r="M9" s="218">
        <v>18</v>
      </c>
      <c r="N9" s="218">
        <v>16</v>
      </c>
      <c r="O9" s="218">
        <v>14</v>
      </c>
      <c r="P9" s="218">
        <v>22</v>
      </c>
      <c r="Q9" s="218">
        <v>19</v>
      </c>
      <c r="R9" s="218">
        <v>37</v>
      </c>
      <c r="S9" s="218">
        <v>34</v>
      </c>
      <c r="T9" s="218">
        <v>30</v>
      </c>
      <c r="U9" s="218">
        <v>37</v>
      </c>
      <c r="V9" s="218">
        <v>39</v>
      </c>
      <c r="W9" s="218">
        <v>46</v>
      </c>
      <c r="X9" s="218">
        <v>43</v>
      </c>
      <c r="Y9" s="218">
        <v>39</v>
      </c>
      <c r="Z9" s="218">
        <v>37</v>
      </c>
      <c r="AA9" s="218">
        <v>36</v>
      </c>
      <c r="AB9" s="218">
        <v>18</v>
      </c>
      <c r="AC9" s="218">
        <v>14</v>
      </c>
      <c r="AD9" s="218">
        <v>8</v>
      </c>
      <c r="AE9" s="218">
        <v>6</v>
      </c>
      <c r="AF9" s="218">
        <v>8</v>
      </c>
      <c r="AG9" s="223">
        <v>6</v>
      </c>
      <c r="AH9" s="225"/>
      <c r="AI9" s="225"/>
      <c r="AJ9" s="211"/>
      <c r="AK9" s="211"/>
      <c r="AL9" s="211"/>
      <c r="AM9" s="211"/>
      <c r="AN9" s="211"/>
      <c r="AO9" s="211"/>
      <c r="AP9" s="211"/>
      <c r="AQ9" s="210"/>
      <c r="AR9" s="210"/>
      <c r="AS9" s="210"/>
      <c r="AT9" s="210"/>
      <c r="AU9" s="210"/>
      <c r="AV9" s="210"/>
      <c r="AW9" s="210"/>
      <c r="AX9" s="210"/>
      <c r="AY9" s="210"/>
      <c r="AZ9" s="210"/>
      <c r="BA9" s="210"/>
    </row>
    <row r="10" spans="1:53" ht="13.5" customHeight="1">
      <c r="A10" s="214">
        <v>7</v>
      </c>
      <c r="B10" s="222" t="s">
        <v>70</v>
      </c>
      <c r="C10" s="215" t="s">
        <v>64</v>
      </c>
      <c r="D10" s="218">
        <v>22</v>
      </c>
      <c r="E10" s="218">
        <v>21</v>
      </c>
      <c r="F10" s="218">
        <v>9</v>
      </c>
      <c r="G10" s="218">
        <v>9</v>
      </c>
      <c r="H10" s="218">
        <v>8</v>
      </c>
      <c r="I10" s="218">
        <v>6</v>
      </c>
      <c r="J10" s="218">
        <v>5</v>
      </c>
      <c r="K10" s="218">
        <v>4</v>
      </c>
      <c r="L10" s="218">
        <v>3</v>
      </c>
      <c r="M10" s="218">
        <v>2</v>
      </c>
      <c r="N10" s="218">
        <v>2</v>
      </c>
      <c r="O10" s="218">
        <v>2</v>
      </c>
      <c r="P10" s="218">
        <v>2</v>
      </c>
      <c r="Q10" s="218">
        <v>3</v>
      </c>
      <c r="R10" s="218">
        <v>2</v>
      </c>
      <c r="S10" s="218">
        <v>3</v>
      </c>
      <c r="T10" s="218">
        <v>3</v>
      </c>
      <c r="U10" s="218">
        <v>3</v>
      </c>
      <c r="V10" s="218">
        <v>3</v>
      </c>
      <c r="W10" s="218">
        <v>2</v>
      </c>
      <c r="X10" s="218">
        <v>2</v>
      </c>
      <c r="Y10" s="218">
        <v>3</v>
      </c>
      <c r="Z10" s="218">
        <v>2</v>
      </c>
      <c r="AA10" s="218">
        <v>2</v>
      </c>
      <c r="AB10" s="218">
        <v>2</v>
      </c>
      <c r="AC10" s="218">
        <v>2</v>
      </c>
      <c r="AD10" s="218">
        <v>3</v>
      </c>
      <c r="AE10" s="218">
        <v>3</v>
      </c>
      <c r="AF10" s="218">
        <v>5</v>
      </c>
      <c r="AG10" s="223">
        <v>3</v>
      </c>
      <c r="AH10" s="217"/>
      <c r="AI10" s="217"/>
      <c r="AJ10" s="211"/>
      <c r="AK10" s="211"/>
      <c r="AL10" s="211"/>
      <c r="AM10" s="211"/>
      <c r="AN10" s="211"/>
      <c r="AO10" s="211"/>
      <c r="AP10" s="211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</row>
    <row r="11" spans="1:53" ht="13.5" customHeight="1">
      <c r="A11" s="214">
        <v>8</v>
      </c>
      <c r="B11" s="222" t="s">
        <v>71</v>
      </c>
      <c r="C11" s="215" t="s">
        <v>64</v>
      </c>
      <c r="D11" s="218">
        <v>21</v>
      </c>
      <c r="E11" s="218">
        <v>20</v>
      </c>
      <c r="F11" s="218">
        <v>13</v>
      </c>
      <c r="G11" s="218">
        <v>16</v>
      </c>
      <c r="H11" s="218">
        <v>15</v>
      </c>
      <c r="I11" s="218">
        <v>10</v>
      </c>
      <c r="J11" s="218">
        <v>8</v>
      </c>
      <c r="K11" s="218">
        <v>6</v>
      </c>
      <c r="L11" s="218">
        <v>6</v>
      </c>
      <c r="M11" s="218">
        <v>4</v>
      </c>
      <c r="N11" s="218">
        <v>3</v>
      </c>
      <c r="O11" s="218">
        <v>3</v>
      </c>
      <c r="P11" s="218">
        <v>3</v>
      </c>
      <c r="Q11" s="218">
        <v>3</v>
      </c>
      <c r="R11" s="218">
        <v>3</v>
      </c>
      <c r="S11" s="218">
        <v>3</v>
      </c>
      <c r="T11" s="218">
        <v>3</v>
      </c>
      <c r="U11" s="218">
        <v>3</v>
      </c>
      <c r="V11" s="218">
        <v>2</v>
      </c>
      <c r="W11" s="218">
        <v>2</v>
      </c>
      <c r="X11" s="218">
        <v>3</v>
      </c>
      <c r="Y11" s="218">
        <v>2</v>
      </c>
      <c r="Z11" s="218">
        <v>3</v>
      </c>
      <c r="AA11" s="218">
        <v>3</v>
      </c>
      <c r="AB11" s="218">
        <v>3</v>
      </c>
      <c r="AC11" s="218">
        <v>2</v>
      </c>
      <c r="AD11" s="218">
        <v>2</v>
      </c>
      <c r="AE11" s="218">
        <v>4</v>
      </c>
      <c r="AF11" s="218">
        <v>3</v>
      </c>
      <c r="AG11" s="223">
        <v>5</v>
      </c>
      <c r="AH11" s="217"/>
      <c r="AI11" s="217"/>
      <c r="AJ11" s="211"/>
      <c r="AK11" s="211"/>
      <c r="AL11" s="211"/>
      <c r="AM11" s="211"/>
      <c r="AN11" s="211"/>
      <c r="AO11" s="211"/>
      <c r="AP11" s="211"/>
      <c r="AQ11" s="210"/>
      <c r="AR11" s="210"/>
      <c r="AS11" s="210"/>
      <c r="AT11" s="210"/>
      <c r="AU11" s="210"/>
      <c r="AV11" s="210"/>
      <c r="AW11" s="210"/>
      <c r="AX11" s="210"/>
      <c r="AY11" s="210"/>
      <c r="AZ11" s="210"/>
      <c r="BA11" s="210"/>
    </row>
    <row r="12" spans="1:53" ht="13.5" customHeight="1">
      <c r="A12" s="214">
        <v>9</v>
      </c>
      <c r="B12" s="222" t="s">
        <v>72</v>
      </c>
      <c r="C12" s="215" t="s">
        <v>64</v>
      </c>
      <c r="D12" s="218">
        <v>15</v>
      </c>
      <c r="E12" s="218">
        <v>19</v>
      </c>
      <c r="F12" s="218">
        <v>12</v>
      </c>
      <c r="G12" s="218">
        <v>11</v>
      </c>
      <c r="H12" s="218">
        <v>10</v>
      </c>
      <c r="I12" s="218">
        <v>9</v>
      </c>
      <c r="J12" s="218">
        <v>8</v>
      </c>
      <c r="K12" s="218">
        <v>6</v>
      </c>
      <c r="L12" s="218">
        <v>4</v>
      </c>
      <c r="M12" s="218">
        <v>3</v>
      </c>
      <c r="N12" s="218">
        <v>2</v>
      </c>
      <c r="O12" s="218">
        <v>2</v>
      </c>
      <c r="P12" s="218">
        <v>2</v>
      </c>
      <c r="Q12" s="218">
        <v>2</v>
      </c>
      <c r="R12" s="218">
        <v>2</v>
      </c>
      <c r="S12" s="218">
        <v>2</v>
      </c>
      <c r="T12" s="218">
        <v>2</v>
      </c>
      <c r="U12" s="218">
        <v>2</v>
      </c>
      <c r="V12" s="218">
        <v>2</v>
      </c>
      <c r="W12" s="218">
        <v>2</v>
      </c>
      <c r="X12" s="218">
        <v>2</v>
      </c>
      <c r="Y12" s="218">
        <v>2</v>
      </c>
      <c r="Z12" s="218">
        <v>4</v>
      </c>
      <c r="AA12" s="218">
        <v>3</v>
      </c>
      <c r="AB12" s="218">
        <v>4</v>
      </c>
      <c r="AC12" s="218">
        <v>3</v>
      </c>
      <c r="AD12" s="218">
        <v>2</v>
      </c>
      <c r="AE12" s="218">
        <v>2</v>
      </c>
      <c r="AF12" s="218">
        <v>3</v>
      </c>
      <c r="AG12" s="223">
        <v>2</v>
      </c>
      <c r="AH12" s="217"/>
      <c r="AI12" s="217"/>
      <c r="AJ12" s="211"/>
      <c r="AK12" s="211"/>
      <c r="AL12" s="211"/>
      <c r="AM12" s="211"/>
      <c r="AN12" s="211"/>
      <c r="AO12" s="211"/>
      <c r="AP12" s="211"/>
      <c r="AQ12" s="210"/>
      <c r="AR12" s="210"/>
      <c r="AS12" s="210"/>
      <c r="AT12" s="210"/>
      <c r="AU12" s="210"/>
      <c r="AV12" s="210"/>
      <c r="AW12" s="210"/>
      <c r="AX12" s="210"/>
      <c r="AY12" s="210"/>
      <c r="AZ12" s="210"/>
      <c r="BA12" s="210"/>
    </row>
    <row r="13" spans="1:53" ht="13.5" customHeight="1">
      <c r="A13" s="214">
        <v>10</v>
      </c>
      <c r="B13" s="222" t="s">
        <v>73</v>
      </c>
      <c r="C13" s="215" t="s">
        <v>64</v>
      </c>
      <c r="D13" s="218">
        <v>28</v>
      </c>
      <c r="E13" s="218">
        <v>27</v>
      </c>
      <c r="F13" s="218">
        <v>23</v>
      </c>
      <c r="G13" s="218">
        <v>15</v>
      </c>
      <c r="H13" s="218">
        <v>16</v>
      </c>
      <c r="I13" s="218">
        <v>15</v>
      </c>
      <c r="J13" s="218">
        <v>14</v>
      </c>
      <c r="K13" s="218">
        <v>10</v>
      </c>
      <c r="L13" s="218">
        <v>9</v>
      </c>
      <c r="M13" s="218">
        <v>7</v>
      </c>
      <c r="N13" s="218">
        <v>5</v>
      </c>
      <c r="O13" s="218">
        <v>4</v>
      </c>
      <c r="P13" s="218">
        <v>4</v>
      </c>
      <c r="Q13" s="218">
        <v>3</v>
      </c>
      <c r="R13" s="218">
        <v>3</v>
      </c>
      <c r="S13" s="218">
        <v>2</v>
      </c>
      <c r="T13" s="218">
        <v>2</v>
      </c>
      <c r="U13" s="218">
        <v>2</v>
      </c>
      <c r="V13" s="218">
        <v>4</v>
      </c>
      <c r="W13" s="218">
        <v>3</v>
      </c>
      <c r="X13" s="218">
        <v>3</v>
      </c>
      <c r="Y13" s="218">
        <v>4</v>
      </c>
      <c r="Z13" s="218">
        <v>3</v>
      </c>
      <c r="AA13" s="218">
        <v>3</v>
      </c>
      <c r="AB13" s="218">
        <v>3</v>
      </c>
      <c r="AC13" s="218">
        <v>6</v>
      </c>
      <c r="AD13" s="218">
        <v>4</v>
      </c>
      <c r="AE13" s="218">
        <v>3</v>
      </c>
      <c r="AF13" s="218">
        <v>2</v>
      </c>
      <c r="AG13" s="223">
        <v>2</v>
      </c>
      <c r="AH13" s="217"/>
      <c r="AI13" s="217"/>
      <c r="AJ13" s="211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0"/>
      <c r="AX13" s="210"/>
      <c r="AY13" s="210"/>
      <c r="AZ13" s="210"/>
      <c r="BA13" s="210"/>
    </row>
    <row r="14" spans="1:53" ht="16" customHeight="1">
      <c r="A14" s="214">
        <v>11</v>
      </c>
      <c r="B14" s="222" t="s">
        <v>74</v>
      </c>
      <c r="C14" s="215" t="s">
        <v>64</v>
      </c>
      <c r="AG14" s="224"/>
      <c r="AH14" s="217"/>
      <c r="AI14" s="217"/>
    </row>
    <row r="15" spans="1:53" ht="16" customHeight="1">
      <c r="A15" s="214">
        <v>12</v>
      </c>
      <c r="B15" s="222" t="s">
        <v>75</v>
      </c>
      <c r="C15" s="215" t="s">
        <v>64</v>
      </c>
      <c r="AG15" s="224"/>
      <c r="AH15" s="225"/>
      <c r="AI15" s="225"/>
    </row>
    <row r="16" spans="1:53" ht="16" customHeight="1">
      <c r="A16" s="214">
        <v>13</v>
      </c>
      <c r="B16" s="222" t="s">
        <v>76</v>
      </c>
      <c r="C16" s="215" t="s">
        <v>64</v>
      </c>
      <c r="AG16" s="224"/>
      <c r="AH16" s="217"/>
      <c r="AI16" s="217"/>
    </row>
    <row r="17" spans="1:45" ht="16" customHeight="1">
      <c r="A17" s="214">
        <v>14</v>
      </c>
      <c r="B17" s="222" t="s">
        <v>77</v>
      </c>
      <c r="C17" s="215" t="s">
        <v>64</v>
      </c>
      <c r="AG17" s="224"/>
      <c r="AH17" s="217"/>
      <c r="AI17" s="217"/>
    </row>
    <row r="18" spans="1:45" ht="16" customHeight="1">
      <c r="A18" s="214">
        <v>15</v>
      </c>
      <c r="B18" s="222" t="s">
        <v>78</v>
      </c>
      <c r="C18" s="215" t="s">
        <v>64</v>
      </c>
      <c r="AG18" s="224"/>
      <c r="AH18" s="217"/>
      <c r="AI18" s="217"/>
    </row>
    <row r="19" spans="1:45" ht="16" customHeight="1">
      <c r="A19" s="214">
        <v>16</v>
      </c>
      <c r="B19" s="222" t="s">
        <v>79</v>
      </c>
      <c r="C19" s="215" t="s">
        <v>64</v>
      </c>
      <c r="AG19" s="224"/>
      <c r="AH19" s="217"/>
      <c r="AI19" s="217"/>
    </row>
    <row r="20" spans="1:45" ht="16" customHeight="1">
      <c r="A20" s="214">
        <v>17</v>
      </c>
      <c r="B20" s="222" t="s">
        <v>80</v>
      </c>
      <c r="C20" s="215" t="s">
        <v>64</v>
      </c>
      <c r="AG20" s="224"/>
      <c r="AH20" s="217"/>
      <c r="AI20" s="217"/>
    </row>
    <row r="21" spans="1:45" ht="16" customHeight="1">
      <c r="A21" s="214">
        <v>18</v>
      </c>
      <c r="B21" s="222" t="s">
        <v>81</v>
      </c>
      <c r="C21" s="215" t="s">
        <v>64</v>
      </c>
      <c r="AG21" s="224"/>
      <c r="AH21" s="225"/>
      <c r="AI21" s="225"/>
    </row>
    <row r="22" spans="1:45" ht="13.5" customHeight="1">
      <c r="A22" s="214">
        <v>19</v>
      </c>
      <c r="B22" s="222" t="s">
        <v>82</v>
      </c>
      <c r="C22" s="215" t="s">
        <v>64</v>
      </c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17"/>
      <c r="AI22" s="217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</row>
    <row r="23" spans="1:45" ht="13.5" customHeight="1">
      <c r="A23" s="214">
        <v>20</v>
      </c>
      <c r="B23" s="222" t="s">
        <v>83</v>
      </c>
      <c r="C23" s="215" t="s">
        <v>64</v>
      </c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17"/>
      <c r="AI23" s="217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</row>
    <row r="24" spans="1:45" ht="13.5" customHeight="1">
      <c r="A24" s="219"/>
      <c r="B24" s="210"/>
      <c r="C24" s="21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19"/>
      <c r="AI24" s="219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</row>
    <row r="25" spans="1:45" ht="13.5" customHeight="1">
      <c r="A25" s="219"/>
      <c r="B25" s="210"/>
      <c r="C25" s="21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19"/>
      <c r="AI25" s="219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</row>
    <row r="26" spans="1:45" ht="13.5" customHeight="1">
      <c r="A26" s="219"/>
      <c r="B26" s="210"/>
      <c r="C26" s="21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19"/>
      <c r="AI26" s="219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</row>
    <row r="27" spans="1:45" ht="13.5" customHeight="1">
      <c r="A27" s="219"/>
      <c r="B27" s="210"/>
      <c r="C27" s="21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19"/>
      <c r="AI27" s="219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</row>
    <row r="28" spans="1:45" ht="13.5" customHeight="1">
      <c r="A28" s="219"/>
      <c r="B28" s="210"/>
      <c r="C28" s="21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19"/>
      <c r="AI28" s="219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</row>
    <row r="29" spans="1:45" ht="13.5" customHeight="1">
      <c r="A29" s="219"/>
      <c r="B29" s="210"/>
      <c r="C29" s="21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19"/>
      <c r="AI29" s="219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</row>
    <row r="30" spans="1:45" ht="13.5" customHeight="1">
      <c r="A30" s="219"/>
      <c r="B30" s="210"/>
      <c r="C30" s="21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19"/>
      <c r="AI30" s="219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</row>
    <row r="31" spans="1:45" ht="13.5" customHeight="1">
      <c r="A31" s="219"/>
      <c r="B31" s="210"/>
      <c r="C31" s="21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19"/>
      <c r="AI31" s="219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</row>
    <row r="32" spans="1:45" ht="13.5" customHeight="1">
      <c r="A32" s="219"/>
      <c r="B32" s="210"/>
      <c r="C32" s="21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19"/>
      <c r="AI32" s="219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</row>
    <row r="33" spans="1:45" ht="13.5" customHeight="1">
      <c r="A33" s="219"/>
      <c r="B33" s="210"/>
      <c r="C33" s="21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19"/>
      <c r="AI33" s="219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</row>
    <row r="34" spans="1:45" ht="13.5" customHeight="1">
      <c r="A34" s="219"/>
      <c r="B34" s="210"/>
      <c r="C34" s="21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19"/>
      <c r="AI34" s="219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</row>
    <row r="35" spans="1:45" ht="13.5" customHeight="1">
      <c r="A35" s="219"/>
      <c r="B35" s="210"/>
      <c r="C35" s="21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19"/>
      <c r="AI35" s="219"/>
      <c r="AJ35" s="210"/>
      <c r="AK35" s="210"/>
      <c r="AL35" s="210"/>
      <c r="AM35" s="210"/>
      <c r="AN35" s="210"/>
      <c r="AO35" s="210"/>
      <c r="AP35" s="210"/>
      <c r="AQ35" s="210"/>
      <c r="AR35" s="210"/>
      <c r="AS35" s="210"/>
    </row>
    <row r="36" spans="1:45" ht="13.5" customHeight="1">
      <c r="A36" s="219"/>
      <c r="B36" s="210"/>
      <c r="C36" s="21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19"/>
      <c r="AI36" s="219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</row>
    <row r="37" spans="1:45" ht="13.5" customHeight="1">
      <c r="A37" s="219"/>
      <c r="B37" s="210"/>
      <c r="C37" s="21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19"/>
      <c r="AI37" s="219"/>
      <c r="AJ37" s="210"/>
      <c r="AK37" s="210"/>
      <c r="AL37" s="210"/>
      <c r="AM37" s="210"/>
      <c r="AN37" s="210"/>
      <c r="AO37" s="210"/>
      <c r="AP37" s="210"/>
      <c r="AQ37" s="210"/>
      <c r="AR37" s="210"/>
      <c r="AS37" s="210"/>
    </row>
    <row r="38" spans="1:45" ht="13.5" customHeight="1">
      <c r="A38" s="219"/>
      <c r="B38" s="210"/>
      <c r="C38" s="21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19"/>
      <c r="AI38" s="219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</row>
    <row r="39" spans="1:45" ht="13.5" customHeight="1">
      <c r="A39" s="219"/>
      <c r="B39" s="210"/>
      <c r="C39" s="21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19"/>
      <c r="AI39" s="219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</row>
    <row r="40" spans="1:45" ht="13.5" customHeight="1">
      <c r="A40" s="219"/>
      <c r="B40" s="210"/>
      <c r="C40" s="21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19"/>
      <c r="AI40" s="219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</row>
    <row r="41" spans="1:45" ht="13.5" customHeight="1">
      <c r="A41" s="219"/>
      <c r="B41" s="210"/>
      <c r="C41" s="21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19"/>
      <c r="AI41" s="219"/>
      <c r="AJ41" s="210"/>
      <c r="AK41" s="210"/>
      <c r="AL41" s="210"/>
      <c r="AM41" s="210"/>
      <c r="AN41" s="210"/>
      <c r="AO41" s="210"/>
      <c r="AP41" s="210"/>
      <c r="AQ41" s="210"/>
      <c r="AR41" s="210"/>
      <c r="AS41" s="210"/>
    </row>
    <row r="42" spans="1:45" ht="13.5" customHeight="1">
      <c r="A42" s="219"/>
      <c r="B42" s="210"/>
      <c r="C42" s="21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19"/>
      <c r="AI42" s="219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</row>
    <row r="43" spans="1:45" ht="13.5" customHeight="1">
      <c r="A43" s="219"/>
      <c r="B43" s="210"/>
      <c r="C43" s="21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19"/>
      <c r="AI43" s="219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</row>
    <row r="44" spans="1:45" ht="13.5" customHeight="1">
      <c r="A44" s="219"/>
      <c r="B44" s="210"/>
      <c r="C44" s="21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19"/>
      <c r="AI44" s="219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</row>
    <row r="45" spans="1:45" ht="13.5" customHeight="1">
      <c r="A45" s="219"/>
      <c r="B45" s="210"/>
      <c r="C45" s="21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19"/>
      <c r="AI45" s="219"/>
      <c r="AJ45" s="210"/>
      <c r="AK45" s="210"/>
      <c r="AL45" s="210"/>
      <c r="AM45" s="210"/>
      <c r="AN45" s="210"/>
      <c r="AO45" s="210"/>
      <c r="AP45" s="210"/>
      <c r="AQ45" s="210"/>
      <c r="AR45" s="210"/>
      <c r="AS45" s="210"/>
    </row>
    <row r="46" spans="1:45" ht="13.5" customHeight="1">
      <c r="A46" s="219"/>
      <c r="B46" s="210"/>
      <c r="C46" s="21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19"/>
      <c r="AI46" s="219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</row>
    <row r="47" spans="1:45" ht="13.5" customHeight="1">
      <c r="A47" s="219"/>
      <c r="B47" s="210"/>
      <c r="C47" s="21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19"/>
      <c r="AI47" s="219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</row>
    <row r="48" spans="1:45" ht="13.5" customHeight="1">
      <c r="A48" s="219"/>
      <c r="B48" s="210"/>
      <c r="C48" s="21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19"/>
      <c r="AI48" s="219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</row>
    <row r="49" spans="1:45" ht="13.5" customHeight="1">
      <c r="A49" s="219"/>
      <c r="B49" s="210"/>
      <c r="C49" s="21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19"/>
      <c r="AI49" s="219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</row>
    <row r="50" spans="1:45" ht="13.5" customHeight="1">
      <c r="A50" s="219"/>
      <c r="B50" s="210"/>
      <c r="C50" s="21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19"/>
      <c r="AI50" s="219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</row>
    <row r="51" spans="1:45" ht="13.5" customHeight="1">
      <c r="A51" s="219"/>
      <c r="B51" s="210"/>
      <c r="C51" s="21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19"/>
      <c r="AI51" s="219"/>
      <c r="AJ51" s="210"/>
      <c r="AK51" s="210"/>
      <c r="AL51" s="210"/>
      <c r="AM51" s="210"/>
      <c r="AN51" s="210"/>
      <c r="AO51" s="210"/>
      <c r="AP51" s="210"/>
      <c r="AQ51" s="210"/>
      <c r="AR51" s="210"/>
      <c r="AS51" s="210"/>
    </row>
    <row r="52" spans="1:45" ht="13.5" customHeight="1">
      <c r="A52" s="219"/>
      <c r="B52" s="210"/>
      <c r="C52" s="21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19"/>
      <c r="AI52" s="219"/>
      <c r="AJ52" s="210"/>
      <c r="AK52" s="210"/>
      <c r="AL52" s="210"/>
      <c r="AM52" s="210"/>
      <c r="AN52" s="210"/>
      <c r="AO52" s="210"/>
      <c r="AP52" s="210"/>
      <c r="AQ52" s="210"/>
      <c r="AR52" s="210"/>
      <c r="AS52" s="210"/>
    </row>
    <row r="53" spans="1:45" ht="13.5" customHeight="1">
      <c r="A53" s="219"/>
      <c r="B53" s="210"/>
      <c r="C53" s="21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19"/>
      <c r="AI53" s="219"/>
      <c r="AJ53" s="210"/>
      <c r="AK53" s="210"/>
      <c r="AL53" s="210"/>
      <c r="AM53" s="210"/>
      <c r="AN53" s="210"/>
      <c r="AO53" s="210"/>
      <c r="AP53" s="210"/>
      <c r="AQ53" s="210"/>
      <c r="AR53" s="210"/>
      <c r="AS53" s="210"/>
    </row>
    <row r="54" spans="1:45" ht="13.5" customHeight="1">
      <c r="A54" s="219"/>
      <c r="B54" s="210"/>
      <c r="C54" s="21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19"/>
      <c r="AI54" s="219"/>
      <c r="AJ54" s="210"/>
      <c r="AK54" s="210"/>
      <c r="AL54" s="210"/>
      <c r="AM54" s="210"/>
      <c r="AN54" s="210"/>
      <c r="AO54" s="210"/>
      <c r="AP54" s="210"/>
      <c r="AQ54" s="210"/>
      <c r="AR54" s="210"/>
      <c r="AS54" s="210"/>
    </row>
    <row r="55" spans="1:45" ht="13.5" customHeight="1">
      <c r="A55" s="219"/>
      <c r="B55" s="210"/>
      <c r="C55" s="21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19"/>
      <c r="AI55" s="219"/>
      <c r="AJ55" s="210"/>
      <c r="AK55" s="210"/>
      <c r="AL55" s="210"/>
      <c r="AM55" s="210"/>
      <c r="AN55" s="210"/>
      <c r="AO55" s="210"/>
      <c r="AP55" s="210"/>
      <c r="AQ55" s="210"/>
      <c r="AR55" s="210"/>
      <c r="AS55" s="210"/>
    </row>
    <row r="56" spans="1:45" ht="13.5" customHeight="1">
      <c r="A56" s="219"/>
      <c r="B56" s="210"/>
      <c r="C56" s="21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19"/>
      <c r="AI56" s="219"/>
      <c r="AJ56" s="210"/>
      <c r="AK56" s="210"/>
      <c r="AL56" s="210"/>
      <c r="AM56" s="210"/>
      <c r="AN56" s="210"/>
      <c r="AO56" s="210"/>
      <c r="AP56" s="210"/>
      <c r="AQ56" s="210"/>
      <c r="AR56" s="210"/>
      <c r="AS56" s="210"/>
    </row>
    <row r="57" spans="1:45" ht="13.5" customHeight="1">
      <c r="A57" s="219"/>
      <c r="B57" s="210"/>
      <c r="C57" s="21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19"/>
      <c r="AI57" s="219"/>
      <c r="AJ57" s="210"/>
      <c r="AK57" s="210"/>
      <c r="AL57" s="210"/>
      <c r="AM57" s="210"/>
      <c r="AN57" s="210"/>
      <c r="AO57" s="210"/>
      <c r="AP57" s="210"/>
      <c r="AQ57" s="210"/>
      <c r="AR57" s="210"/>
      <c r="AS57" s="210"/>
    </row>
    <row r="58" spans="1:45" ht="13.5" customHeight="1">
      <c r="A58" s="219"/>
      <c r="B58" s="210"/>
      <c r="C58" s="21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19"/>
      <c r="AI58" s="219"/>
      <c r="AJ58" s="210"/>
      <c r="AK58" s="210"/>
      <c r="AL58" s="210"/>
      <c r="AM58" s="210"/>
      <c r="AN58" s="210"/>
      <c r="AO58" s="210"/>
      <c r="AP58" s="210"/>
      <c r="AQ58" s="210"/>
      <c r="AR58" s="210"/>
      <c r="AS58" s="210"/>
    </row>
    <row r="59" spans="1:45" ht="13.5" customHeight="1">
      <c r="A59" s="219"/>
      <c r="B59" s="210"/>
      <c r="C59" s="21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19"/>
      <c r="AI59" s="219"/>
      <c r="AJ59" s="210"/>
      <c r="AK59" s="210"/>
      <c r="AL59" s="210"/>
      <c r="AM59" s="210"/>
      <c r="AN59" s="210"/>
      <c r="AO59" s="210"/>
      <c r="AP59" s="210"/>
      <c r="AQ59" s="210"/>
      <c r="AR59" s="210"/>
      <c r="AS59" s="210"/>
    </row>
    <row r="60" spans="1:45" ht="13.5" customHeight="1">
      <c r="A60" s="219"/>
      <c r="B60" s="210"/>
      <c r="C60" s="21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19"/>
      <c r="AI60" s="219"/>
      <c r="AJ60" s="210"/>
      <c r="AK60" s="210"/>
      <c r="AL60" s="210"/>
      <c r="AM60" s="210"/>
      <c r="AN60" s="210"/>
      <c r="AO60" s="210"/>
      <c r="AP60" s="210"/>
      <c r="AQ60" s="210"/>
      <c r="AR60" s="210"/>
      <c r="AS60" s="210"/>
    </row>
    <row r="61" spans="1:45" ht="13.5" customHeight="1">
      <c r="A61" s="219"/>
      <c r="B61" s="210"/>
      <c r="C61" s="21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19"/>
      <c r="AI61" s="219"/>
      <c r="AJ61" s="210"/>
      <c r="AK61" s="210"/>
      <c r="AL61" s="210"/>
      <c r="AM61" s="210"/>
      <c r="AN61" s="210"/>
      <c r="AO61" s="210"/>
      <c r="AP61" s="210"/>
      <c r="AQ61" s="210"/>
      <c r="AR61" s="210"/>
      <c r="AS61" s="210"/>
    </row>
    <row r="62" spans="1:45" ht="13.5" customHeight="1">
      <c r="A62" s="219"/>
      <c r="B62" s="210"/>
      <c r="C62" s="21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19"/>
      <c r="AI62" s="219"/>
      <c r="AJ62" s="210"/>
      <c r="AK62" s="210"/>
      <c r="AL62" s="210"/>
      <c r="AM62" s="210"/>
      <c r="AN62" s="210"/>
      <c r="AO62" s="210"/>
      <c r="AP62" s="210"/>
      <c r="AQ62" s="210"/>
      <c r="AR62" s="210"/>
      <c r="AS62" s="210"/>
    </row>
    <row r="63" spans="1:45" ht="13.5" customHeight="1">
      <c r="A63" s="219"/>
      <c r="B63" s="210"/>
      <c r="C63" s="21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19"/>
      <c r="AI63" s="219"/>
      <c r="AJ63" s="210"/>
      <c r="AK63" s="210"/>
      <c r="AL63" s="210"/>
      <c r="AM63" s="210"/>
      <c r="AN63" s="210"/>
      <c r="AO63" s="210"/>
      <c r="AP63" s="210"/>
      <c r="AQ63" s="210"/>
      <c r="AR63" s="210"/>
      <c r="AS63" s="210"/>
    </row>
    <row r="64" spans="1:45" ht="13.5" customHeight="1">
      <c r="A64" s="219"/>
      <c r="B64" s="210"/>
      <c r="C64" s="21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19"/>
      <c r="AI64" s="219"/>
      <c r="AJ64" s="210"/>
      <c r="AK64" s="210"/>
      <c r="AL64" s="210"/>
      <c r="AM64" s="210"/>
      <c r="AN64" s="210"/>
      <c r="AO64" s="210"/>
      <c r="AP64" s="210"/>
      <c r="AQ64" s="210"/>
      <c r="AR64" s="210"/>
      <c r="AS64" s="210"/>
    </row>
    <row r="65" spans="1:45" ht="13.5" customHeight="1">
      <c r="A65" s="219"/>
      <c r="B65" s="210"/>
      <c r="C65" s="21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19"/>
      <c r="AI65" s="219"/>
      <c r="AJ65" s="210"/>
      <c r="AK65" s="210"/>
      <c r="AL65" s="210"/>
      <c r="AM65" s="210"/>
      <c r="AN65" s="210"/>
      <c r="AO65" s="210"/>
      <c r="AP65" s="210"/>
      <c r="AQ65" s="210"/>
      <c r="AR65" s="210"/>
      <c r="AS65" s="210"/>
    </row>
    <row r="66" spans="1:45" ht="13.5" customHeight="1">
      <c r="A66" s="219"/>
      <c r="B66" s="210"/>
      <c r="C66" s="21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19"/>
      <c r="AI66" s="219"/>
      <c r="AJ66" s="210"/>
      <c r="AK66" s="210"/>
      <c r="AL66" s="210"/>
      <c r="AM66" s="210"/>
      <c r="AN66" s="210"/>
      <c r="AO66" s="210"/>
      <c r="AP66" s="210"/>
      <c r="AQ66" s="210"/>
      <c r="AR66" s="210"/>
      <c r="AS66" s="210"/>
    </row>
    <row r="67" spans="1:45" ht="13.5" customHeight="1">
      <c r="A67" s="219"/>
      <c r="B67" s="210"/>
      <c r="C67" s="21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19"/>
      <c r="AI67" s="219"/>
      <c r="AJ67" s="210"/>
      <c r="AK67" s="210"/>
      <c r="AL67" s="210"/>
      <c r="AM67" s="210"/>
      <c r="AN67" s="210"/>
      <c r="AO67" s="210"/>
      <c r="AP67" s="210"/>
      <c r="AQ67" s="210"/>
      <c r="AR67" s="210"/>
      <c r="AS67" s="210"/>
    </row>
    <row r="68" spans="1:45" ht="13.5" customHeight="1">
      <c r="A68" s="219"/>
      <c r="B68" s="210"/>
      <c r="C68" s="21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19"/>
      <c r="AI68" s="219"/>
      <c r="AJ68" s="210"/>
      <c r="AK68" s="210"/>
      <c r="AL68" s="210"/>
      <c r="AM68" s="210"/>
      <c r="AN68" s="210"/>
      <c r="AO68" s="210"/>
      <c r="AP68" s="210"/>
      <c r="AQ68" s="210"/>
      <c r="AR68" s="210"/>
      <c r="AS68" s="210"/>
    </row>
    <row r="69" spans="1:45" ht="13.5" customHeight="1">
      <c r="A69" s="219"/>
      <c r="B69" s="210"/>
      <c r="C69" s="21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19"/>
      <c r="AI69" s="219"/>
      <c r="AJ69" s="210"/>
      <c r="AK69" s="210"/>
      <c r="AL69" s="210"/>
      <c r="AM69" s="210"/>
      <c r="AN69" s="210"/>
      <c r="AO69" s="210"/>
      <c r="AP69" s="210"/>
      <c r="AQ69" s="210"/>
      <c r="AR69" s="210"/>
      <c r="AS69" s="210"/>
    </row>
    <row r="70" spans="1:45" ht="13.5" customHeight="1">
      <c r="A70" s="219"/>
      <c r="B70" s="210"/>
      <c r="C70" s="21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19"/>
      <c r="AI70" s="219"/>
      <c r="AJ70" s="210"/>
      <c r="AK70" s="210"/>
      <c r="AL70" s="210"/>
      <c r="AM70" s="210"/>
      <c r="AN70" s="210"/>
      <c r="AO70" s="210"/>
      <c r="AP70" s="210"/>
      <c r="AQ70" s="210"/>
      <c r="AR70" s="210"/>
      <c r="AS70" s="210"/>
    </row>
    <row r="71" spans="1:45" ht="13.5" customHeight="1">
      <c r="A71" s="219"/>
      <c r="B71" s="210"/>
      <c r="C71" s="21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19"/>
      <c r="AI71" s="219"/>
      <c r="AJ71" s="210"/>
      <c r="AK71" s="210"/>
      <c r="AL71" s="210"/>
      <c r="AM71" s="210"/>
      <c r="AN71" s="210"/>
      <c r="AO71" s="210"/>
      <c r="AP71" s="210"/>
      <c r="AQ71" s="210"/>
      <c r="AR71" s="210"/>
      <c r="AS71" s="210"/>
    </row>
    <row r="72" spans="1:45" ht="13.5" customHeight="1">
      <c r="A72" s="219"/>
      <c r="B72" s="210"/>
      <c r="C72" s="21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19"/>
      <c r="AI72" s="219"/>
      <c r="AJ72" s="210"/>
      <c r="AK72" s="210"/>
      <c r="AL72" s="210"/>
      <c r="AM72" s="210"/>
      <c r="AN72" s="210"/>
      <c r="AO72" s="210"/>
      <c r="AP72" s="210"/>
      <c r="AQ72" s="210"/>
      <c r="AR72" s="210"/>
      <c r="AS72" s="210"/>
    </row>
    <row r="73" spans="1:45" ht="13.5" customHeight="1">
      <c r="A73" s="219"/>
      <c r="B73" s="210"/>
      <c r="C73" s="21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19"/>
      <c r="AI73" s="219"/>
      <c r="AJ73" s="210"/>
      <c r="AK73" s="210"/>
      <c r="AL73" s="210"/>
      <c r="AM73" s="210"/>
      <c r="AN73" s="210"/>
      <c r="AO73" s="210"/>
      <c r="AP73" s="210"/>
      <c r="AQ73" s="210"/>
      <c r="AR73" s="210"/>
      <c r="AS73" s="210"/>
    </row>
    <row r="74" spans="1:45" ht="13.5" customHeight="1">
      <c r="A74" s="219"/>
      <c r="B74" s="210"/>
      <c r="C74" s="21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19"/>
      <c r="AI74" s="219"/>
      <c r="AJ74" s="210"/>
      <c r="AK74" s="210"/>
      <c r="AL74" s="210"/>
      <c r="AM74" s="210"/>
      <c r="AN74" s="210"/>
      <c r="AO74" s="210"/>
      <c r="AP74" s="210"/>
      <c r="AQ74" s="210"/>
      <c r="AR74" s="210"/>
      <c r="AS74" s="210"/>
    </row>
    <row r="75" spans="1:45" ht="13.5" customHeight="1">
      <c r="A75" s="219"/>
      <c r="B75" s="210"/>
      <c r="C75" s="21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19"/>
      <c r="AI75" s="219"/>
      <c r="AJ75" s="210"/>
      <c r="AK75" s="210"/>
      <c r="AL75" s="210"/>
      <c r="AM75" s="210"/>
      <c r="AN75" s="210"/>
      <c r="AO75" s="210"/>
      <c r="AP75" s="210"/>
      <c r="AQ75" s="210"/>
      <c r="AR75" s="210"/>
      <c r="AS75" s="210"/>
    </row>
    <row r="76" spans="1:45" ht="13.5" customHeight="1">
      <c r="A76" s="219"/>
      <c r="B76" s="210"/>
      <c r="C76" s="21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19"/>
      <c r="AI76" s="219"/>
      <c r="AJ76" s="210"/>
      <c r="AK76" s="210"/>
      <c r="AL76" s="210"/>
      <c r="AM76" s="210"/>
      <c r="AN76" s="210"/>
      <c r="AO76" s="210"/>
      <c r="AP76" s="210"/>
      <c r="AQ76" s="210"/>
      <c r="AR76" s="210"/>
      <c r="AS76" s="210"/>
    </row>
    <row r="77" spans="1:45" ht="13.5" customHeight="1">
      <c r="A77" s="219"/>
      <c r="B77" s="210"/>
      <c r="C77" s="21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19"/>
      <c r="AI77" s="219"/>
      <c r="AJ77" s="210"/>
      <c r="AK77" s="210"/>
      <c r="AL77" s="210"/>
      <c r="AM77" s="210"/>
      <c r="AN77" s="210"/>
      <c r="AO77" s="210"/>
      <c r="AP77" s="210"/>
      <c r="AQ77" s="210"/>
      <c r="AR77" s="210"/>
      <c r="AS77" s="210"/>
    </row>
    <row r="78" spans="1:45" ht="13.5" customHeight="1">
      <c r="A78" s="219"/>
      <c r="B78" s="210"/>
      <c r="C78" s="21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19"/>
      <c r="AI78" s="219"/>
      <c r="AJ78" s="210"/>
      <c r="AK78" s="210"/>
      <c r="AL78" s="210"/>
      <c r="AM78" s="210"/>
      <c r="AN78" s="210"/>
      <c r="AO78" s="210"/>
      <c r="AP78" s="210"/>
      <c r="AQ78" s="210"/>
      <c r="AR78" s="210"/>
      <c r="AS78" s="210"/>
    </row>
    <row r="79" spans="1:45" ht="13.5" customHeight="1">
      <c r="A79" s="219"/>
      <c r="B79" s="210"/>
      <c r="C79" s="21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19"/>
      <c r="AI79" s="219"/>
      <c r="AJ79" s="210"/>
      <c r="AK79" s="210"/>
      <c r="AL79" s="210"/>
      <c r="AM79" s="210"/>
      <c r="AN79" s="210"/>
      <c r="AO79" s="210"/>
      <c r="AP79" s="210"/>
      <c r="AQ79" s="210"/>
      <c r="AR79" s="210"/>
      <c r="AS79" s="210"/>
    </row>
    <row r="80" spans="1:45" ht="13.5" customHeight="1">
      <c r="A80" s="219"/>
      <c r="B80" s="210"/>
      <c r="C80" s="21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19"/>
      <c r="AI80" s="219"/>
      <c r="AJ80" s="210"/>
      <c r="AK80" s="210"/>
      <c r="AL80" s="210"/>
      <c r="AM80" s="210"/>
      <c r="AN80" s="210"/>
      <c r="AO80" s="210"/>
      <c r="AP80" s="210"/>
      <c r="AQ80" s="210"/>
      <c r="AR80" s="210"/>
      <c r="AS80" s="210"/>
    </row>
    <row r="81" spans="1:45" ht="13.5" customHeight="1">
      <c r="A81" s="219"/>
      <c r="B81" s="210"/>
      <c r="C81" s="21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19"/>
      <c r="AI81" s="219"/>
      <c r="AJ81" s="210"/>
      <c r="AK81" s="210"/>
      <c r="AL81" s="210"/>
      <c r="AM81" s="210"/>
      <c r="AN81" s="210"/>
      <c r="AO81" s="210"/>
      <c r="AP81" s="210"/>
      <c r="AQ81" s="210"/>
      <c r="AR81" s="210"/>
      <c r="AS81" s="210"/>
    </row>
    <row r="82" spans="1:45" ht="13.5" customHeight="1">
      <c r="A82" s="219"/>
      <c r="B82" s="210"/>
      <c r="C82" s="21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19"/>
      <c r="AI82" s="219"/>
      <c r="AJ82" s="210"/>
      <c r="AK82" s="210"/>
      <c r="AL82" s="210"/>
      <c r="AM82" s="210"/>
      <c r="AN82" s="210"/>
      <c r="AO82" s="210"/>
      <c r="AP82" s="210"/>
      <c r="AQ82" s="210"/>
      <c r="AR82" s="210"/>
      <c r="AS82" s="210"/>
    </row>
    <row r="83" spans="1:45" ht="13.5" customHeight="1">
      <c r="A83" s="219"/>
      <c r="B83" s="210"/>
      <c r="C83" s="21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19"/>
      <c r="AI83" s="219"/>
      <c r="AJ83" s="210"/>
      <c r="AK83" s="210"/>
      <c r="AL83" s="210"/>
      <c r="AM83" s="210"/>
      <c r="AN83" s="210"/>
      <c r="AO83" s="210"/>
      <c r="AP83" s="210"/>
      <c r="AQ83" s="210"/>
      <c r="AR83" s="210"/>
      <c r="AS83" s="210"/>
    </row>
    <row r="84" spans="1:45" ht="13.5" customHeight="1">
      <c r="A84" s="219"/>
      <c r="B84" s="210"/>
      <c r="C84" s="21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19"/>
      <c r="AI84" s="219"/>
      <c r="AJ84" s="210"/>
      <c r="AK84" s="210"/>
      <c r="AL84" s="210"/>
      <c r="AM84" s="210"/>
      <c r="AN84" s="210"/>
      <c r="AO84" s="210"/>
      <c r="AP84" s="210"/>
      <c r="AQ84" s="210"/>
      <c r="AR84" s="210"/>
      <c r="AS84" s="210"/>
    </row>
    <row r="85" spans="1:45" ht="13.5" customHeight="1">
      <c r="A85" s="219"/>
      <c r="B85" s="210"/>
      <c r="C85" s="21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19"/>
      <c r="AI85" s="219"/>
      <c r="AJ85" s="210"/>
      <c r="AK85" s="210"/>
      <c r="AL85" s="210"/>
      <c r="AM85" s="210"/>
      <c r="AN85" s="210"/>
      <c r="AO85" s="210"/>
      <c r="AP85" s="210"/>
      <c r="AQ85" s="210"/>
      <c r="AR85" s="210"/>
      <c r="AS85" s="210"/>
    </row>
    <row r="86" spans="1:45" ht="13.5" customHeight="1">
      <c r="A86" s="219"/>
      <c r="B86" s="210"/>
      <c r="C86" s="21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19"/>
      <c r="AI86" s="219"/>
      <c r="AJ86" s="210"/>
      <c r="AK86" s="210"/>
      <c r="AL86" s="210"/>
      <c r="AM86" s="210"/>
      <c r="AN86" s="210"/>
      <c r="AO86" s="210"/>
      <c r="AP86" s="210"/>
      <c r="AQ86" s="210"/>
      <c r="AR86" s="210"/>
      <c r="AS86" s="210"/>
    </row>
    <row r="87" spans="1:45" ht="13.5" customHeight="1">
      <c r="A87" s="219"/>
      <c r="B87" s="210"/>
      <c r="C87" s="21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19"/>
      <c r="AI87" s="219"/>
      <c r="AJ87" s="210"/>
      <c r="AK87" s="210"/>
      <c r="AL87" s="210"/>
      <c r="AM87" s="210"/>
      <c r="AN87" s="210"/>
      <c r="AO87" s="210"/>
      <c r="AP87" s="210"/>
      <c r="AQ87" s="210"/>
      <c r="AR87" s="210"/>
      <c r="AS87" s="210"/>
    </row>
    <row r="88" spans="1:45" ht="13.5" customHeight="1">
      <c r="A88" s="219"/>
      <c r="B88" s="210"/>
      <c r="C88" s="21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19"/>
      <c r="AI88" s="219"/>
      <c r="AJ88" s="210"/>
      <c r="AK88" s="210"/>
      <c r="AL88" s="210"/>
      <c r="AM88" s="210"/>
      <c r="AN88" s="210"/>
      <c r="AO88" s="210"/>
      <c r="AP88" s="210"/>
      <c r="AQ88" s="210"/>
      <c r="AR88" s="210"/>
      <c r="AS88" s="210"/>
    </row>
    <row r="89" spans="1:45" ht="13.5" customHeight="1">
      <c r="A89" s="219"/>
      <c r="B89" s="210"/>
      <c r="C89" s="21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19"/>
      <c r="AI89" s="219"/>
      <c r="AJ89" s="210"/>
      <c r="AK89" s="210"/>
      <c r="AL89" s="210"/>
      <c r="AM89" s="210"/>
      <c r="AN89" s="210"/>
      <c r="AO89" s="210"/>
      <c r="AP89" s="210"/>
      <c r="AQ89" s="210"/>
      <c r="AR89" s="210"/>
      <c r="AS89" s="210"/>
    </row>
    <row r="90" spans="1:45" ht="13.5" customHeight="1">
      <c r="A90" s="219"/>
      <c r="B90" s="210"/>
      <c r="C90" s="21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19"/>
      <c r="AI90" s="219"/>
      <c r="AJ90" s="210"/>
      <c r="AK90" s="210"/>
      <c r="AL90" s="210"/>
      <c r="AM90" s="210"/>
      <c r="AN90" s="210"/>
      <c r="AO90" s="210"/>
      <c r="AP90" s="210"/>
      <c r="AQ90" s="210"/>
      <c r="AR90" s="210"/>
      <c r="AS90" s="210"/>
    </row>
    <row r="91" spans="1:45" ht="13.5" customHeight="1">
      <c r="A91" s="219"/>
      <c r="B91" s="210"/>
      <c r="C91" s="21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19"/>
      <c r="AI91" s="219"/>
      <c r="AJ91" s="210"/>
      <c r="AK91" s="210"/>
      <c r="AL91" s="210"/>
      <c r="AM91" s="210"/>
      <c r="AN91" s="210"/>
      <c r="AO91" s="210"/>
      <c r="AP91" s="210"/>
      <c r="AQ91" s="210"/>
      <c r="AR91" s="210"/>
      <c r="AS91" s="210"/>
    </row>
    <row r="92" spans="1:45" ht="13.5" customHeight="1">
      <c r="A92" s="219"/>
      <c r="B92" s="210"/>
      <c r="C92" s="21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19"/>
      <c r="AI92" s="219"/>
      <c r="AJ92" s="210"/>
      <c r="AK92" s="210"/>
      <c r="AL92" s="210"/>
      <c r="AM92" s="210"/>
      <c r="AN92" s="210"/>
      <c r="AO92" s="210"/>
      <c r="AP92" s="210"/>
      <c r="AQ92" s="210"/>
      <c r="AR92" s="210"/>
      <c r="AS92" s="210"/>
    </row>
    <row r="93" spans="1:45" ht="13.5" customHeight="1">
      <c r="A93" s="219"/>
      <c r="B93" s="210"/>
      <c r="C93" s="21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19"/>
      <c r="AI93" s="219"/>
      <c r="AJ93" s="210"/>
      <c r="AK93" s="210"/>
      <c r="AL93" s="210"/>
      <c r="AM93" s="210"/>
      <c r="AN93" s="210"/>
      <c r="AO93" s="210"/>
      <c r="AP93" s="210"/>
      <c r="AQ93" s="210"/>
      <c r="AR93" s="210"/>
      <c r="AS93" s="210"/>
    </row>
    <row r="94" spans="1:45" ht="13.5" customHeight="1">
      <c r="A94" s="219"/>
      <c r="B94" s="210"/>
      <c r="C94" s="21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19"/>
      <c r="AI94" s="219"/>
      <c r="AJ94" s="210"/>
      <c r="AK94" s="210"/>
      <c r="AL94" s="210"/>
      <c r="AM94" s="210"/>
      <c r="AN94" s="210"/>
      <c r="AO94" s="210"/>
      <c r="AP94" s="210"/>
      <c r="AQ94" s="210"/>
      <c r="AR94" s="210"/>
      <c r="AS94" s="210"/>
    </row>
    <row r="95" spans="1:45" ht="13.5" customHeight="1">
      <c r="A95" s="219"/>
      <c r="B95" s="210"/>
      <c r="C95" s="21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19"/>
      <c r="AI95" s="219"/>
      <c r="AJ95" s="210"/>
      <c r="AK95" s="210"/>
      <c r="AL95" s="210"/>
      <c r="AM95" s="210"/>
      <c r="AN95" s="210"/>
      <c r="AO95" s="210"/>
      <c r="AP95" s="210"/>
      <c r="AQ95" s="210"/>
      <c r="AR95" s="210"/>
      <c r="AS95" s="210"/>
    </row>
    <row r="96" spans="1:45" ht="13.5" customHeight="1">
      <c r="A96" s="219"/>
      <c r="B96" s="210"/>
      <c r="C96" s="21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19"/>
      <c r="AI96" s="219"/>
      <c r="AJ96" s="210"/>
      <c r="AK96" s="210"/>
      <c r="AL96" s="210"/>
      <c r="AM96" s="210"/>
      <c r="AN96" s="210"/>
      <c r="AO96" s="210"/>
      <c r="AP96" s="210"/>
      <c r="AQ96" s="210"/>
      <c r="AR96" s="210"/>
      <c r="AS96" s="210"/>
    </row>
    <row r="97" spans="1:45" ht="13.5" customHeight="1">
      <c r="A97" s="219"/>
      <c r="B97" s="210"/>
      <c r="C97" s="21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19"/>
      <c r="AI97" s="219"/>
      <c r="AJ97" s="210"/>
      <c r="AK97" s="210"/>
      <c r="AL97" s="210"/>
      <c r="AM97" s="210"/>
      <c r="AN97" s="210"/>
      <c r="AO97" s="210"/>
      <c r="AP97" s="210"/>
      <c r="AQ97" s="210"/>
      <c r="AR97" s="210"/>
      <c r="AS97" s="210"/>
    </row>
    <row r="98" spans="1:45" ht="13.5" customHeight="1">
      <c r="A98" s="219"/>
      <c r="B98" s="210"/>
      <c r="C98" s="21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19"/>
      <c r="AI98" s="219"/>
      <c r="AJ98" s="210"/>
      <c r="AK98" s="210"/>
      <c r="AL98" s="210"/>
      <c r="AM98" s="210"/>
      <c r="AN98" s="210"/>
      <c r="AO98" s="210"/>
      <c r="AP98" s="210"/>
      <c r="AQ98" s="210"/>
      <c r="AR98" s="210"/>
      <c r="AS98" s="210"/>
    </row>
    <row r="99" spans="1:45" ht="13.5" customHeight="1">
      <c r="A99" s="219"/>
      <c r="B99" s="210"/>
      <c r="C99" s="21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19"/>
      <c r="AI99" s="219"/>
      <c r="AJ99" s="210"/>
      <c r="AK99" s="210"/>
      <c r="AL99" s="210"/>
      <c r="AM99" s="210"/>
      <c r="AN99" s="210"/>
      <c r="AO99" s="210"/>
      <c r="AP99" s="210"/>
      <c r="AQ99" s="210"/>
      <c r="AR99" s="210"/>
      <c r="AS99" s="210"/>
    </row>
    <row r="100" spans="1:45" ht="13.5" customHeight="1">
      <c r="A100" s="219"/>
      <c r="B100" s="210"/>
      <c r="C100" s="21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19"/>
      <c r="AI100" s="219"/>
      <c r="AJ100" s="210"/>
      <c r="AK100" s="210"/>
      <c r="AL100" s="210"/>
      <c r="AM100" s="210"/>
      <c r="AN100" s="210"/>
      <c r="AO100" s="210"/>
      <c r="AP100" s="210"/>
      <c r="AQ100" s="210"/>
      <c r="AR100" s="210"/>
      <c r="AS100" s="210"/>
    </row>
    <row r="101" spans="1:45" ht="13.5" customHeight="1">
      <c r="A101" s="219"/>
      <c r="B101" s="210"/>
      <c r="C101" s="21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19"/>
      <c r="AI101" s="219"/>
      <c r="AJ101" s="210"/>
      <c r="AK101" s="210"/>
      <c r="AL101" s="210"/>
      <c r="AM101" s="210"/>
      <c r="AN101" s="210"/>
      <c r="AO101" s="210"/>
      <c r="AP101" s="210"/>
      <c r="AQ101" s="210"/>
      <c r="AR101" s="210"/>
      <c r="AS101" s="210"/>
    </row>
    <row r="102" spans="1:45" ht="13.5" customHeight="1">
      <c r="A102" s="219"/>
      <c r="B102" s="210"/>
      <c r="C102" s="21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19"/>
      <c r="AI102" s="219"/>
      <c r="AJ102" s="210"/>
      <c r="AK102" s="210"/>
      <c r="AL102" s="210"/>
      <c r="AM102" s="210"/>
      <c r="AN102" s="210"/>
      <c r="AO102" s="210"/>
      <c r="AP102" s="210"/>
      <c r="AQ102" s="210"/>
      <c r="AR102" s="210"/>
      <c r="AS102" s="210"/>
    </row>
    <row r="103" spans="1:45" ht="13.5" customHeight="1">
      <c r="A103" s="219"/>
      <c r="B103" s="210"/>
      <c r="C103" s="21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19"/>
      <c r="AI103" s="219"/>
      <c r="AJ103" s="210"/>
      <c r="AK103" s="210"/>
      <c r="AL103" s="210"/>
      <c r="AM103" s="210"/>
      <c r="AN103" s="210"/>
      <c r="AO103" s="210"/>
      <c r="AP103" s="210"/>
      <c r="AQ103" s="210"/>
      <c r="AR103" s="210"/>
      <c r="AS103" s="210"/>
    </row>
    <row r="104" spans="1:45" ht="13.5" customHeight="1">
      <c r="A104" s="219"/>
      <c r="B104" s="210"/>
      <c r="C104" s="21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19"/>
      <c r="AI104" s="219"/>
      <c r="AJ104" s="210"/>
      <c r="AK104" s="210"/>
      <c r="AL104" s="210"/>
      <c r="AM104" s="210"/>
      <c r="AN104" s="210"/>
      <c r="AO104" s="210"/>
      <c r="AP104" s="210"/>
      <c r="AQ104" s="210"/>
      <c r="AR104" s="210"/>
      <c r="AS104" s="210"/>
    </row>
    <row r="105" spans="1:45" ht="13.5" customHeight="1">
      <c r="A105" s="219"/>
      <c r="B105" s="210"/>
      <c r="C105" s="21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19"/>
      <c r="AI105" s="219"/>
      <c r="AJ105" s="210"/>
      <c r="AK105" s="210"/>
      <c r="AL105" s="210"/>
      <c r="AM105" s="210"/>
      <c r="AN105" s="210"/>
      <c r="AO105" s="210"/>
      <c r="AP105" s="210"/>
      <c r="AQ105" s="210"/>
      <c r="AR105" s="210"/>
      <c r="AS105" s="210"/>
    </row>
    <row r="106" spans="1:45" ht="13.5" customHeight="1">
      <c r="A106" s="219"/>
      <c r="B106" s="210"/>
      <c r="C106" s="21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19"/>
      <c r="AI106" s="219"/>
      <c r="AJ106" s="210"/>
      <c r="AK106" s="210"/>
      <c r="AL106" s="210"/>
      <c r="AM106" s="210"/>
      <c r="AN106" s="210"/>
      <c r="AO106" s="210"/>
      <c r="AP106" s="210"/>
      <c r="AQ106" s="210"/>
      <c r="AR106" s="210"/>
      <c r="AS106" s="210"/>
    </row>
    <row r="107" spans="1:45" ht="13.5" customHeight="1">
      <c r="A107" s="219"/>
      <c r="B107" s="210"/>
      <c r="C107" s="21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19"/>
      <c r="AI107" s="219"/>
      <c r="AJ107" s="210"/>
      <c r="AK107" s="210"/>
      <c r="AL107" s="210"/>
      <c r="AM107" s="210"/>
      <c r="AN107" s="210"/>
      <c r="AO107" s="210"/>
      <c r="AP107" s="210"/>
      <c r="AQ107" s="210"/>
      <c r="AR107" s="210"/>
      <c r="AS107" s="210"/>
    </row>
    <row r="108" spans="1:45" ht="13.5" customHeight="1">
      <c r="A108" s="219"/>
      <c r="B108" s="210"/>
      <c r="C108" s="21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19"/>
      <c r="AI108" s="219"/>
      <c r="AJ108" s="210"/>
      <c r="AK108" s="210"/>
      <c r="AL108" s="210"/>
      <c r="AM108" s="210"/>
      <c r="AN108" s="210"/>
      <c r="AO108" s="210"/>
      <c r="AP108" s="210"/>
      <c r="AQ108" s="210"/>
      <c r="AR108" s="210"/>
      <c r="AS108" s="210"/>
    </row>
    <row r="109" spans="1:45" ht="13.5" customHeight="1">
      <c r="A109" s="219"/>
      <c r="B109" s="210"/>
      <c r="C109" s="21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19"/>
      <c r="AI109" s="219"/>
      <c r="AJ109" s="210"/>
      <c r="AK109" s="210"/>
      <c r="AL109" s="210"/>
      <c r="AM109" s="210"/>
      <c r="AN109" s="210"/>
      <c r="AO109" s="210"/>
      <c r="AP109" s="210"/>
      <c r="AQ109" s="210"/>
      <c r="AR109" s="210"/>
      <c r="AS109" s="210"/>
    </row>
    <row r="110" spans="1:45" ht="13.5" customHeight="1">
      <c r="A110" s="219"/>
      <c r="B110" s="210"/>
      <c r="C110" s="21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19"/>
      <c r="AI110" s="219"/>
      <c r="AJ110" s="210"/>
      <c r="AK110" s="210"/>
      <c r="AL110" s="210"/>
      <c r="AM110" s="210"/>
      <c r="AN110" s="210"/>
      <c r="AO110" s="210"/>
      <c r="AP110" s="210"/>
      <c r="AQ110" s="210"/>
      <c r="AR110" s="210"/>
      <c r="AS110" s="210"/>
    </row>
    <row r="111" spans="1:45" ht="13.5" customHeight="1">
      <c r="A111" s="219"/>
      <c r="B111" s="210"/>
      <c r="C111" s="21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19"/>
      <c r="AI111" s="219"/>
      <c r="AJ111" s="210"/>
      <c r="AK111" s="210"/>
      <c r="AL111" s="210"/>
      <c r="AM111" s="210"/>
      <c r="AN111" s="210"/>
      <c r="AO111" s="210"/>
      <c r="AP111" s="210"/>
      <c r="AQ111" s="210"/>
      <c r="AR111" s="210"/>
      <c r="AS111" s="210"/>
    </row>
    <row r="112" spans="1:45" ht="13.5" customHeight="1">
      <c r="A112" s="210"/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  <c r="AG112" s="210"/>
      <c r="AH112" s="219"/>
      <c r="AI112" s="219"/>
      <c r="AJ112" s="210"/>
      <c r="AK112" s="210"/>
      <c r="AL112" s="210"/>
      <c r="AM112" s="210"/>
      <c r="AN112" s="210"/>
      <c r="AO112" s="210"/>
      <c r="AP112" s="210"/>
      <c r="AQ112" s="210"/>
      <c r="AR112" s="210"/>
      <c r="AS112" s="210"/>
    </row>
    <row r="113" spans="1:45" ht="13.5" customHeight="1">
      <c r="A113" s="210"/>
      <c r="B113" s="210"/>
      <c r="C113" s="210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  <c r="AG113" s="210"/>
      <c r="AH113" s="219"/>
      <c r="AI113" s="219"/>
      <c r="AJ113" s="210"/>
      <c r="AK113" s="210"/>
      <c r="AL113" s="210"/>
      <c r="AM113" s="210"/>
      <c r="AN113" s="210"/>
      <c r="AO113" s="210"/>
      <c r="AP113" s="210"/>
      <c r="AQ113" s="210"/>
      <c r="AR113" s="210"/>
      <c r="AS113" s="210"/>
    </row>
    <row r="114" spans="1:45" ht="13.5" customHeight="1">
      <c r="A114" s="210"/>
      <c r="B114" s="210"/>
      <c r="C114" s="210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/>
      <c r="AE114" s="210"/>
      <c r="AF114" s="210"/>
      <c r="AG114" s="210"/>
      <c r="AH114" s="219"/>
      <c r="AI114" s="219"/>
      <c r="AJ114" s="210"/>
      <c r="AK114" s="210"/>
      <c r="AL114" s="210"/>
      <c r="AM114" s="210"/>
      <c r="AN114" s="210"/>
      <c r="AO114" s="210"/>
      <c r="AP114" s="210"/>
      <c r="AQ114" s="210"/>
      <c r="AR114" s="210"/>
      <c r="AS114" s="210"/>
    </row>
    <row r="115" spans="1:45" ht="13.5" customHeight="1">
      <c r="A115" s="210"/>
      <c r="B115" s="210"/>
      <c r="C115" s="210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  <c r="AG115" s="210"/>
      <c r="AH115" s="219"/>
      <c r="AI115" s="219"/>
      <c r="AJ115" s="210"/>
      <c r="AK115" s="210"/>
      <c r="AL115" s="210"/>
      <c r="AM115" s="210"/>
      <c r="AN115" s="210"/>
      <c r="AO115" s="210"/>
      <c r="AP115" s="210"/>
      <c r="AQ115" s="210"/>
      <c r="AR115" s="210"/>
      <c r="AS115" s="210"/>
    </row>
    <row r="116" spans="1:45" ht="13.5" customHeight="1">
      <c r="A116" s="210"/>
      <c r="B116" s="210"/>
      <c r="C116" s="210"/>
      <c r="D116" s="210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  <c r="AG116" s="210"/>
      <c r="AH116" s="219"/>
      <c r="AI116" s="219"/>
      <c r="AJ116" s="210"/>
      <c r="AK116" s="210"/>
      <c r="AL116" s="210"/>
      <c r="AM116" s="210"/>
      <c r="AN116" s="210"/>
      <c r="AO116" s="210"/>
      <c r="AP116" s="210"/>
      <c r="AQ116" s="210"/>
      <c r="AR116" s="210"/>
      <c r="AS116" s="210"/>
    </row>
    <row r="117" spans="1:45" ht="13.5" customHeight="1">
      <c r="A117" s="210"/>
      <c r="B117" s="210"/>
      <c r="C117" s="210"/>
      <c r="D117" s="210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/>
      <c r="AG117" s="210"/>
      <c r="AH117" s="219"/>
      <c r="AI117" s="219"/>
      <c r="AJ117" s="210"/>
      <c r="AK117" s="210"/>
      <c r="AL117" s="210"/>
      <c r="AM117" s="210"/>
      <c r="AN117" s="210"/>
      <c r="AO117" s="210"/>
      <c r="AP117" s="210"/>
      <c r="AQ117" s="210"/>
      <c r="AR117" s="210"/>
      <c r="AS117" s="210"/>
    </row>
    <row r="118" spans="1:45" ht="13.5" customHeight="1">
      <c r="A118" s="210"/>
      <c r="B118" s="210"/>
      <c r="C118" s="210"/>
      <c r="D118" s="210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9"/>
      <c r="AI118" s="219"/>
      <c r="AJ118" s="210"/>
      <c r="AK118" s="210"/>
      <c r="AL118" s="210"/>
      <c r="AM118" s="210"/>
      <c r="AN118" s="210"/>
      <c r="AO118" s="210"/>
      <c r="AP118" s="210"/>
      <c r="AQ118" s="210"/>
      <c r="AR118" s="210"/>
      <c r="AS118" s="210"/>
    </row>
    <row r="119" spans="1:45" ht="13.5" customHeight="1">
      <c r="A119" s="210"/>
      <c r="B119" s="210"/>
      <c r="C119" s="210"/>
      <c r="D119" s="210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9"/>
      <c r="AI119" s="219"/>
      <c r="AJ119" s="210"/>
      <c r="AK119" s="210"/>
      <c r="AL119" s="210"/>
      <c r="AM119" s="210"/>
      <c r="AN119" s="210"/>
      <c r="AO119" s="210"/>
      <c r="AP119" s="210"/>
      <c r="AQ119" s="210"/>
      <c r="AR119" s="210"/>
      <c r="AS119" s="210"/>
    </row>
    <row r="120" spans="1:45" ht="13.5" customHeight="1">
      <c r="A120" s="210"/>
      <c r="B120" s="210"/>
      <c r="C120" s="210"/>
      <c r="D120" s="210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9"/>
      <c r="AI120" s="219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</row>
    <row r="121" spans="1:45" ht="13.5" customHeight="1">
      <c r="A121" s="210"/>
      <c r="B121" s="210"/>
      <c r="C121" s="210"/>
      <c r="D121" s="210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9"/>
      <c r="AI121" s="219"/>
      <c r="AJ121" s="210"/>
      <c r="AK121" s="210"/>
      <c r="AL121" s="210"/>
      <c r="AM121" s="210"/>
      <c r="AN121" s="210"/>
      <c r="AO121" s="210"/>
      <c r="AP121" s="210"/>
      <c r="AQ121" s="210"/>
      <c r="AR121" s="210"/>
      <c r="AS121" s="210"/>
    </row>
    <row r="122" spans="1:45" ht="13.5" customHeight="1">
      <c r="A122" s="210"/>
      <c r="B122" s="210"/>
      <c r="C122" s="210"/>
      <c r="D122" s="210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9"/>
      <c r="AI122" s="219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</row>
    <row r="123" spans="1:45" ht="13.5" customHeight="1">
      <c r="A123" s="210"/>
      <c r="B123" s="210"/>
      <c r="C123" s="210"/>
      <c r="D123" s="210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9"/>
      <c r="AI123" s="219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</row>
    <row r="124" spans="1:45" ht="13.5" customHeight="1">
      <c r="A124" s="210"/>
      <c r="B124" s="210"/>
      <c r="C124" s="210"/>
      <c r="D124" s="210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9"/>
      <c r="AI124" s="219"/>
      <c r="AJ124" s="210"/>
      <c r="AK124" s="210"/>
      <c r="AL124" s="210"/>
      <c r="AM124" s="210"/>
      <c r="AN124" s="210"/>
      <c r="AO124" s="210"/>
      <c r="AP124" s="210"/>
      <c r="AQ124" s="210"/>
      <c r="AR124" s="210"/>
      <c r="AS124" s="210"/>
    </row>
    <row r="125" spans="1:45" ht="13.5" customHeight="1">
      <c r="A125" s="210"/>
      <c r="B125" s="210"/>
      <c r="C125" s="210"/>
      <c r="D125" s="210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9"/>
      <c r="AI125" s="219"/>
      <c r="AJ125" s="210"/>
      <c r="AK125" s="210"/>
      <c r="AL125" s="210"/>
      <c r="AM125" s="210"/>
      <c r="AN125" s="210"/>
      <c r="AO125" s="210"/>
      <c r="AP125" s="210"/>
      <c r="AQ125" s="210"/>
      <c r="AR125" s="210"/>
      <c r="AS125" s="210"/>
    </row>
    <row r="126" spans="1:45" ht="13.5" customHeight="1">
      <c r="A126" s="210"/>
      <c r="B126" s="210"/>
      <c r="C126" s="210"/>
      <c r="D126" s="210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  <c r="AD126" s="210"/>
      <c r="AE126" s="210"/>
      <c r="AF126" s="210"/>
      <c r="AG126" s="210"/>
      <c r="AH126" s="219"/>
      <c r="AI126" s="219"/>
      <c r="AJ126" s="210"/>
      <c r="AK126" s="210"/>
      <c r="AL126" s="210"/>
      <c r="AM126" s="210"/>
      <c r="AN126" s="210"/>
      <c r="AO126" s="210"/>
      <c r="AP126" s="210"/>
      <c r="AQ126" s="210"/>
      <c r="AR126" s="210"/>
      <c r="AS126" s="210"/>
    </row>
    <row r="127" spans="1:45" ht="13.5" customHeight="1">
      <c r="A127" s="210"/>
      <c r="B127" s="210"/>
      <c r="C127" s="210"/>
      <c r="D127" s="210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/>
      <c r="AE127" s="210"/>
      <c r="AF127" s="210"/>
      <c r="AG127" s="210"/>
      <c r="AH127" s="219"/>
      <c r="AI127" s="219"/>
      <c r="AJ127" s="210"/>
      <c r="AK127" s="210"/>
      <c r="AL127" s="210"/>
      <c r="AM127" s="210"/>
      <c r="AN127" s="210"/>
      <c r="AO127" s="210"/>
      <c r="AP127" s="210"/>
      <c r="AQ127" s="210"/>
      <c r="AR127" s="210"/>
      <c r="AS127" s="210"/>
    </row>
    <row r="128" spans="1:45" ht="13.5" customHeight="1">
      <c r="A128" s="210"/>
      <c r="B128" s="210"/>
      <c r="C128" s="210"/>
      <c r="D128" s="210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/>
      <c r="AE128" s="210"/>
      <c r="AF128" s="210"/>
      <c r="AG128" s="210"/>
      <c r="AH128" s="219"/>
      <c r="AI128" s="219"/>
      <c r="AJ128" s="210"/>
      <c r="AK128" s="210"/>
      <c r="AL128" s="210"/>
      <c r="AM128" s="210"/>
      <c r="AN128" s="210"/>
      <c r="AO128" s="210"/>
      <c r="AP128" s="210"/>
      <c r="AQ128" s="210"/>
      <c r="AR128" s="210"/>
      <c r="AS128" s="210"/>
    </row>
    <row r="129" spans="1:45" ht="13.5" customHeight="1">
      <c r="A129" s="210"/>
      <c r="B129" s="210"/>
      <c r="C129" s="210"/>
      <c r="D129" s="210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  <c r="AG129" s="210"/>
      <c r="AH129" s="219"/>
      <c r="AI129" s="219"/>
      <c r="AJ129" s="210"/>
      <c r="AK129" s="210"/>
      <c r="AL129" s="210"/>
      <c r="AM129" s="210"/>
      <c r="AN129" s="210"/>
      <c r="AO129" s="210"/>
      <c r="AP129" s="210"/>
      <c r="AQ129" s="210"/>
      <c r="AR129" s="210"/>
      <c r="AS129" s="210"/>
    </row>
    <row r="130" spans="1:45" ht="13.5" customHeight="1">
      <c r="A130" s="210"/>
      <c r="B130" s="210"/>
      <c r="C130" s="210"/>
      <c r="D130" s="210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/>
      <c r="AE130" s="210"/>
      <c r="AF130" s="210"/>
      <c r="AG130" s="210"/>
      <c r="AH130" s="219"/>
      <c r="AI130" s="219"/>
      <c r="AJ130" s="210"/>
      <c r="AK130" s="210"/>
      <c r="AL130" s="210"/>
      <c r="AM130" s="210"/>
      <c r="AN130" s="210"/>
      <c r="AO130" s="210"/>
      <c r="AP130" s="210"/>
      <c r="AQ130" s="210"/>
      <c r="AR130" s="210"/>
      <c r="AS130" s="210"/>
    </row>
    <row r="131" spans="1:45" ht="13.5" customHeight="1">
      <c r="A131" s="210"/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  <c r="AH131" s="219"/>
      <c r="AI131" s="219"/>
      <c r="AJ131" s="210"/>
      <c r="AK131" s="210"/>
      <c r="AL131" s="210"/>
      <c r="AM131" s="210"/>
      <c r="AN131" s="210"/>
      <c r="AO131" s="210"/>
      <c r="AP131" s="210"/>
      <c r="AQ131" s="210"/>
      <c r="AR131" s="210"/>
      <c r="AS131" s="210"/>
    </row>
    <row r="132" spans="1:45" ht="13.5" customHeight="1">
      <c r="A132" s="210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  <c r="AH132" s="219"/>
      <c r="AI132" s="219"/>
      <c r="AJ132" s="210"/>
      <c r="AK132" s="210"/>
      <c r="AL132" s="210"/>
      <c r="AM132" s="210"/>
      <c r="AN132" s="210"/>
      <c r="AO132" s="210"/>
      <c r="AP132" s="210"/>
      <c r="AQ132" s="210"/>
      <c r="AR132" s="210"/>
      <c r="AS132" s="210"/>
    </row>
    <row r="133" spans="1:45" ht="13.5" customHeight="1">
      <c r="A133" s="210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/>
      <c r="AG133" s="210"/>
      <c r="AH133" s="219"/>
      <c r="AI133" s="219"/>
      <c r="AJ133" s="210"/>
      <c r="AK133" s="210"/>
      <c r="AL133" s="210"/>
      <c r="AM133" s="210"/>
      <c r="AN133" s="210"/>
      <c r="AO133" s="210"/>
      <c r="AP133" s="210"/>
      <c r="AQ133" s="210"/>
      <c r="AR133" s="210"/>
      <c r="AS133" s="210"/>
    </row>
    <row r="134" spans="1:45" ht="13.5" customHeight="1">
      <c r="A134" s="210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/>
      <c r="AE134" s="210"/>
      <c r="AF134" s="210"/>
      <c r="AG134" s="210"/>
      <c r="AH134" s="219"/>
      <c r="AI134" s="219"/>
      <c r="AJ134" s="210"/>
      <c r="AK134" s="210"/>
      <c r="AL134" s="210"/>
      <c r="AM134" s="210"/>
      <c r="AN134" s="210"/>
      <c r="AO134" s="210"/>
      <c r="AP134" s="210"/>
      <c r="AQ134" s="210"/>
      <c r="AR134" s="210"/>
      <c r="AS134" s="210"/>
    </row>
    <row r="135" spans="1:45" ht="13.5" customHeight="1">
      <c r="A135" s="210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/>
      <c r="AG135" s="210"/>
      <c r="AH135" s="219"/>
      <c r="AI135" s="219"/>
      <c r="AJ135" s="210"/>
      <c r="AK135" s="210"/>
      <c r="AL135" s="210"/>
      <c r="AM135" s="210"/>
      <c r="AN135" s="210"/>
      <c r="AO135" s="210"/>
      <c r="AP135" s="210"/>
      <c r="AQ135" s="210"/>
      <c r="AR135" s="210"/>
      <c r="AS135" s="210"/>
    </row>
    <row r="136" spans="1:45" ht="13.5" customHeight="1">
      <c r="A136" s="210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  <c r="AG136" s="210"/>
      <c r="AH136" s="219"/>
      <c r="AI136" s="219"/>
      <c r="AJ136" s="210"/>
      <c r="AK136" s="210"/>
      <c r="AL136" s="210"/>
      <c r="AM136" s="210"/>
      <c r="AN136" s="210"/>
      <c r="AO136" s="210"/>
      <c r="AP136" s="210"/>
      <c r="AQ136" s="210"/>
      <c r="AR136" s="210"/>
      <c r="AS136" s="210"/>
    </row>
    <row r="137" spans="1:45" ht="13.5" customHeight="1">
      <c r="A137" s="210"/>
      <c r="B137" s="210"/>
      <c r="C137" s="210"/>
      <c r="D137" s="210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/>
      <c r="AG137" s="210"/>
      <c r="AH137" s="219"/>
      <c r="AI137" s="219"/>
      <c r="AJ137" s="210"/>
      <c r="AK137" s="210"/>
      <c r="AL137" s="210"/>
      <c r="AM137" s="210"/>
      <c r="AN137" s="210"/>
      <c r="AO137" s="210"/>
      <c r="AP137" s="210"/>
      <c r="AQ137" s="210"/>
      <c r="AR137" s="210"/>
      <c r="AS137" s="210"/>
    </row>
    <row r="138" spans="1:45" ht="13.5" customHeight="1">
      <c r="A138" s="210"/>
      <c r="B138" s="210"/>
      <c r="C138" s="210"/>
      <c r="D138" s="210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  <c r="AG138" s="210"/>
      <c r="AH138" s="219"/>
      <c r="AI138" s="219"/>
      <c r="AJ138" s="210"/>
      <c r="AK138" s="210"/>
      <c r="AL138" s="210"/>
      <c r="AM138" s="210"/>
      <c r="AN138" s="210"/>
      <c r="AO138" s="210"/>
      <c r="AP138" s="210"/>
      <c r="AQ138" s="210"/>
      <c r="AR138" s="210"/>
      <c r="AS138" s="210"/>
    </row>
    <row r="139" spans="1:45" ht="13.5" customHeight="1">
      <c r="A139" s="210"/>
      <c r="B139" s="210"/>
      <c r="C139" s="210"/>
      <c r="D139" s="210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/>
      <c r="AG139" s="210"/>
      <c r="AH139" s="219"/>
      <c r="AI139" s="219"/>
      <c r="AJ139" s="210"/>
      <c r="AK139" s="210"/>
      <c r="AL139" s="210"/>
      <c r="AM139" s="210"/>
      <c r="AN139" s="210"/>
      <c r="AO139" s="210"/>
      <c r="AP139" s="210"/>
      <c r="AQ139" s="210"/>
      <c r="AR139" s="210"/>
      <c r="AS139" s="210"/>
    </row>
    <row r="140" spans="1:45" ht="13.5" customHeight="1">
      <c r="A140" s="210"/>
      <c r="B140" s="210"/>
      <c r="C140" s="210"/>
      <c r="D140" s="210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/>
      <c r="AE140" s="210"/>
      <c r="AF140" s="210"/>
      <c r="AG140" s="210"/>
      <c r="AH140" s="219"/>
      <c r="AI140" s="219"/>
      <c r="AJ140" s="210"/>
      <c r="AK140" s="210"/>
      <c r="AL140" s="210"/>
      <c r="AM140" s="210"/>
      <c r="AN140" s="210"/>
      <c r="AO140" s="210"/>
      <c r="AP140" s="210"/>
      <c r="AQ140" s="210"/>
      <c r="AR140" s="210"/>
      <c r="AS140" s="210"/>
    </row>
    <row r="141" spans="1:45" ht="13.5" customHeight="1">
      <c r="A141" s="210"/>
      <c r="B141" s="210"/>
      <c r="C141" s="210"/>
      <c r="D141" s="210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  <c r="AG141" s="210"/>
      <c r="AH141" s="219"/>
      <c r="AI141" s="219"/>
      <c r="AJ141" s="210"/>
      <c r="AK141" s="210"/>
      <c r="AL141" s="210"/>
      <c r="AM141" s="210"/>
      <c r="AN141" s="210"/>
      <c r="AO141" s="210"/>
      <c r="AP141" s="210"/>
      <c r="AQ141" s="210"/>
      <c r="AR141" s="210"/>
      <c r="AS141" s="210"/>
    </row>
    <row r="142" spans="1:45" ht="13.5" customHeight="1">
      <c r="A142" s="210"/>
      <c r="B142" s="210"/>
      <c r="C142" s="210"/>
      <c r="D142" s="210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/>
      <c r="AE142" s="210"/>
      <c r="AF142" s="210"/>
      <c r="AG142" s="210"/>
      <c r="AH142" s="219"/>
      <c r="AI142" s="219"/>
      <c r="AJ142" s="210"/>
      <c r="AK142" s="210"/>
      <c r="AL142" s="210"/>
      <c r="AM142" s="210"/>
      <c r="AN142" s="210"/>
      <c r="AO142" s="210"/>
      <c r="AP142" s="210"/>
      <c r="AQ142" s="210"/>
      <c r="AR142" s="210"/>
      <c r="AS142" s="210"/>
    </row>
    <row r="143" spans="1:45" ht="13.5" customHeight="1">
      <c r="A143" s="210"/>
      <c r="B143" s="210"/>
      <c r="C143" s="210"/>
      <c r="D143" s="210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/>
      <c r="AG143" s="210"/>
      <c r="AH143" s="219"/>
      <c r="AI143" s="219"/>
      <c r="AJ143" s="210"/>
      <c r="AK143" s="210"/>
      <c r="AL143" s="210"/>
      <c r="AM143" s="210"/>
      <c r="AN143" s="210"/>
      <c r="AO143" s="210"/>
      <c r="AP143" s="210"/>
      <c r="AQ143" s="210"/>
      <c r="AR143" s="210"/>
      <c r="AS143" s="210"/>
    </row>
    <row r="144" spans="1:45" ht="13.5" customHeight="1">
      <c r="A144" s="210"/>
      <c r="B144" s="210"/>
      <c r="C144" s="210"/>
      <c r="D144" s="210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/>
      <c r="AE144" s="210"/>
      <c r="AF144" s="210"/>
      <c r="AG144" s="210"/>
      <c r="AH144" s="219"/>
      <c r="AI144" s="219"/>
      <c r="AJ144" s="210"/>
      <c r="AK144" s="210"/>
      <c r="AL144" s="210"/>
      <c r="AM144" s="210"/>
      <c r="AN144" s="210"/>
      <c r="AO144" s="210"/>
      <c r="AP144" s="210"/>
      <c r="AQ144" s="210"/>
      <c r="AR144" s="210"/>
      <c r="AS144" s="210"/>
    </row>
    <row r="145" spans="1:45" ht="13.5" customHeight="1">
      <c r="A145" s="210"/>
      <c r="B145" s="210"/>
      <c r="C145" s="210"/>
      <c r="D145" s="210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  <c r="AH145" s="219"/>
      <c r="AI145" s="219"/>
      <c r="AJ145" s="210"/>
      <c r="AK145" s="210"/>
      <c r="AL145" s="210"/>
      <c r="AM145" s="210"/>
      <c r="AN145" s="210"/>
      <c r="AO145" s="210"/>
      <c r="AP145" s="210"/>
      <c r="AQ145" s="210"/>
      <c r="AR145" s="210"/>
      <c r="AS145" s="210"/>
    </row>
    <row r="146" spans="1:45" ht="13.5" customHeight="1">
      <c r="A146" s="210"/>
      <c r="B146" s="210"/>
      <c r="C146" s="210"/>
      <c r="D146" s="210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  <c r="AG146" s="210"/>
      <c r="AH146" s="219"/>
      <c r="AI146" s="219"/>
      <c r="AJ146" s="210"/>
      <c r="AK146" s="210"/>
      <c r="AL146" s="210"/>
      <c r="AM146" s="210"/>
      <c r="AN146" s="210"/>
      <c r="AO146" s="210"/>
      <c r="AP146" s="210"/>
      <c r="AQ146" s="210"/>
      <c r="AR146" s="210"/>
      <c r="AS146" s="210"/>
    </row>
    <row r="147" spans="1:45" ht="13.5" customHeight="1">
      <c r="A147" s="210"/>
      <c r="B147" s="210"/>
      <c r="C147" s="210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  <c r="AH147" s="219"/>
      <c r="AI147" s="219"/>
      <c r="AJ147" s="210"/>
      <c r="AK147" s="210"/>
      <c r="AL147" s="210"/>
      <c r="AM147" s="210"/>
      <c r="AN147" s="210"/>
      <c r="AO147" s="210"/>
      <c r="AP147" s="210"/>
      <c r="AQ147" s="210"/>
      <c r="AR147" s="210"/>
      <c r="AS147" s="210"/>
    </row>
    <row r="148" spans="1:45" ht="13.5" customHeight="1">
      <c r="A148" s="210"/>
      <c r="B148" s="210"/>
      <c r="C148" s="210"/>
      <c r="D148" s="210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/>
      <c r="AE148" s="210"/>
      <c r="AF148" s="210"/>
      <c r="AG148" s="210"/>
      <c r="AH148" s="219"/>
      <c r="AI148" s="219"/>
      <c r="AJ148" s="210"/>
      <c r="AK148" s="210"/>
      <c r="AL148" s="210"/>
      <c r="AM148" s="210"/>
      <c r="AN148" s="210"/>
      <c r="AO148" s="210"/>
      <c r="AP148" s="210"/>
      <c r="AQ148" s="210"/>
      <c r="AR148" s="210"/>
      <c r="AS148" s="210"/>
    </row>
    <row r="149" spans="1:45" ht="13.5" customHeight="1">
      <c r="A149" s="210"/>
      <c r="B149" s="210"/>
      <c r="C149" s="210"/>
      <c r="D149" s="210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/>
      <c r="AG149" s="210"/>
      <c r="AH149" s="219"/>
      <c r="AI149" s="219"/>
      <c r="AJ149" s="210"/>
      <c r="AK149" s="210"/>
      <c r="AL149" s="210"/>
      <c r="AM149" s="210"/>
      <c r="AN149" s="210"/>
      <c r="AO149" s="210"/>
      <c r="AP149" s="210"/>
      <c r="AQ149" s="210"/>
      <c r="AR149" s="210"/>
      <c r="AS149" s="210"/>
    </row>
    <row r="150" spans="1:45" ht="13.5" customHeight="1">
      <c r="A150" s="210"/>
      <c r="B150" s="210"/>
      <c r="C150" s="210"/>
      <c r="D150" s="210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/>
      <c r="AE150" s="210"/>
      <c r="AF150" s="210"/>
      <c r="AG150" s="210"/>
      <c r="AH150" s="219"/>
      <c r="AI150" s="219"/>
      <c r="AJ150" s="210"/>
      <c r="AK150" s="210"/>
      <c r="AL150" s="210"/>
      <c r="AM150" s="210"/>
      <c r="AN150" s="210"/>
      <c r="AO150" s="210"/>
      <c r="AP150" s="210"/>
      <c r="AQ150" s="210"/>
      <c r="AR150" s="210"/>
      <c r="AS150" s="210"/>
    </row>
    <row r="151" spans="1:45" ht="13.5" customHeight="1">
      <c r="A151" s="210"/>
      <c r="B151" s="210"/>
      <c r="C151" s="210"/>
      <c r="D151" s="210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/>
      <c r="AE151" s="210"/>
      <c r="AF151" s="210"/>
      <c r="AG151" s="210"/>
      <c r="AH151" s="219"/>
      <c r="AI151" s="219"/>
      <c r="AJ151" s="210"/>
      <c r="AK151" s="210"/>
      <c r="AL151" s="210"/>
      <c r="AM151" s="210"/>
      <c r="AN151" s="210"/>
      <c r="AO151" s="210"/>
      <c r="AP151" s="210"/>
      <c r="AQ151" s="210"/>
      <c r="AR151" s="210"/>
      <c r="AS151" s="210"/>
    </row>
    <row r="152" spans="1:45" ht="13.5" customHeight="1">
      <c r="A152" s="210"/>
      <c r="B152" s="210"/>
      <c r="C152" s="210"/>
      <c r="D152" s="210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  <c r="AD152" s="210"/>
      <c r="AE152" s="210"/>
      <c r="AF152" s="210"/>
      <c r="AG152" s="210"/>
      <c r="AH152" s="219"/>
      <c r="AI152" s="219"/>
      <c r="AJ152" s="210"/>
      <c r="AK152" s="210"/>
      <c r="AL152" s="210"/>
      <c r="AM152" s="210"/>
      <c r="AN152" s="210"/>
      <c r="AO152" s="210"/>
      <c r="AP152" s="210"/>
      <c r="AQ152" s="210"/>
      <c r="AR152" s="210"/>
      <c r="AS152" s="210"/>
    </row>
    <row r="153" spans="1:45" ht="13.5" customHeight="1">
      <c r="A153" s="210"/>
      <c r="B153" s="210"/>
      <c r="C153" s="210"/>
      <c r="D153" s="210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/>
      <c r="AE153" s="210"/>
      <c r="AF153" s="210"/>
      <c r="AG153" s="210"/>
      <c r="AH153" s="219"/>
      <c r="AI153" s="219"/>
      <c r="AJ153" s="210"/>
      <c r="AK153" s="210"/>
      <c r="AL153" s="210"/>
      <c r="AM153" s="210"/>
      <c r="AN153" s="210"/>
      <c r="AO153" s="210"/>
      <c r="AP153" s="210"/>
      <c r="AQ153" s="210"/>
      <c r="AR153" s="210"/>
      <c r="AS153" s="210"/>
    </row>
    <row r="154" spans="1:45" ht="13.5" customHeight="1">
      <c r="A154" s="210"/>
      <c r="B154" s="210"/>
      <c r="C154" s="210"/>
      <c r="D154" s="210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0"/>
      <c r="AE154" s="210"/>
      <c r="AF154" s="210"/>
      <c r="AG154" s="210"/>
      <c r="AH154" s="219"/>
      <c r="AI154" s="219"/>
      <c r="AJ154" s="210"/>
      <c r="AK154" s="210"/>
      <c r="AL154" s="210"/>
      <c r="AM154" s="210"/>
      <c r="AN154" s="210"/>
      <c r="AO154" s="210"/>
      <c r="AP154" s="210"/>
      <c r="AQ154" s="210"/>
      <c r="AR154" s="210"/>
      <c r="AS154" s="210"/>
    </row>
    <row r="155" spans="1:45" ht="13.5" customHeight="1">
      <c r="A155" s="210"/>
      <c r="B155" s="210"/>
      <c r="C155" s="210"/>
      <c r="D155" s="210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/>
      <c r="AG155" s="210"/>
      <c r="AH155" s="219"/>
      <c r="AI155" s="219"/>
      <c r="AJ155" s="210"/>
      <c r="AK155" s="210"/>
      <c r="AL155" s="210"/>
      <c r="AM155" s="210"/>
      <c r="AN155" s="210"/>
      <c r="AO155" s="210"/>
      <c r="AP155" s="210"/>
      <c r="AQ155" s="210"/>
      <c r="AR155" s="210"/>
      <c r="AS155" s="210"/>
    </row>
    <row r="156" spans="1:45" ht="13.5" customHeight="1">
      <c r="A156" s="210"/>
      <c r="B156" s="210"/>
      <c r="C156" s="210"/>
      <c r="D156" s="210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/>
      <c r="AE156" s="210"/>
      <c r="AF156" s="210"/>
      <c r="AG156" s="210"/>
      <c r="AH156" s="219"/>
      <c r="AI156" s="219"/>
      <c r="AJ156" s="210"/>
      <c r="AK156" s="210"/>
      <c r="AL156" s="210"/>
      <c r="AM156" s="210"/>
      <c r="AN156" s="210"/>
      <c r="AO156" s="210"/>
      <c r="AP156" s="210"/>
      <c r="AQ156" s="210"/>
      <c r="AR156" s="210"/>
      <c r="AS156" s="210"/>
    </row>
    <row r="157" spans="1:45" ht="13.5" customHeight="1">
      <c r="A157" s="210"/>
      <c r="B157" s="210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  <c r="AG157" s="210"/>
      <c r="AH157" s="219"/>
      <c r="AI157" s="219"/>
      <c r="AJ157" s="210"/>
      <c r="AK157" s="210"/>
      <c r="AL157" s="210"/>
      <c r="AM157" s="210"/>
      <c r="AN157" s="210"/>
      <c r="AO157" s="210"/>
      <c r="AP157" s="210"/>
      <c r="AQ157" s="210"/>
      <c r="AR157" s="210"/>
      <c r="AS157" s="210"/>
    </row>
    <row r="158" spans="1:45" ht="13.5" customHeight="1">
      <c r="A158" s="210"/>
      <c r="B158" s="210"/>
      <c r="C158" s="210"/>
      <c r="D158" s="210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0"/>
      <c r="AE158" s="210"/>
      <c r="AF158" s="210"/>
      <c r="AG158" s="210"/>
      <c r="AH158" s="219"/>
      <c r="AI158" s="219"/>
      <c r="AJ158" s="210"/>
      <c r="AK158" s="210"/>
      <c r="AL158" s="210"/>
      <c r="AM158" s="210"/>
      <c r="AN158" s="210"/>
      <c r="AO158" s="210"/>
      <c r="AP158" s="210"/>
      <c r="AQ158" s="210"/>
      <c r="AR158" s="210"/>
      <c r="AS158" s="210"/>
    </row>
    <row r="159" spans="1:45" ht="13.5" customHeight="1">
      <c r="A159" s="210"/>
      <c r="B159" s="210"/>
      <c r="C159" s="210"/>
      <c r="D159" s="210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/>
      <c r="AG159" s="210"/>
      <c r="AH159" s="219"/>
      <c r="AI159" s="219"/>
      <c r="AJ159" s="210"/>
      <c r="AK159" s="210"/>
      <c r="AL159" s="210"/>
      <c r="AM159" s="210"/>
      <c r="AN159" s="210"/>
      <c r="AO159" s="210"/>
      <c r="AP159" s="210"/>
      <c r="AQ159" s="210"/>
      <c r="AR159" s="210"/>
      <c r="AS159" s="210"/>
    </row>
    <row r="160" spans="1:45" ht="13.5" customHeight="1">
      <c r="A160" s="210"/>
      <c r="B160" s="210"/>
      <c r="C160" s="210"/>
      <c r="D160" s="210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0"/>
      <c r="AE160" s="210"/>
      <c r="AF160" s="210"/>
      <c r="AG160" s="210"/>
      <c r="AH160" s="219"/>
      <c r="AI160" s="219"/>
      <c r="AJ160" s="210"/>
      <c r="AK160" s="210"/>
      <c r="AL160" s="210"/>
      <c r="AM160" s="210"/>
      <c r="AN160" s="210"/>
      <c r="AO160" s="210"/>
      <c r="AP160" s="210"/>
      <c r="AQ160" s="210"/>
      <c r="AR160" s="210"/>
      <c r="AS160" s="210"/>
    </row>
    <row r="161" spans="1:45" ht="13.5" customHeight="1">
      <c r="A161" s="210"/>
      <c r="B161" s="210"/>
      <c r="C161" s="210"/>
      <c r="D161" s="210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/>
      <c r="AE161" s="210"/>
      <c r="AF161" s="210"/>
      <c r="AG161" s="210"/>
      <c r="AH161" s="219"/>
      <c r="AI161" s="219"/>
      <c r="AJ161" s="210"/>
      <c r="AK161" s="210"/>
      <c r="AL161" s="210"/>
      <c r="AM161" s="210"/>
      <c r="AN161" s="210"/>
      <c r="AO161" s="210"/>
      <c r="AP161" s="210"/>
      <c r="AQ161" s="210"/>
      <c r="AR161" s="210"/>
      <c r="AS161" s="210"/>
    </row>
    <row r="162" spans="1:45" ht="13.5" customHeight="1">
      <c r="A162" s="210"/>
      <c r="B162" s="210"/>
      <c r="C162" s="210"/>
      <c r="D162" s="210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  <c r="AD162" s="210"/>
      <c r="AE162" s="210"/>
      <c r="AF162" s="210"/>
      <c r="AG162" s="210"/>
      <c r="AH162" s="219"/>
      <c r="AI162" s="219"/>
      <c r="AJ162" s="210"/>
      <c r="AK162" s="210"/>
      <c r="AL162" s="210"/>
      <c r="AM162" s="210"/>
      <c r="AN162" s="210"/>
      <c r="AO162" s="210"/>
      <c r="AP162" s="210"/>
      <c r="AQ162" s="210"/>
      <c r="AR162" s="210"/>
      <c r="AS162" s="210"/>
    </row>
    <row r="163" spans="1:45" ht="13.5" customHeight="1">
      <c r="A163" s="210"/>
      <c r="B163" s="210"/>
      <c r="C163" s="210"/>
      <c r="D163" s="210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0"/>
      <c r="AE163" s="210"/>
      <c r="AF163" s="210"/>
      <c r="AG163" s="210"/>
      <c r="AH163" s="219"/>
      <c r="AI163" s="219"/>
      <c r="AJ163" s="210"/>
      <c r="AK163" s="210"/>
      <c r="AL163" s="210"/>
      <c r="AM163" s="210"/>
      <c r="AN163" s="210"/>
      <c r="AO163" s="210"/>
      <c r="AP163" s="210"/>
      <c r="AQ163" s="210"/>
      <c r="AR163" s="210"/>
      <c r="AS163" s="210"/>
    </row>
    <row r="164" spans="1:45" ht="13.5" customHeight="1">
      <c r="A164" s="210"/>
      <c r="B164" s="210"/>
      <c r="C164" s="210"/>
      <c r="D164" s="210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  <c r="AD164" s="210"/>
      <c r="AE164" s="210"/>
      <c r="AF164" s="210"/>
      <c r="AG164" s="210"/>
      <c r="AH164" s="219"/>
      <c r="AI164" s="219"/>
      <c r="AJ164" s="210"/>
      <c r="AK164" s="210"/>
      <c r="AL164" s="210"/>
      <c r="AM164" s="210"/>
      <c r="AN164" s="210"/>
      <c r="AO164" s="210"/>
      <c r="AP164" s="210"/>
      <c r="AQ164" s="210"/>
      <c r="AR164" s="210"/>
      <c r="AS164" s="210"/>
    </row>
    <row r="165" spans="1:45" ht="13.5" customHeight="1">
      <c r="A165" s="210"/>
      <c r="B165" s="210"/>
      <c r="C165" s="210"/>
      <c r="D165" s="210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  <c r="AD165" s="210"/>
      <c r="AE165" s="210"/>
      <c r="AF165" s="210"/>
      <c r="AG165" s="210"/>
      <c r="AH165" s="219"/>
      <c r="AI165" s="219"/>
      <c r="AJ165" s="210"/>
      <c r="AK165" s="210"/>
      <c r="AL165" s="210"/>
      <c r="AM165" s="210"/>
      <c r="AN165" s="210"/>
      <c r="AO165" s="210"/>
      <c r="AP165" s="210"/>
      <c r="AQ165" s="210"/>
      <c r="AR165" s="210"/>
      <c r="AS165" s="210"/>
    </row>
    <row r="166" spans="1:45" ht="13.5" customHeight="1">
      <c r="A166" s="210"/>
      <c r="B166" s="210"/>
      <c r="C166" s="210"/>
      <c r="D166" s="210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  <c r="AD166" s="210"/>
      <c r="AE166" s="210"/>
      <c r="AF166" s="210"/>
      <c r="AG166" s="210"/>
      <c r="AH166" s="219"/>
      <c r="AI166" s="219"/>
      <c r="AJ166" s="210"/>
      <c r="AK166" s="210"/>
      <c r="AL166" s="210"/>
      <c r="AM166" s="210"/>
      <c r="AN166" s="210"/>
      <c r="AO166" s="210"/>
      <c r="AP166" s="210"/>
      <c r="AQ166" s="210"/>
      <c r="AR166" s="210"/>
      <c r="AS166" s="210"/>
    </row>
    <row r="167" spans="1:45" ht="13.5" customHeight="1">
      <c r="A167" s="210"/>
      <c r="B167" s="210"/>
      <c r="C167" s="210"/>
      <c r="D167" s="210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0"/>
      <c r="AE167" s="210"/>
      <c r="AF167" s="210"/>
      <c r="AG167" s="210"/>
      <c r="AH167" s="219"/>
      <c r="AI167" s="219"/>
      <c r="AJ167" s="210"/>
      <c r="AK167" s="210"/>
      <c r="AL167" s="210"/>
      <c r="AM167" s="210"/>
      <c r="AN167" s="210"/>
      <c r="AO167" s="210"/>
      <c r="AP167" s="210"/>
      <c r="AQ167" s="210"/>
      <c r="AR167" s="210"/>
      <c r="AS167" s="210"/>
    </row>
    <row r="168" spans="1:45" ht="13.5" customHeight="1">
      <c r="A168" s="210"/>
      <c r="B168" s="210"/>
      <c r="C168" s="210"/>
      <c r="D168" s="210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  <c r="AD168" s="210"/>
      <c r="AE168" s="210"/>
      <c r="AF168" s="210"/>
      <c r="AG168" s="210"/>
      <c r="AH168" s="219"/>
      <c r="AI168" s="219"/>
      <c r="AJ168" s="210"/>
      <c r="AK168" s="210"/>
      <c r="AL168" s="210"/>
      <c r="AM168" s="210"/>
      <c r="AN168" s="210"/>
      <c r="AO168" s="210"/>
      <c r="AP168" s="210"/>
      <c r="AQ168" s="210"/>
      <c r="AR168" s="210"/>
      <c r="AS168" s="210"/>
    </row>
    <row r="169" spans="1:45" ht="13.5" customHeight="1">
      <c r="A169" s="210"/>
      <c r="B169" s="210"/>
      <c r="C169" s="210"/>
      <c r="D169" s="210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/>
      <c r="AG169" s="210"/>
      <c r="AH169" s="219"/>
      <c r="AI169" s="219"/>
      <c r="AJ169" s="210"/>
      <c r="AK169" s="210"/>
      <c r="AL169" s="210"/>
      <c r="AM169" s="210"/>
      <c r="AN169" s="210"/>
      <c r="AO169" s="210"/>
      <c r="AP169" s="210"/>
      <c r="AQ169" s="210"/>
      <c r="AR169" s="210"/>
      <c r="AS169" s="210"/>
    </row>
    <row r="170" spans="1:45" ht="13.5" customHeight="1">
      <c r="A170" s="210"/>
      <c r="B170" s="210"/>
      <c r="C170" s="210"/>
      <c r="D170" s="210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0"/>
      <c r="AE170" s="210"/>
      <c r="AF170" s="210"/>
      <c r="AG170" s="210"/>
      <c r="AH170" s="219"/>
      <c r="AI170" s="219"/>
      <c r="AJ170" s="210"/>
      <c r="AK170" s="210"/>
      <c r="AL170" s="210"/>
      <c r="AM170" s="210"/>
      <c r="AN170" s="210"/>
      <c r="AO170" s="210"/>
      <c r="AP170" s="210"/>
      <c r="AQ170" s="210"/>
      <c r="AR170" s="210"/>
      <c r="AS170" s="210"/>
    </row>
    <row r="171" spans="1:45" ht="13.5" customHeight="1">
      <c r="A171" s="210"/>
      <c r="B171" s="210"/>
      <c r="C171" s="210"/>
      <c r="D171" s="210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/>
      <c r="AE171" s="210"/>
      <c r="AF171" s="210"/>
      <c r="AG171" s="210"/>
      <c r="AH171" s="219"/>
      <c r="AI171" s="219"/>
      <c r="AJ171" s="210"/>
      <c r="AK171" s="210"/>
      <c r="AL171" s="210"/>
      <c r="AM171" s="210"/>
      <c r="AN171" s="210"/>
      <c r="AO171" s="210"/>
      <c r="AP171" s="210"/>
      <c r="AQ171" s="210"/>
      <c r="AR171" s="210"/>
      <c r="AS171" s="210"/>
    </row>
    <row r="172" spans="1:45" ht="13.5" customHeight="1">
      <c r="A172" s="210"/>
      <c r="B172" s="210"/>
      <c r="C172" s="210"/>
      <c r="D172" s="210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/>
      <c r="AE172" s="210"/>
      <c r="AF172" s="210"/>
      <c r="AG172" s="210"/>
      <c r="AH172" s="219"/>
      <c r="AI172" s="219"/>
      <c r="AJ172" s="210"/>
      <c r="AK172" s="210"/>
      <c r="AL172" s="210"/>
      <c r="AM172" s="210"/>
      <c r="AN172" s="210"/>
      <c r="AO172" s="210"/>
      <c r="AP172" s="210"/>
      <c r="AQ172" s="210"/>
      <c r="AR172" s="210"/>
      <c r="AS172" s="210"/>
    </row>
    <row r="173" spans="1:45" ht="13.5" customHeight="1">
      <c r="A173" s="210"/>
      <c r="B173" s="210"/>
      <c r="C173" s="210"/>
      <c r="D173" s="210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0"/>
      <c r="AE173" s="210"/>
      <c r="AF173" s="210"/>
      <c r="AG173" s="210"/>
      <c r="AH173" s="219"/>
      <c r="AI173" s="219"/>
      <c r="AJ173" s="210"/>
      <c r="AK173" s="210"/>
      <c r="AL173" s="210"/>
      <c r="AM173" s="210"/>
      <c r="AN173" s="210"/>
      <c r="AO173" s="210"/>
      <c r="AP173" s="210"/>
      <c r="AQ173" s="210"/>
      <c r="AR173" s="210"/>
      <c r="AS173" s="210"/>
    </row>
    <row r="174" spans="1:45" ht="13.5" customHeight="1">
      <c r="A174" s="210"/>
      <c r="B174" s="210"/>
      <c r="C174" s="210"/>
      <c r="D174" s="210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  <c r="AA174" s="210"/>
      <c r="AB174" s="210"/>
      <c r="AC174" s="210"/>
      <c r="AD174" s="210"/>
      <c r="AE174" s="210"/>
      <c r="AF174" s="210"/>
      <c r="AG174" s="210"/>
      <c r="AH174" s="219"/>
      <c r="AI174" s="219"/>
      <c r="AJ174" s="210"/>
      <c r="AK174" s="210"/>
      <c r="AL174" s="210"/>
      <c r="AM174" s="210"/>
      <c r="AN174" s="210"/>
      <c r="AO174" s="210"/>
      <c r="AP174" s="210"/>
      <c r="AQ174" s="210"/>
      <c r="AR174" s="210"/>
      <c r="AS174" s="210"/>
    </row>
    <row r="175" spans="1:45" ht="13.5" customHeight="1">
      <c r="A175" s="210"/>
      <c r="B175" s="210"/>
      <c r="C175" s="210"/>
      <c r="D175" s="210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  <c r="AA175" s="210"/>
      <c r="AB175" s="210"/>
      <c r="AC175" s="210"/>
      <c r="AD175" s="210"/>
      <c r="AE175" s="210"/>
      <c r="AF175" s="210"/>
      <c r="AG175" s="210"/>
      <c r="AH175" s="219"/>
      <c r="AI175" s="219"/>
      <c r="AJ175" s="210"/>
      <c r="AK175" s="210"/>
      <c r="AL175" s="210"/>
      <c r="AM175" s="210"/>
      <c r="AN175" s="210"/>
      <c r="AO175" s="210"/>
      <c r="AP175" s="210"/>
      <c r="AQ175" s="210"/>
      <c r="AR175" s="210"/>
      <c r="AS175" s="210"/>
    </row>
    <row r="176" spans="1:45" ht="13.5" customHeight="1">
      <c r="A176" s="210"/>
      <c r="B176" s="210"/>
      <c r="C176" s="210"/>
      <c r="D176" s="210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  <c r="AA176" s="210"/>
      <c r="AB176" s="210"/>
      <c r="AC176" s="210"/>
      <c r="AD176" s="210"/>
      <c r="AE176" s="210"/>
      <c r="AF176" s="210"/>
      <c r="AG176" s="210"/>
      <c r="AH176" s="219"/>
      <c r="AI176" s="219"/>
      <c r="AJ176" s="210"/>
      <c r="AK176" s="210"/>
      <c r="AL176" s="210"/>
      <c r="AM176" s="210"/>
      <c r="AN176" s="210"/>
      <c r="AO176" s="210"/>
      <c r="AP176" s="210"/>
      <c r="AQ176" s="210"/>
      <c r="AR176" s="210"/>
      <c r="AS176" s="210"/>
    </row>
    <row r="177" spans="1:45" ht="13.5" customHeight="1">
      <c r="A177" s="210"/>
      <c r="B177" s="210"/>
      <c r="C177" s="210"/>
      <c r="D177" s="210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  <c r="AA177" s="210"/>
      <c r="AB177" s="210"/>
      <c r="AC177" s="210"/>
      <c r="AD177" s="210"/>
      <c r="AE177" s="210"/>
      <c r="AF177" s="210"/>
      <c r="AG177" s="210"/>
      <c r="AH177" s="219"/>
      <c r="AI177" s="219"/>
      <c r="AJ177" s="210"/>
      <c r="AK177" s="210"/>
      <c r="AL177" s="210"/>
      <c r="AM177" s="210"/>
      <c r="AN177" s="210"/>
      <c r="AO177" s="210"/>
      <c r="AP177" s="210"/>
      <c r="AQ177" s="210"/>
      <c r="AR177" s="210"/>
      <c r="AS177" s="210"/>
    </row>
    <row r="178" spans="1:45" ht="13.5" customHeight="1">
      <c r="A178" s="210"/>
      <c r="B178" s="210"/>
      <c r="C178" s="210"/>
      <c r="D178" s="210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  <c r="AA178" s="210"/>
      <c r="AB178" s="210"/>
      <c r="AC178" s="210"/>
      <c r="AD178" s="210"/>
      <c r="AE178" s="210"/>
      <c r="AF178" s="210"/>
      <c r="AG178" s="210"/>
      <c r="AH178" s="219"/>
      <c r="AI178" s="219"/>
      <c r="AJ178" s="210"/>
      <c r="AK178" s="210"/>
      <c r="AL178" s="210"/>
      <c r="AM178" s="210"/>
      <c r="AN178" s="210"/>
      <c r="AO178" s="210"/>
      <c r="AP178" s="210"/>
      <c r="AQ178" s="210"/>
      <c r="AR178" s="210"/>
      <c r="AS178" s="210"/>
    </row>
    <row r="179" spans="1:45" ht="13.5" customHeight="1">
      <c r="A179" s="210"/>
      <c r="B179" s="210"/>
      <c r="C179" s="210"/>
      <c r="D179" s="210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  <c r="AA179" s="210"/>
      <c r="AB179" s="210"/>
      <c r="AC179" s="210"/>
      <c r="AD179" s="210"/>
      <c r="AE179" s="210"/>
      <c r="AF179" s="210"/>
      <c r="AG179" s="210"/>
      <c r="AH179" s="219"/>
      <c r="AI179" s="219"/>
      <c r="AJ179" s="210"/>
      <c r="AK179" s="210"/>
      <c r="AL179" s="210"/>
      <c r="AM179" s="210"/>
      <c r="AN179" s="210"/>
      <c r="AO179" s="210"/>
      <c r="AP179" s="210"/>
      <c r="AQ179" s="210"/>
      <c r="AR179" s="210"/>
      <c r="AS179" s="210"/>
    </row>
    <row r="180" spans="1:45" ht="13.5" customHeight="1">
      <c r="A180" s="210"/>
      <c r="B180" s="210"/>
      <c r="C180" s="210"/>
      <c r="D180" s="210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  <c r="AA180" s="210"/>
      <c r="AB180" s="210"/>
      <c r="AC180" s="210"/>
      <c r="AD180" s="210"/>
      <c r="AE180" s="210"/>
      <c r="AF180" s="210"/>
      <c r="AG180" s="210"/>
      <c r="AH180" s="219"/>
      <c r="AI180" s="219"/>
      <c r="AJ180" s="210"/>
      <c r="AK180" s="210"/>
      <c r="AL180" s="210"/>
      <c r="AM180" s="210"/>
      <c r="AN180" s="210"/>
      <c r="AO180" s="210"/>
      <c r="AP180" s="210"/>
      <c r="AQ180" s="210"/>
      <c r="AR180" s="210"/>
      <c r="AS180" s="210"/>
    </row>
    <row r="181" spans="1:45" ht="13.5" customHeight="1">
      <c r="A181" s="210"/>
      <c r="B181" s="210"/>
      <c r="C181" s="210"/>
      <c r="D181" s="210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  <c r="AA181" s="210"/>
      <c r="AB181" s="210"/>
      <c r="AC181" s="210"/>
      <c r="AD181" s="210"/>
      <c r="AE181" s="210"/>
      <c r="AF181" s="210"/>
      <c r="AG181" s="210"/>
      <c r="AH181" s="219"/>
      <c r="AI181" s="219"/>
      <c r="AJ181" s="210"/>
      <c r="AK181" s="210"/>
      <c r="AL181" s="210"/>
      <c r="AM181" s="210"/>
      <c r="AN181" s="210"/>
      <c r="AO181" s="210"/>
      <c r="AP181" s="210"/>
      <c r="AQ181" s="210"/>
      <c r="AR181" s="210"/>
      <c r="AS181" s="210"/>
    </row>
    <row r="182" spans="1:45" ht="13.5" customHeight="1">
      <c r="A182" s="210"/>
      <c r="B182" s="210"/>
      <c r="C182" s="210"/>
      <c r="D182" s="210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  <c r="AA182" s="210"/>
      <c r="AB182" s="210"/>
      <c r="AC182" s="210"/>
      <c r="AD182" s="210"/>
      <c r="AE182" s="210"/>
      <c r="AF182" s="210"/>
      <c r="AG182" s="210"/>
      <c r="AH182" s="219"/>
      <c r="AI182" s="219"/>
      <c r="AJ182" s="210"/>
      <c r="AK182" s="210"/>
      <c r="AL182" s="210"/>
      <c r="AM182" s="210"/>
      <c r="AN182" s="210"/>
      <c r="AO182" s="210"/>
      <c r="AP182" s="210"/>
      <c r="AQ182" s="210"/>
      <c r="AR182" s="210"/>
      <c r="AS182" s="210"/>
    </row>
    <row r="183" spans="1:45" ht="13.5" customHeight="1">
      <c r="A183" s="210"/>
      <c r="B183" s="210"/>
      <c r="C183" s="210"/>
      <c r="D183" s="210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  <c r="AD183" s="210"/>
      <c r="AE183" s="210"/>
      <c r="AF183" s="210"/>
      <c r="AG183" s="210"/>
      <c r="AH183" s="219"/>
      <c r="AI183" s="219"/>
      <c r="AJ183" s="210"/>
      <c r="AK183" s="210"/>
      <c r="AL183" s="210"/>
      <c r="AM183" s="210"/>
      <c r="AN183" s="210"/>
      <c r="AO183" s="210"/>
      <c r="AP183" s="210"/>
      <c r="AQ183" s="210"/>
      <c r="AR183" s="210"/>
      <c r="AS183" s="210"/>
    </row>
    <row r="184" spans="1:45" ht="13.5" customHeight="1">
      <c r="A184" s="210"/>
      <c r="B184" s="210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  <c r="AA184" s="210"/>
      <c r="AB184" s="210"/>
      <c r="AC184" s="210"/>
      <c r="AD184" s="210"/>
      <c r="AE184" s="210"/>
      <c r="AF184" s="210"/>
      <c r="AG184" s="210"/>
      <c r="AH184" s="219"/>
      <c r="AI184" s="219"/>
      <c r="AJ184" s="210"/>
      <c r="AK184" s="210"/>
      <c r="AL184" s="210"/>
      <c r="AM184" s="210"/>
      <c r="AN184" s="210"/>
      <c r="AO184" s="210"/>
      <c r="AP184" s="210"/>
      <c r="AQ184" s="210"/>
      <c r="AR184" s="210"/>
      <c r="AS184" s="210"/>
    </row>
    <row r="185" spans="1:45" ht="13.5" customHeight="1">
      <c r="A185" s="210"/>
      <c r="B185" s="210"/>
      <c r="C185" s="210"/>
      <c r="D185" s="210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  <c r="AA185" s="210"/>
      <c r="AB185" s="210"/>
      <c r="AC185" s="210"/>
      <c r="AD185" s="210"/>
      <c r="AE185" s="210"/>
      <c r="AF185" s="210"/>
      <c r="AG185" s="210"/>
      <c r="AH185" s="219"/>
      <c r="AI185" s="219"/>
      <c r="AJ185" s="210"/>
      <c r="AK185" s="210"/>
      <c r="AL185" s="210"/>
      <c r="AM185" s="210"/>
      <c r="AN185" s="210"/>
      <c r="AO185" s="210"/>
      <c r="AP185" s="210"/>
      <c r="AQ185" s="210"/>
      <c r="AR185" s="210"/>
      <c r="AS185" s="210"/>
    </row>
    <row r="186" spans="1:45" ht="13.5" customHeight="1">
      <c r="A186" s="210"/>
      <c r="B186" s="210"/>
      <c r="C186" s="210"/>
      <c r="D186" s="210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  <c r="AA186" s="210"/>
      <c r="AB186" s="210"/>
      <c r="AC186" s="210"/>
      <c r="AD186" s="210"/>
      <c r="AE186" s="210"/>
      <c r="AF186" s="210"/>
      <c r="AG186" s="210"/>
      <c r="AH186" s="219"/>
      <c r="AI186" s="219"/>
      <c r="AJ186" s="210"/>
      <c r="AK186" s="210"/>
      <c r="AL186" s="210"/>
      <c r="AM186" s="210"/>
      <c r="AN186" s="210"/>
      <c r="AO186" s="210"/>
      <c r="AP186" s="210"/>
      <c r="AQ186" s="210"/>
      <c r="AR186" s="210"/>
      <c r="AS186" s="210"/>
    </row>
    <row r="187" spans="1:45" ht="13.5" customHeight="1">
      <c r="A187" s="210"/>
      <c r="B187" s="210"/>
      <c r="C187" s="210"/>
      <c r="D187" s="210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  <c r="AA187" s="210"/>
      <c r="AB187" s="210"/>
      <c r="AC187" s="210"/>
      <c r="AD187" s="210"/>
      <c r="AE187" s="210"/>
      <c r="AF187" s="210"/>
      <c r="AG187" s="210"/>
      <c r="AH187" s="219"/>
      <c r="AI187" s="219"/>
      <c r="AJ187" s="210"/>
      <c r="AK187" s="210"/>
      <c r="AL187" s="210"/>
      <c r="AM187" s="210"/>
      <c r="AN187" s="210"/>
      <c r="AO187" s="210"/>
      <c r="AP187" s="210"/>
      <c r="AQ187" s="210"/>
      <c r="AR187" s="210"/>
      <c r="AS187" s="210"/>
    </row>
    <row r="188" spans="1:45" ht="13.5" customHeight="1">
      <c r="A188" s="210"/>
      <c r="B188" s="210"/>
      <c r="C188" s="210"/>
      <c r="D188" s="210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  <c r="AA188" s="210"/>
      <c r="AB188" s="210"/>
      <c r="AC188" s="210"/>
      <c r="AD188" s="210"/>
      <c r="AE188" s="210"/>
      <c r="AF188" s="210"/>
      <c r="AG188" s="210"/>
      <c r="AH188" s="219"/>
      <c r="AI188" s="219"/>
      <c r="AJ188" s="210"/>
      <c r="AK188" s="210"/>
      <c r="AL188" s="210"/>
      <c r="AM188" s="210"/>
      <c r="AN188" s="210"/>
      <c r="AO188" s="210"/>
      <c r="AP188" s="210"/>
      <c r="AQ188" s="210"/>
      <c r="AR188" s="210"/>
      <c r="AS188" s="210"/>
    </row>
    <row r="189" spans="1:45" ht="13.5" customHeight="1">
      <c r="A189" s="210"/>
      <c r="B189" s="210"/>
      <c r="C189" s="210"/>
      <c r="D189" s="210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  <c r="AA189" s="210"/>
      <c r="AB189" s="210"/>
      <c r="AC189" s="210"/>
      <c r="AD189" s="210"/>
      <c r="AE189" s="210"/>
      <c r="AF189" s="210"/>
      <c r="AG189" s="210"/>
      <c r="AH189" s="219"/>
      <c r="AI189" s="219"/>
      <c r="AJ189" s="210"/>
      <c r="AK189" s="210"/>
      <c r="AL189" s="210"/>
      <c r="AM189" s="210"/>
      <c r="AN189" s="210"/>
      <c r="AO189" s="210"/>
      <c r="AP189" s="210"/>
      <c r="AQ189" s="210"/>
      <c r="AR189" s="210"/>
      <c r="AS189" s="210"/>
    </row>
    <row r="190" spans="1:45" ht="13.5" customHeight="1">
      <c r="A190" s="210"/>
      <c r="B190" s="210"/>
      <c r="C190" s="210"/>
      <c r="D190" s="210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  <c r="AA190" s="210"/>
      <c r="AB190" s="210"/>
      <c r="AC190" s="210"/>
      <c r="AD190" s="210"/>
      <c r="AE190" s="210"/>
      <c r="AF190" s="210"/>
      <c r="AG190" s="210"/>
      <c r="AH190" s="219"/>
      <c r="AI190" s="219"/>
      <c r="AJ190" s="210"/>
      <c r="AK190" s="210"/>
      <c r="AL190" s="210"/>
      <c r="AM190" s="210"/>
      <c r="AN190" s="210"/>
      <c r="AO190" s="210"/>
      <c r="AP190" s="210"/>
      <c r="AQ190" s="210"/>
      <c r="AR190" s="210"/>
      <c r="AS190" s="210"/>
    </row>
    <row r="191" spans="1:45" ht="13.5" customHeight="1">
      <c r="A191" s="210"/>
      <c r="B191" s="210"/>
      <c r="C191" s="210"/>
      <c r="D191" s="210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  <c r="AA191" s="210"/>
      <c r="AB191" s="210"/>
      <c r="AC191" s="210"/>
      <c r="AD191" s="210"/>
      <c r="AE191" s="210"/>
      <c r="AF191" s="210"/>
      <c r="AG191" s="210"/>
      <c r="AH191" s="219"/>
      <c r="AI191" s="219"/>
      <c r="AJ191" s="210"/>
      <c r="AK191" s="210"/>
      <c r="AL191" s="210"/>
      <c r="AM191" s="210"/>
      <c r="AN191" s="210"/>
      <c r="AO191" s="210"/>
      <c r="AP191" s="210"/>
      <c r="AQ191" s="210"/>
      <c r="AR191" s="210"/>
      <c r="AS191" s="210"/>
    </row>
    <row r="192" spans="1:45" ht="13.5" customHeight="1">
      <c r="A192" s="210"/>
      <c r="B192" s="210"/>
      <c r="C192" s="210"/>
      <c r="D192" s="210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  <c r="AA192" s="210"/>
      <c r="AB192" s="210"/>
      <c r="AC192" s="210"/>
      <c r="AD192" s="210"/>
      <c r="AE192" s="210"/>
      <c r="AF192" s="210"/>
      <c r="AG192" s="210"/>
      <c r="AH192" s="219"/>
      <c r="AI192" s="219"/>
      <c r="AJ192" s="210"/>
      <c r="AK192" s="210"/>
      <c r="AL192" s="210"/>
      <c r="AM192" s="210"/>
      <c r="AN192" s="210"/>
      <c r="AO192" s="210"/>
      <c r="AP192" s="210"/>
      <c r="AQ192" s="210"/>
      <c r="AR192" s="210"/>
      <c r="AS192" s="210"/>
    </row>
    <row r="193" spans="1:45" ht="13.5" customHeight="1">
      <c r="A193" s="210"/>
      <c r="B193" s="210"/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  <c r="AA193" s="210"/>
      <c r="AB193" s="210"/>
      <c r="AC193" s="210"/>
      <c r="AD193" s="210"/>
      <c r="AE193" s="210"/>
      <c r="AF193" s="210"/>
      <c r="AG193" s="210"/>
      <c r="AH193" s="219"/>
      <c r="AI193" s="219"/>
      <c r="AJ193" s="210"/>
      <c r="AK193" s="210"/>
      <c r="AL193" s="210"/>
      <c r="AM193" s="210"/>
      <c r="AN193" s="210"/>
      <c r="AO193" s="210"/>
      <c r="AP193" s="210"/>
      <c r="AQ193" s="210"/>
      <c r="AR193" s="210"/>
      <c r="AS193" s="210"/>
    </row>
    <row r="194" spans="1:45" ht="13.5" customHeight="1">
      <c r="A194" s="210"/>
      <c r="B194" s="210"/>
      <c r="C194" s="210"/>
      <c r="D194" s="210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  <c r="AA194" s="210"/>
      <c r="AB194" s="210"/>
      <c r="AC194" s="210"/>
      <c r="AD194" s="210"/>
      <c r="AE194" s="210"/>
      <c r="AF194" s="210"/>
      <c r="AG194" s="210"/>
      <c r="AH194" s="219"/>
      <c r="AI194" s="219"/>
      <c r="AJ194" s="210"/>
      <c r="AK194" s="210"/>
      <c r="AL194" s="210"/>
      <c r="AM194" s="210"/>
      <c r="AN194" s="210"/>
      <c r="AO194" s="210"/>
      <c r="AP194" s="210"/>
      <c r="AQ194" s="210"/>
      <c r="AR194" s="210"/>
      <c r="AS194" s="210"/>
    </row>
    <row r="195" spans="1:45" ht="13.5" customHeight="1">
      <c r="A195" s="210"/>
      <c r="B195" s="210"/>
      <c r="C195" s="210"/>
      <c r="D195" s="210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  <c r="AA195" s="210"/>
      <c r="AB195" s="210"/>
      <c r="AC195" s="210"/>
      <c r="AD195" s="210"/>
      <c r="AE195" s="210"/>
      <c r="AF195" s="210"/>
      <c r="AG195" s="210"/>
      <c r="AH195" s="219"/>
      <c r="AI195" s="219"/>
      <c r="AJ195" s="210"/>
      <c r="AK195" s="210"/>
      <c r="AL195" s="210"/>
      <c r="AM195" s="210"/>
      <c r="AN195" s="210"/>
      <c r="AO195" s="210"/>
      <c r="AP195" s="210"/>
      <c r="AQ195" s="210"/>
      <c r="AR195" s="210"/>
      <c r="AS195" s="210"/>
    </row>
    <row r="196" spans="1:45" ht="13.5" customHeight="1">
      <c r="A196" s="210"/>
      <c r="B196" s="210"/>
      <c r="C196" s="210"/>
      <c r="D196" s="210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  <c r="AA196" s="210"/>
      <c r="AB196" s="210"/>
      <c r="AC196" s="210"/>
      <c r="AD196" s="210"/>
      <c r="AE196" s="210"/>
      <c r="AF196" s="210"/>
      <c r="AG196" s="210"/>
      <c r="AH196" s="219"/>
      <c r="AI196" s="219"/>
      <c r="AJ196" s="210"/>
      <c r="AK196" s="210"/>
      <c r="AL196" s="210"/>
      <c r="AM196" s="210"/>
      <c r="AN196" s="210"/>
      <c r="AO196" s="210"/>
      <c r="AP196" s="210"/>
      <c r="AQ196" s="210"/>
      <c r="AR196" s="210"/>
      <c r="AS196" s="210"/>
    </row>
    <row r="197" spans="1:45" ht="13.5" customHeight="1">
      <c r="A197" s="210"/>
      <c r="B197" s="210"/>
      <c r="C197" s="210"/>
      <c r="D197" s="210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  <c r="AA197" s="210"/>
      <c r="AB197" s="210"/>
      <c r="AC197" s="210"/>
      <c r="AD197" s="210"/>
      <c r="AE197" s="210"/>
      <c r="AF197" s="210"/>
      <c r="AG197" s="210"/>
      <c r="AH197" s="219"/>
      <c r="AI197" s="219"/>
      <c r="AJ197" s="210"/>
      <c r="AK197" s="210"/>
      <c r="AL197" s="210"/>
      <c r="AM197" s="210"/>
      <c r="AN197" s="210"/>
      <c r="AO197" s="210"/>
      <c r="AP197" s="210"/>
      <c r="AQ197" s="210"/>
      <c r="AR197" s="210"/>
      <c r="AS197" s="210"/>
    </row>
    <row r="198" spans="1:45" ht="13.5" customHeight="1">
      <c r="A198" s="210"/>
      <c r="B198" s="210"/>
      <c r="C198" s="210"/>
      <c r="D198" s="210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  <c r="AA198" s="210"/>
      <c r="AB198" s="210"/>
      <c r="AC198" s="210"/>
      <c r="AD198" s="210"/>
      <c r="AE198" s="210"/>
      <c r="AF198" s="210"/>
      <c r="AG198" s="210"/>
      <c r="AH198" s="219"/>
      <c r="AI198" s="219"/>
      <c r="AJ198" s="210"/>
      <c r="AK198" s="210"/>
      <c r="AL198" s="210"/>
      <c r="AM198" s="210"/>
      <c r="AN198" s="210"/>
      <c r="AO198" s="210"/>
      <c r="AP198" s="210"/>
      <c r="AQ198" s="210"/>
      <c r="AR198" s="210"/>
      <c r="AS198" s="210"/>
    </row>
    <row r="199" spans="1:45" ht="13.5" customHeight="1">
      <c r="A199" s="210"/>
      <c r="B199" s="210"/>
      <c r="C199" s="210"/>
      <c r="D199" s="210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  <c r="AA199" s="210"/>
      <c r="AB199" s="210"/>
      <c r="AC199" s="210"/>
      <c r="AD199" s="210"/>
      <c r="AE199" s="210"/>
      <c r="AF199" s="210"/>
      <c r="AG199" s="210"/>
      <c r="AH199" s="219"/>
      <c r="AI199" s="219"/>
      <c r="AJ199" s="210"/>
      <c r="AK199" s="210"/>
      <c r="AL199" s="210"/>
      <c r="AM199" s="210"/>
      <c r="AN199" s="210"/>
      <c r="AO199" s="210"/>
      <c r="AP199" s="210"/>
      <c r="AQ199" s="210"/>
      <c r="AR199" s="210"/>
      <c r="AS199" s="210"/>
    </row>
    <row r="200" spans="1:45" ht="13.5" customHeight="1">
      <c r="A200" s="210"/>
      <c r="B200" s="210"/>
      <c r="C200" s="210"/>
      <c r="D200" s="210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  <c r="AA200" s="210"/>
      <c r="AB200" s="210"/>
      <c r="AC200" s="210"/>
      <c r="AD200" s="210"/>
      <c r="AE200" s="210"/>
      <c r="AF200" s="210"/>
      <c r="AG200" s="210"/>
      <c r="AH200" s="219"/>
      <c r="AI200" s="219"/>
      <c r="AJ200" s="210"/>
      <c r="AK200" s="210"/>
      <c r="AL200" s="210"/>
      <c r="AM200" s="210"/>
      <c r="AN200" s="210"/>
      <c r="AO200" s="210"/>
      <c r="AP200" s="210"/>
      <c r="AQ200" s="210"/>
      <c r="AR200" s="210"/>
      <c r="AS200" s="210"/>
    </row>
    <row r="201" spans="1:45" ht="13.5" customHeight="1">
      <c r="A201" s="210"/>
      <c r="B201" s="210"/>
      <c r="C201" s="210"/>
      <c r="D201" s="210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  <c r="AA201" s="210"/>
      <c r="AB201" s="210"/>
      <c r="AC201" s="210"/>
      <c r="AD201" s="210"/>
      <c r="AE201" s="210"/>
      <c r="AF201" s="210"/>
      <c r="AG201" s="210"/>
      <c r="AH201" s="219"/>
      <c r="AI201" s="219"/>
      <c r="AJ201" s="210"/>
      <c r="AK201" s="210"/>
      <c r="AL201" s="210"/>
      <c r="AM201" s="210"/>
      <c r="AN201" s="210"/>
      <c r="AO201" s="210"/>
      <c r="AP201" s="210"/>
      <c r="AQ201" s="210"/>
      <c r="AR201" s="210"/>
      <c r="AS201" s="210"/>
    </row>
    <row r="202" spans="1:45" ht="13.5" customHeight="1">
      <c r="A202" s="210"/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  <c r="AA202" s="210"/>
      <c r="AB202" s="210"/>
      <c r="AC202" s="210"/>
      <c r="AD202" s="210"/>
      <c r="AE202" s="210"/>
      <c r="AF202" s="210"/>
      <c r="AG202" s="210"/>
      <c r="AH202" s="219"/>
      <c r="AI202" s="219"/>
      <c r="AJ202" s="210"/>
      <c r="AK202" s="210"/>
      <c r="AL202" s="210"/>
      <c r="AM202" s="210"/>
      <c r="AN202" s="210"/>
      <c r="AO202" s="210"/>
      <c r="AP202" s="210"/>
      <c r="AQ202" s="210"/>
      <c r="AR202" s="210"/>
      <c r="AS202" s="210"/>
    </row>
    <row r="203" spans="1:45" ht="13.5" customHeight="1">
      <c r="A203" s="210"/>
      <c r="B203" s="210"/>
      <c r="C203" s="210"/>
      <c r="D203" s="210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  <c r="AA203" s="210"/>
      <c r="AB203" s="210"/>
      <c r="AC203" s="210"/>
      <c r="AD203" s="210"/>
      <c r="AE203" s="210"/>
      <c r="AF203" s="210"/>
      <c r="AG203" s="210"/>
      <c r="AH203" s="219"/>
      <c r="AI203" s="219"/>
      <c r="AJ203" s="210"/>
      <c r="AK203" s="210"/>
      <c r="AL203" s="210"/>
      <c r="AM203" s="210"/>
      <c r="AN203" s="210"/>
      <c r="AO203" s="210"/>
      <c r="AP203" s="210"/>
      <c r="AQ203" s="210"/>
      <c r="AR203" s="210"/>
      <c r="AS203" s="210"/>
    </row>
    <row r="204" spans="1:45" ht="13.5" customHeight="1">
      <c r="A204" s="210"/>
      <c r="B204" s="210"/>
      <c r="C204" s="210"/>
      <c r="D204" s="210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  <c r="AA204" s="210"/>
      <c r="AB204" s="210"/>
      <c r="AC204" s="210"/>
      <c r="AD204" s="210"/>
      <c r="AE204" s="210"/>
      <c r="AF204" s="210"/>
      <c r="AG204" s="210"/>
      <c r="AH204" s="219"/>
      <c r="AI204" s="219"/>
      <c r="AJ204" s="210"/>
      <c r="AK204" s="210"/>
      <c r="AL204" s="210"/>
      <c r="AM204" s="210"/>
      <c r="AN204" s="210"/>
      <c r="AO204" s="210"/>
      <c r="AP204" s="210"/>
      <c r="AQ204" s="210"/>
      <c r="AR204" s="210"/>
      <c r="AS204" s="210"/>
    </row>
    <row r="205" spans="1:45" ht="13.5" customHeight="1">
      <c r="A205" s="210"/>
      <c r="B205" s="210"/>
      <c r="C205" s="210"/>
      <c r="D205" s="210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  <c r="AA205" s="210"/>
      <c r="AB205" s="210"/>
      <c r="AC205" s="210"/>
      <c r="AD205" s="210"/>
      <c r="AE205" s="210"/>
      <c r="AF205" s="210"/>
      <c r="AG205" s="210"/>
      <c r="AH205" s="219"/>
      <c r="AI205" s="219"/>
      <c r="AJ205" s="210"/>
      <c r="AK205" s="210"/>
      <c r="AL205" s="210"/>
      <c r="AM205" s="210"/>
      <c r="AN205" s="210"/>
      <c r="AO205" s="210"/>
      <c r="AP205" s="210"/>
      <c r="AQ205" s="210"/>
      <c r="AR205" s="210"/>
      <c r="AS205" s="210"/>
    </row>
    <row r="206" spans="1:45" ht="13.5" customHeight="1">
      <c r="A206" s="210"/>
      <c r="B206" s="210"/>
      <c r="C206" s="210"/>
      <c r="D206" s="210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  <c r="AA206" s="210"/>
      <c r="AB206" s="210"/>
      <c r="AC206" s="210"/>
      <c r="AD206" s="210"/>
      <c r="AE206" s="210"/>
      <c r="AF206" s="210"/>
      <c r="AG206" s="210"/>
      <c r="AH206" s="219"/>
      <c r="AI206" s="219"/>
      <c r="AJ206" s="210"/>
      <c r="AK206" s="210"/>
      <c r="AL206" s="210"/>
      <c r="AM206" s="210"/>
      <c r="AN206" s="210"/>
      <c r="AO206" s="210"/>
      <c r="AP206" s="210"/>
      <c r="AQ206" s="210"/>
      <c r="AR206" s="210"/>
      <c r="AS206" s="210"/>
    </row>
    <row r="207" spans="1:45" ht="13.5" customHeight="1">
      <c r="A207" s="210"/>
      <c r="B207" s="210"/>
      <c r="C207" s="210"/>
      <c r="D207" s="210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  <c r="AA207" s="210"/>
      <c r="AB207" s="210"/>
      <c r="AC207" s="210"/>
      <c r="AD207" s="210"/>
      <c r="AE207" s="210"/>
      <c r="AF207" s="210"/>
      <c r="AG207" s="210"/>
      <c r="AH207" s="219"/>
      <c r="AI207" s="219"/>
      <c r="AJ207" s="210"/>
      <c r="AK207" s="210"/>
      <c r="AL207" s="210"/>
      <c r="AM207" s="210"/>
      <c r="AN207" s="210"/>
      <c r="AO207" s="210"/>
      <c r="AP207" s="210"/>
      <c r="AQ207" s="210"/>
      <c r="AR207" s="210"/>
      <c r="AS207" s="210"/>
    </row>
    <row r="208" spans="1:45" ht="13.5" customHeight="1">
      <c r="A208" s="210"/>
      <c r="B208" s="210"/>
      <c r="C208" s="210"/>
      <c r="D208" s="210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  <c r="AA208" s="210"/>
      <c r="AB208" s="210"/>
      <c r="AC208" s="210"/>
      <c r="AD208" s="210"/>
      <c r="AE208" s="210"/>
      <c r="AF208" s="210"/>
      <c r="AG208" s="210"/>
      <c r="AH208" s="219"/>
      <c r="AI208" s="219"/>
      <c r="AJ208" s="210"/>
      <c r="AK208" s="210"/>
      <c r="AL208" s="210"/>
      <c r="AM208" s="210"/>
      <c r="AN208" s="210"/>
      <c r="AO208" s="210"/>
      <c r="AP208" s="210"/>
      <c r="AQ208" s="210"/>
      <c r="AR208" s="210"/>
      <c r="AS208" s="210"/>
    </row>
    <row r="209" spans="1:45" ht="13.5" customHeight="1">
      <c r="A209" s="210"/>
      <c r="B209" s="210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0"/>
      <c r="AG209" s="210"/>
      <c r="AH209" s="219"/>
      <c r="AI209" s="219"/>
      <c r="AJ209" s="210"/>
      <c r="AK209" s="210"/>
      <c r="AL209" s="210"/>
      <c r="AM209" s="210"/>
      <c r="AN209" s="210"/>
      <c r="AO209" s="210"/>
      <c r="AP209" s="210"/>
      <c r="AQ209" s="210"/>
      <c r="AR209" s="210"/>
      <c r="AS209" s="210"/>
    </row>
    <row r="210" spans="1:45" ht="13.5" customHeight="1">
      <c r="A210" s="210"/>
      <c r="B210" s="210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  <c r="AA210" s="210"/>
      <c r="AB210" s="210"/>
      <c r="AC210" s="210"/>
      <c r="AD210" s="210"/>
      <c r="AE210" s="210"/>
      <c r="AF210" s="210"/>
      <c r="AG210" s="210"/>
      <c r="AH210" s="219"/>
      <c r="AI210" s="219"/>
      <c r="AJ210" s="210"/>
      <c r="AK210" s="210"/>
      <c r="AL210" s="210"/>
      <c r="AM210" s="210"/>
      <c r="AN210" s="210"/>
      <c r="AO210" s="210"/>
      <c r="AP210" s="210"/>
      <c r="AQ210" s="210"/>
      <c r="AR210" s="210"/>
      <c r="AS210" s="210"/>
    </row>
    <row r="211" spans="1:45" ht="13.5" customHeight="1">
      <c r="A211" s="210"/>
      <c r="B211" s="210"/>
      <c r="C211" s="210"/>
      <c r="D211" s="210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  <c r="AA211" s="210"/>
      <c r="AB211" s="210"/>
      <c r="AC211" s="210"/>
      <c r="AD211" s="210"/>
      <c r="AE211" s="210"/>
      <c r="AF211" s="210"/>
      <c r="AG211" s="210"/>
      <c r="AH211" s="219"/>
      <c r="AI211" s="219"/>
      <c r="AJ211" s="210"/>
      <c r="AK211" s="210"/>
      <c r="AL211" s="210"/>
      <c r="AM211" s="210"/>
      <c r="AN211" s="210"/>
      <c r="AO211" s="210"/>
      <c r="AP211" s="210"/>
      <c r="AQ211" s="210"/>
      <c r="AR211" s="210"/>
      <c r="AS211" s="210"/>
    </row>
    <row r="212" spans="1:45" ht="13.5" customHeight="1">
      <c r="A212" s="210"/>
      <c r="B212" s="210"/>
      <c r="C212" s="210"/>
      <c r="D212" s="210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  <c r="AA212" s="210"/>
      <c r="AB212" s="210"/>
      <c r="AC212" s="210"/>
      <c r="AD212" s="210"/>
      <c r="AE212" s="210"/>
      <c r="AF212" s="210"/>
      <c r="AG212" s="210"/>
      <c r="AH212" s="219"/>
      <c r="AI212" s="219"/>
      <c r="AJ212" s="210"/>
      <c r="AK212" s="210"/>
      <c r="AL212" s="210"/>
      <c r="AM212" s="210"/>
      <c r="AN212" s="210"/>
      <c r="AO212" s="210"/>
      <c r="AP212" s="210"/>
      <c r="AQ212" s="210"/>
      <c r="AR212" s="210"/>
      <c r="AS212" s="210"/>
    </row>
    <row r="213" spans="1:45" ht="13.5" customHeight="1">
      <c r="A213" s="210"/>
      <c r="B213" s="210"/>
      <c r="C213" s="210"/>
      <c r="D213" s="210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  <c r="AA213" s="210"/>
      <c r="AB213" s="210"/>
      <c r="AC213" s="210"/>
      <c r="AD213" s="210"/>
      <c r="AE213" s="210"/>
      <c r="AF213" s="210"/>
      <c r="AG213" s="210"/>
      <c r="AH213" s="219"/>
      <c r="AI213" s="219"/>
      <c r="AJ213" s="210"/>
      <c r="AK213" s="210"/>
      <c r="AL213" s="210"/>
      <c r="AM213" s="210"/>
      <c r="AN213" s="210"/>
      <c r="AO213" s="210"/>
      <c r="AP213" s="210"/>
      <c r="AQ213" s="210"/>
      <c r="AR213" s="210"/>
      <c r="AS213" s="210"/>
    </row>
    <row r="214" spans="1:45" ht="13.5" customHeight="1">
      <c r="A214" s="210"/>
      <c r="B214" s="210"/>
      <c r="C214" s="210"/>
      <c r="D214" s="210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  <c r="AA214" s="210"/>
      <c r="AB214" s="210"/>
      <c r="AC214" s="210"/>
      <c r="AD214" s="210"/>
      <c r="AE214" s="210"/>
      <c r="AF214" s="210"/>
      <c r="AG214" s="210"/>
      <c r="AH214" s="219"/>
      <c r="AI214" s="219"/>
      <c r="AJ214" s="210"/>
      <c r="AK214" s="210"/>
      <c r="AL214" s="210"/>
      <c r="AM214" s="210"/>
      <c r="AN214" s="210"/>
      <c r="AO214" s="210"/>
      <c r="AP214" s="210"/>
      <c r="AQ214" s="210"/>
      <c r="AR214" s="210"/>
      <c r="AS214" s="210"/>
    </row>
    <row r="215" spans="1:45" ht="13.5" customHeight="1">
      <c r="A215" s="210"/>
      <c r="B215" s="210"/>
      <c r="C215" s="210"/>
      <c r="D215" s="210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  <c r="AA215" s="210"/>
      <c r="AB215" s="210"/>
      <c r="AC215" s="210"/>
      <c r="AD215" s="210"/>
      <c r="AE215" s="210"/>
      <c r="AF215" s="210"/>
      <c r="AG215" s="210"/>
      <c r="AH215" s="219"/>
      <c r="AI215" s="219"/>
      <c r="AJ215" s="210"/>
      <c r="AK215" s="210"/>
      <c r="AL215" s="210"/>
      <c r="AM215" s="210"/>
      <c r="AN215" s="210"/>
      <c r="AO215" s="210"/>
      <c r="AP215" s="210"/>
      <c r="AQ215" s="210"/>
      <c r="AR215" s="210"/>
      <c r="AS215" s="210"/>
    </row>
    <row r="216" spans="1:45" ht="13.5" customHeight="1">
      <c r="A216" s="210"/>
      <c r="B216" s="210"/>
      <c r="C216" s="210"/>
      <c r="D216" s="210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  <c r="AA216" s="210"/>
      <c r="AB216" s="210"/>
      <c r="AC216" s="210"/>
      <c r="AD216" s="210"/>
      <c r="AE216" s="210"/>
      <c r="AF216" s="210"/>
      <c r="AG216" s="210"/>
      <c r="AH216" s="219"/>
      <c r="AI216" s="219"/>
      <c r="AJ216" s="210"/>
      <c r="AK216" s="210"/>
      <c r="AL216" s="210"/>
      <c r="AM216" s="210"/>
      <c r="AN216" s="210"/>
      <c r="AO216" s="210"/>
      <c r="AP216" s="210"/>
      <c r="AQ216" s="210"/>
      <c r="AR216" s="210"/>
      <c r="AS216" s="210"/>
    </row>
    <row r="217" spans="1:45" ht="13.5" customHeight="1">
      <c r="A217" s="210"/>
      <c r="B217" s="210"/>
      <c r="C217" s="210"/>
      <c r="D217" s="210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  <c r="AA217" s="210"/>
      <c r="AB217" s="210"/>
      <c r="AC217" s="210"/>
      <c r="AD217" s="210"/>
      <c r="AE217" s="210"/>
      <c r="AF217" s="210"/>
      <c r="AG217" s="210"/>
      <c r="AH217" s="219"/>
      <c r="AI217" s="219"/>
      <c r="AJ217" s="210"/>
      <c r="AK217" s="210"/>
      <c r="AL217" s="210"/>
      <c r="AM217" s="210"/>
      <c r="AN217" s="210"/>
      <c r="AO217" s="210"/>
      <c r="AP217" s="210"/>
      <c r="AQ217" s="210"/>
      <c r="AR217" s="210"/>
      <c r="AS217" s="210"/>
    </row>
    <row r="218" spans="1:45" ht="13.5" customHeight="1">
      <c r="A218" s="210"/>
      <c r="B218" s="210"/>
      <c r="C218" s="210"/>
      <c r="D218" s="210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  <c r="AA218" s="210"/>
      <c r="AB218" s="210"/>
      <c r="AC218" s="210"/>
      <c r="AD218" s="210"/>
      <c r="AE218" s="210"/>
      <c r="AF218" s="210"/>
      <c r="AG218" s="210"/>
      <c r="AH218" s="219"/>
      <c r="AI218" s="219"/>
      <c r="AJ218" s="210"/>
      <c r="AK218" s="210"/>
      <c r="AL218" s="210"/>
      <c r="AM218" s="210"/>
      <c r="AN218" s="210"/>
      <c r="AO218" s="210"/>
      <c r="AP218" s="210"/>
      <c r="AQ218" s="210"/>
      <c r="AR218" s="210"/>
      <c r="AS218" s="210"/>
    </row>
    <row r="219" spans="1:45" ht="13.5" customHeight="1">
      <c r="A219" s="210"/>
      <c r="B219" s="210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  <c r="AA219" s="210"/>
      <c r="AB219" s="210"/>
      <c r="AC219" s="210"/>
      <c r="AD219" s="210"/>
      <c r="AE219" s="210"/>
      <c r="AF219" s="210"/>
      <c r="AG219" s="210"/>
      <c r="AH219" s="219"/>
      <c r="AI219" s="219"/>
      <c r="AJ219" s="210"/>
      <c r="AK219" s="210"/>
      <c r="AL219" s="210"/>
      <c r="AM219" s="210"/>
      <c r="AN219" s="210"/>
      <c r="AO219" s="210"/>
      <c r="AP219" s="210"/>
      <c r="AQ219" s="210"/>
      <c r="AR219" s="210"/>
      <c r="AS219" s="210"/>
    </row>
    <row r="220" spans="1:45" ht="13.5" customHeight="1">
      <c r="A220" s="210"/>
      <c r="B220" s="210"/>
      <c r="C220" s="210"/>
      <c r="D220" s="210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  <c r="AA220" s="210"/>
      <c r="AB220" s="210"/>
      <c r="AC220" s="210"/>
      <c r="AD220" s="210"/>
      <c r="AE220" s="210"/>
      <c r="AF220" s="210"/>
      <c r="AG220" s="210"/>
      <c r="AH220" s="219"/>
      <c r="AI220" s="219"/>
      <c r="AJ220" s="210"/>
      <c r="AK220" s="210"/>
      <c r="AL220" s="210"/>
      <c r="AM220" s="210"/>
      <c r="AN220" s="210"/>
      <c r="AO220" s="210"/>
      <c r="AP220" s="210"/>
      <c r="AQ220" s="210"/>
      <c r="AR220" s="210"/>
      <c r="AS220" s="210"/>
    </row>
    <row r="221" spans="1:45" ht="13.5" customHeight="1">
      <c r="A221" s="210"/>
      <c r="B221" s="210"/>
      <c r="C221" s="210"/>
      <c r="D221" s="210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10"/>
      <c r="AB221" s="210"/>
      <c r="AC221" s="210"/>
      <c r="AD221" s="210"/>
      <c r="AE221" s="210"/>
      <c r="AF221" s="210"/>
      <c r="AG221" s="210"/>
      <c r="AH221" s="219"/>
      <c r="AI221" s="219"/>
      <c r="AJ221" s="210"/>
      <c r="AK221" s="210"/>
      <c r="AL221" s="210"/>
      <c r="AM221" s="210"/>
      <c r="AN221" s="210"/>
      <c r="AO221" s="210"/>
      <c r="AP221" s="210"/>
      <c r="AQ221" s="210"/>
      <c r="AR221" s="210"/>
      <c r="AS221" s="210"/>
    </row>
    <row r="222" spans="1:45" ht="13.5" customHeight="1">
      <c r="A222" s="210"/>
      <c r="B222" s="210"/>
      <c r="C222" s="210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  <c r="AA222" s="210"/>
      <c r="AB222" s="210"/>
      <c r="AC222" s="210"/>
      <c r="AD222" s="210"/>
      <c r="AE222" s="210"/>
      <c r="AF222" s="210"/>
      <c r="AG222" s="210"/>
      <c r="AH222" s="219"/>
      <c r="AI222" s="219"/>
      <c r="AJ222" s="210"/>
      <c r="AK222" s="210"/>
      <c r="AL222" s="210"/>
      <c r="AM222" s="210"/>
      <c r="AN222" s="210"/>
      <c r="AO222" s="210"/>
      <c r="AP222" s="210"/>
      <c r="AQ222" s="210"/>
      <c r="AR222" s="210"/>
      <c r="AS222" s="210"/>
    </row>
    <row r="223" spans="1:45" ht="13.5" customHeight="1">
      <c r="A223" s="210"/>
      <c r="B223" s="210"/>
      <c r="C223" s="210"/>
      <c r="D223" s="210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  <c r="AA223" s="210"/>
      <c r="AB223" s="210"/>
      <c r="AC223" s="210"/>
      <c r="AD223" s="210"/>
      <c r="AE223" s="210"/>
      <c r="AF223" s="210"/>
      <c r="AG223" s="210"/>
      <c r="AH223" s="219"/>
      <c r="AI223" s="219"/>
      <c r="AJ223" s="210"/>
      <c r="AK223" s="210"/>
      <c r="AL223" s="210"/>
      <c r="AM223" s="210"/>
      <c r="AN223" s="210"/>
      <c r="AO223" s="210"/>
      <c r="AP223" s="210"/>
      <c r="AQ223" s="210"/>
      <c r="AR223" s="210"/>
      <c r="AS223" s="210"/>
    </row>
    <row r="224" spans="1:45" ht="13.5" customHeight="1">
      <c r="A224" s="210"/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  <c r="AA224" s="210"/>
      <c r="AB224" s="210"/>
      <c r="AC224" s="210"/>
      <c r="AD224" s="210"/>
      <c r="AE224" s="210"/>
      <c r="AF224" s="210"/>
      <c r="AG224" s="210"/>
      <c r="AH224" s="219"/>
      <c r="AI224" s="219"/>
      <c r="AJ224" s="210"/>
      <c r="AK224" s="210"/>
      <c r="AL224" s="210"/>
      <c r="AM224" s="210"/>
      <c r="AN224" s="210"/>
      <c r="AO224" s="210"/>
      <c r="AP224" s="210"/>
      <c r="AQ224" s="210"/>
      <c r="AR224" s="210"/>
      <c r="AS224" s="210"/>
    </row>
    <row r="225" spans="1:45" ht="13.5" customHeight="1">
      <c r="A225" s="210"/>
      <c r="B225" s="210"/>
      <c r="C225" s="210"/>
      <c r="D225" s="210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10"/>
      <c r="AB225" s="210"/>
      <c r="AC225" s="210"/>
      <c r="AD225" s="210"/>
      <c r="AE225" s="210"/>
      <c r="AF225" s="210"/>
      <c r="AG225" s="210"/>
      <c r="AH225" s="219"/>
      <c r="AI225" s="219"/>
      <c r="AJ225" s="210"/>
      <c r="AK225" s="210"/>
      <c r="AL225" s="210"/>
      <c r="AM225" s="210"/>
      <c r="AN225" s="210"/>
      <c r="AO225" s="210"/>
      <c r="AP225" s="210"/>
      <c r="AQ225" s="210"/>
      <c r="AR225" s="210"/>
      <c r="AS225" s="210"/>
    </row>
    <row r="226" spans="1:45" ht="13.5" customHeight="1">
      <c r="A226" s="210"/>
      <c r="B226" s="210"/>
      <c r="C226" s="210"/>
      <c r="D226" s="210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10"/>
      <c r="AC226" s="210"/>
      <c r="AD226" s="210"/>
      <c r="AE226" s="210"/>
      <c r="AF226" s="210"/>
      <c r="AG226" s="210"/>
      <c r="AH226" s="219"/>
      <c r="AI226" s="219"/>
      <c r="AJ226" s="210"/>
      <c r="AK226" s="210"/>
      <c r="AL226" s="210"/>
      <c r="AM226" s="210"/>
      <c r="AN226" s="210"/>
      <c r="AO226" s="210"/>
      <c r="AP226" s="210"/>
      <c r="AQ226" s="210"/>
      <c r="AR226" s="210"/>
      <c r="AS226" s="210"/>
    </row>
    <row r="227" spans="1:45" ht="13.5" customHeight="1">
      <c r="A227" s="210"/>
      <c r="B227" s="210"/>
      <c r="C227" s="210"/>
      <c r="D227" s="210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10"/>
      <c r="AB227" s="210"/>
      <c r="AC227" s="210"/>
      <c r="AD227" s="210"/>
      <c r="AE227" s="210"/>
      <c r="AF227" s="210"/>
      <c r="AG227" s="210"/>
      <c r="AH227" s="219"/>
      <c r="AI227" s="219"/>
      <c r="AJ227" s="210"/>
      <c r="AK227" s="210"/>
      <c r="AL227" s="210"/>
      <c r="AM227" s="210"/>
      <c r="AN227" s="210"/>
      <c r="AO227" s="210"/>
      <c r="AP227" s="210"/>
      <c r="AQ227" s="210"/>
      <c r="AR227" s="210"/>
      <c r="AS227" s="210"/>
    </row>
    <row r="228" spans="1:45" ht="13.5" customHeight="1">
      <c r="A228" s="210"/>
      <c r="B228" s="210"/>
      <c r="C228" s="210"/>
      <c r="D228" s="210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  <c r="AA228" s="210"/>
      <c r="AB228" s="210"/>
      <c r="AC228" s="210"/>
      <c r="AD228" s="210"/>
      <c r="AE228" s="210"/>
      <c r="AF228" s="210"/>
      <c r="AG228" s="210"/>
      <c r="AH228" s="219"/>
      <c r="AI228" s="219"/>
      <c r="AJ228" s="210"/>
      <c r="AK228" s="210"/>
      <c r="AL228" s="210"/>
      <c r="AM228" s="210"/>
      <c r="AN228" s="210"/>
      <c r="AO228" s="210"/>
      <c r="AP228" s="210"/>
      <c r="AQ228" s="210"/>
      <c r="AR228" s="210"/>
      <c r="AS228" s="210"/>
    </row>
    <row r="229" spans="1:45" ht="13.5" customHeight="1">
      <c r="A229" s="210"/>
      <c r="B229" s="210"/>
      <c r="C229" s="210"/>
      <c r="D229" s="210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10"/>
      <c r="AB229" s="210"/>
      <c r="AC229" s="210"/>
      <c r="AD229" s="210"/>
      <c r="AE229" s="210"/>
      <c r="AF229" s="210"/>
      <c r="AG229" s="210"/>
      <c r="AH229" s="219"/>
      <c r="AI229" s="219"/>
      <c r="AJ229" s="210"/>
      <c r="AK229" s="210"/>
      <c r="AL229" s="210"/>
      <c r="AM229" s="210"/>
      <c r="AN229" s="210"/>
      <c r="AO229" s="210"/>
      <c r="AP229" s="210"/>
      <c r="AQ229" s="210"/>
      <c r="AR229" s="210"/>
      <c r="AS229" s="210"/>
    </row>
    <row r="230" spans="1:45" ht="13.5" customHeight="1">
      <c r="A230" s="210"/>
      <c r="B230" s="210"/>
      <c r="C230" s="210"/>
      <c r="D230" s="210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  <c r="AA230" s="210"/>
      <c r="AB230" s="210"/>
      <c r="AC230" s="210"/>
      <c r="AD230" s="210"/>
      <c r="AE230" s="210"/>
      <c r="AF230" s="210"/>
      <c r="AG230" s="210"/>
      <c r="AH230" s="219"/>
      <c r="AI230" s="219"/>
      <c r="AJ230" s="210"/>
      <c r="AK230" s="210"/>
      <c r="AL230" s="210"/>
      <c r="AM230" s="210"/>
      <c r="AN230" s="210"/>
      <c r="AO230" s="210"/>
      <c r="AP230" s="210"/>
      <c r="AQ230" s="210"/>
      <c r="AR230" s="210"/>
      <c r="AS230" s="210"/>
    </row>
    <row r="231" spans="1:45" ht="13.5" customHeight="1">
      <c r="A231" s="210"/>
      <c r="B231" s="210"/>
      <c r="C231" s="210"/>
      <c r="D231" s="210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  <c r="AA231" s="210"/>
      <c r="AB231" s="210"/>
      <c r="AC231" s="210"/>
      <c r="AD231" s="210"/>
      <c r="AE231" s="210"/>
      <c r="AF231" s="210"/>
      <c r="AG231" s="210"/>
      <c r="AH231" s="219"/>
      <c r="AI231" s="219"/>
      <c r="AJ231" s="210"/>
      <c r="AK231" s="210"/>
      <c r="AL231" s="210"/>
      <c r="AM231" s="210"/>
      <c r="AN231" s="210"/>
      <c r="AO231" s="210"/>
      <c r="AP231" s="210"/>
      <c r="AQ231" s="210"/>
      <c r="AR231" s="210"/>
      <c r="AS231" s="210"/>
    </row>
    <row r="232" spans="1:45" ht="13.5" customHeight="1">
      <c r="A232" s="210"/>
      <c r="B232" s="210"/>
      <c r="C232" s="210"/>
      <c r="D232" s="210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  <c r="AA232" s="210"/>
      <c r="AB232" s="210"/>
      <c r="AC232" s="210"/>
      <c r="AD232" s="210"/>
      <c r="AE232" s="210"/>
      <c r="AF232" s="210"/>
      <c r="AG232" s="210"/>
      <c r="AH232" s="219"/>
      <c r="AI232" s="219"/>
      <c r="AJ232" s="210"/>
      <c r="AK232" s="210"/>
      <c r="AL232" s="210"/>
      <c r="AM232" s="210"/>
      <c r="AN232" s="210"/>
      <c r="AO232" s="210"/>
      <c r="AP232" s="210"/>
      <c r="AQ232" s="210"/>
      <c r="AR232" s="210"/>
      <c r="AS232" s="210"/>
    </row>
    <row r="233" spans="1:45" ht="13.5" customHeight="1">
      <c r="A233" s="210"/>
      <c r="B233" s="210"/>
      <c r="C233" s="210"/>
      <c r="D233" s="210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10"/>
      <c r="AB233" s="210"/>
      <c r="AC233" s="210"/>
      <c r="AD233" s="210"/>
      <c r="AE233" s="210"/>
      <c r="AF233" s="210"/>
      <c r="AG233" s="210"/>
      <c r="AH233" s="219"/>
      <c r="AI233" s="219"/>
      <c r="AJ233" s="210"/>
      <c r="AK233" s="210"/>
      <c r="AL233" s="210"/>
      <c r="AM233" s="210"/>
      <c r="AN233" s="210"/>
      <c r="AO233" s="210"/>
      <c r="AP233" s="210"/>
      <c r="AQ233" s="210"/>
      <c r="AR233" s="210"/>
      <c r="AS233" s="210"/>
    </row>
    <row r="234" spans="1:45" ht="13.5" customHeight="1">
      <c r="A234" s="210"/>
      <c r="B234" s="210"/>
      <c r="C234" s="210"/>
      <c r="D234" s="210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  <c r="AA234" s="210"/>
      <c r="AB234" s="210"/>
      <c r="AC234" s="210"/>
      <c r="AD234" s="210"/>
      <c r="AE234" s="210"/>
      <c r="AF234" s="210"/>
      <c r="AG234" s="210"/>
      <c r="AH234" s="219"/>
      <c r="AI234" s="219"/>
      <c r="AJ234" s="210"/>
      <c r="AK234" s="210"/>
      <c r="AL234" s="210"/>
      <c r="AM234" s="210"/>
      <c r="AN234" s="210"/>
      <c r="AO234" s="210"/>
      <c r="AP234" s="210"/>
      <c r="AQ234" s="210"/>
      <c r="AR234" s="210"/>
      <c r="AS234" s="210"/>
    </row>
    <row r="235" spans="1:45" ht="13.5" customHeight="1">
      <c r="A235" s="210"/>
      <c r="B235" s="210"/>
      <c r="C235" s="210"/>
      <c r="D235" s="210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  <c r="AD235" s="210"/>
      <c r="AE235" s="210"/>
      <c r="AF235" s="210"/>
      <c r="AG235" s="210"/>
      <c r="AH235" s="219"/>
      <c r="AI235" s="219"/>
      <c r="AJ235" s="210"/>
      <c r="AK235" s="210"/>
      <c r="AL235" s="210"/>
      <c r="AM235" s="210"/>
      <c r="AN235" s="210"/>
      <c r="AO235" s="210"/>
      <c r="AP235" s="210"/>
      <c r="AQ235" s="210"/>
      <c r="AR235" s="210"/>
      <c r="AS235" s="210"/>
    </row>
    <row r="236" spans="1:45" ht="13.5" customHeight="1">
      <c r="A236" s="210"/>
      <c r="B236" s="210"/>
      <c r="C236" s="210"/>
      <c r="D236" s="210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  <c r="AA236" s="210"/>
      <c r="AB236" s="210"/>
      <c r="AC236" s="210"/>
      <c r="AD236" s="210"/>
      <c r="AE236" s="210"/>
      <c r="AF236" s="210"/>
      <c r="AG236" s="210"/>
      <c r="AH236" s="219"/>
      <c r="AI236" s="219"/>
      <c r="AJ236" s="210"/>
      <c r="AK236" s="210"/>
      <c r="AL236" s="210"/>
      <c r="AM236" s="210"/>
      <c r="AN236" s="210"/>
      <c r="AO236" s="210"/>
      <c r="AP236" s="210"/>
      <c r="AQ236" s="210"/>
      <c r="AR236" s="210"/>
      <c r="AS236" s="210"/>
    </row>
    <row r="237" spans="1:45" ht="13.5" customHeight="1">
      <c r="A237" s="210"/>
      <c r="B237" s="210"/>
      <c r="C237" s="210"/>
      <c r="D237" s="210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  <c r="AA237" s="210"/>
      <c r="AB237" s="210"/>
      <c r="AC237" s="210"/>
      <c r="AD237" s="210"/>
      <c r="AE237" s="210"/>
      <c r="AF237" s="210"/>
      <c r="AG237" s="210"/>
      <c r="AH237" s="219"/>
      <c r="AI237" s="219"/>
      <c r="AJ237" s="210"/>
      <c r="AK237" s="210"/>
      <c r="AL237" s="210"/>
      <c r="AM237" s="210"/>
      <c r="AN237" s="210"/>
      <c r="AO237" s="210"/>
      <c r="AP237" s="210"/>
      <c r="AQ237" s="210"/>
      <c r="AR237" s="210"/>
      <c r="AS237" s="210"/>
    </row>
    <row r="238" spans="1:45" ht="13.5" customHeight="1">
      <c r="A238" s="210"/>
      <c r="B238" s="210"/>
      <c r="C238" s="210"/>
      <c r="D238" s="210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  <c r="AA238" s="210"/>
      <c r="AB238" s="210"/>
      <c r="AC238" s="210"/>
      <c r="AD238" s="210"/>
      <c r="AE238" s="210"/>
      <c r="AF238" s="210"/>
      <c r="AG238" s="210"/>
      <c r="AH238" s="219"/>
      <c r="AI238" s="219"/>
      <c r="AJ238" s="210"/>
      <c r="AK238" s="210"/>
      <c r="AL238" s="210"/>
      <c r="AM238" s="210"/>
      <c r="AN238" s="210"/>
      <c r="AO238" s="210"/>
      <c r="AP238" s="210"/>
      <c r="AQ238" s="210"/>
      <c r="AR238" s="210"/>
      <c r="AS238" s="210"/>
    </row>
    <row r="239" spans="1:45" ht="13.5" customHeight="1">
      <c r="A239" s="210"/>
      <c r="B239" s="210"/>
      <c r="C239" s="210"/>
      <c r="D239" s="210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10"/>
      <c r="AB239" s="210"/>
      <c r="AC239" s="210"/>
      <c r="AD239" s="210"/>
      <c r="AE239" s="210"/>
      <c r="AF239" s="210"/>
      <c r="AG239" s="210"/>
      <c r="AH239" s="219"/>
      <c r="AI239" s="219"/>
      <c r="AJ239" s="210"/>
      <c r="AK239" s="210"/>
      <c r="AL239" s="210"/>
      <c r="AM239" s="210"/>
      <c r="AN239" s="210"/>
      <c r="AO239" s="210"/>
      <c r="AP239" s="210"/>
      <c r="AQ239" s="210"/>
      <c r="AR239" s="210"/>
      <c r="AS239" s="210"/>
    </row>
    <row r="240" spans="1:45" ht="13.5" customHeight="1">
      <c r="A240" s="210"/>
      <c r="B240" s="210"/>
      <c r="C240" s="210"/>
      <c r="D240" s="210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  <c r="AA240" s="210"/>
      <c r="AB240" s="210"/>
      <c r="AC240" s="210"/>
      <c r="AD240" s="210"/>
      <c r="AE240" s="210"/>
      <c r="AF240" s="210"/>
      <c r="AG240" s="210"/>
      <c r="AH240" s="219"/>
      <c r="AI240" s="219"/>
      <c r="AJ240" s="210"/>
      <c r="AK240" s="210"/>
      <c r="AL240" s="210"/>
      <c r="AM240" s="210"/>
      <c r="AN240" s="210"/>
      <c r="AO240" s="210"/>
      <c r="AP240" s="210"/>
      <c r="AQ240" s="210"/>
      <c r="AR240" s="210"/>
      <c r="AS240" s="210"/>
    </row>
    <row r="241" spans="1:45" ht="13.5" customHeight="1">
      <c r="A241" s="210"/>
      <c r="B241" s="210"/>
      <c r="C241" s="210"/>
      <c r="D241" s="210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  <c r="AA241" s="210"/>
      <c r="AB241" s="210"/>
      <c r="AC241" s="210"/>
      <c r="AD241" s="210"/>
      <c r="AE241" s="210"/>
      <c r="AF241" s="210"/>
      <c r="AG241" s="210"/>
      <c r="AH241" s="219"/>
      <c r="AI241" s="219"/>
      <c r="AJ241" s="210"/>
      <c r="AK241" s="210"/>
      <c r="AL241" s="210"/>
      <c r="AM241" s="210"/>
      <c r="AN241" s="210"/>
      <c r="AO241" s="210"/>
      <c r="AP241" s="210"/>
      <c r="AQ241" s="210"/>
      <c r="AR241" s="210"/>
      <c r="AS241" s="210"/>
    </row>
    <row r="242" spans="1:45" ht="13.5" customHeight="1">
      <c r="A242" s="210"/>
      <c r="B242" s="210"/>
      <c r="C242" s="210"/>
      <c r="D242" s="210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  <c r="AA242" s="210"/>
      <c r="AB242" s="210"/>
      <c r="AC242" s="210"/>
      <c r="AD242" s="210"/>
      <c r="AE242" s="210"/>
      <c r="AF242" s="210"/>
      <c r="AG242" s="210"/>
      <c r="AH242" s="219"/>
      <c r="AI242" s="219"/>
      <c r="AJ242" s="210"/>
      <c r="AK242" s="210"/>
      <c r="AL242" s="210"/>
      <c r="AM242" s="210"/>
      <c r="AN242" s="210"/>
      <c r="AO242" s="210"/>
      <c r="AP242" s="210"/>
      <c r="AQ242" s="210"/>
      <c r="AR242" s="210"/>
      <c r="AS242" s="210"/>
    </row>
    <row r="243" spans="1:45" ht="13.5" customHeight="1">
      <c r="A243" s="210"/>
      <c r="B243" s="210"/>
      <c r="C243" s="210"/>
      <c r="D243" s="210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  <c r="AA243" s="210"/>
      <c r="AB243" s="210"/>
      <c r="AC243" s="210"/>
      <c r="AD243" s="210"/>
      <c r="AE243" s="210"/>
      <c r="AF243" s="210"/>
      <c r="AG243" s="210"/>
      <c r="AH243" s="219"/>
      <c r="AI243" s="219"/>
      <c r="AJ243" s="210"/>
      <c r="AK243" s="210"/>
      <c r="AL243" s="210"/>
      <c r="AM243" s="210"/>
      <c r="AN243" s="210"/>
      <c r="AO243" s="210"/>
      <c r="AP243" s="210"/>
      <c r="AQ243" s="210"/>
      <c r="AR243" s="210"/>
      <c r="AS243" s="210"/>
    </row>
    <row r="244" spans="1:45" ht="13.5" customHeight="1">
      <c r="A244" s="210"/>
      <c r="B244" s="210"/>
      <c r="C244" s="210"/>
      <c r="D244" s="210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  <c r="AA244" s="210"/>
      <c r="AB244" s="210"/>
      <c r="AC244" s="210"/>
      <c r="AD244" s="210"/>
      <c r="AE244" s="210"/>
      <c r="AF244" s="210"/>
      <c r="AG244" s="210"/>
      <c r="AH244" s="219"/>
      <c r="AI244" s="219"/>
      <c r="AJ244" s="210"/>
      <c r="AK244" s="210"/>
      <c r="AL244" s="210"/>
      <c r="AM244" s="210"/>
      <c r="AN244" s="210"/>
      <c r="AO244" s="210"/>
      <c r="AP244" s="210"/>
      <c r="AQ244" s="210"/>
      <c r="AR244" s="210"/>
      <c r="AS244" s="210"/>
    </row>
    <row r="245" spans="1:45" ht="13.5" customHeight="1">
      <c r="A245" s="210"/>
      <c r="B245" s="210"/>
      <c r="C245" s="210"/>
      <c r="D245" s="210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  <c r="AD245" s="210"/>
      <c r="AE245" s="210"/>
      <c r="AF245" s="210"/>
      <c r="AG245" s="210"/>
      <c r="AH245" s="219"/>
      <c r="AI245" s="219"/>
      <c r="AJ245" s="210"/>
      <c r="AK245" s="210"/>
      <c r="AL245" s="210"/>
      <c r="AM245" s="210"/>
      <c r="AN245" s="210"/>
      <c r="AO245" s="210"/>
      <c r="AP245" s="210"/>
      <c r="AQ245" s="210"/>
      <c r="AR245" s="210"/>
      <c r="AS245" s="210"/>
    </row>
    <row r="246" spans="1:45" ht="13.5" customHeight="1">
      <c r="A246" s="210"/>
      <c r="B246" s="210"/>
      <c r="C246" s="210"/>
      <c r="D246" s="210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  <c r="AA246" s="210"/>
      <c r="AB246" s="210"/>
      <c r="AC246" s="210"/>
      <c r="AD246" s="210"/>
      <c r="AE246" s="210"/>
      <c r="AF246" s="210"/>
      <c r="AG246" s="210"/>
      <c r="AH246" s="219"/>
      <c r="AI246" s="219"/>
      <c r="AJ246" s="210"/>
      <c r="AK246" s="210"/>
      <c r="AL246" s="210"/>
      <c r="AM246" s="210"/>
      <c r="AN246" s="210"/>
      <c r="AO246" s="210"/>
      <c r="AP246" s="210"/>
      <c r="AQ246" s="210"/>
      <c r="AR246" s="210"/>
      <c r="AS246" s="210"/>
    </row>
    <row r="247" spans="1:45" ht="13.5" customHeight="1">
      <c r="A247" s="210"/>
      <c r="B247" s="210"/>
      <c r="C247" s="210"/>
      <c r="D247" s="210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  <c r="AA247" s="210"/>
      <c r="AB247" s="210"/>
      <c r="AC247" s="210"/>
      <c r="AD247" s="210"/>
      <c r="AE247" s="210"/>
      <c r="AF247" s="210"/>
      <c r="AG247" s="210"/>
      <c r="AH247" s="219"/>
      <c r="AI247" s="219"/>
      <c r="AJ247" s="210"/>
      <c r="AK247" s="210"/>
      <c r="AL247" s="210"/>
      <c r="AM247" s="210"/>
      <c r="AN247" s="210"/>
      <c r="AO247" s="210"/>
      <c r="AP247" s="210"/>
      <c r="AQ247" s="210"/>
      <c r="AR247" s="210"/>
      <c r="AS247" s="210"/>
    </row>
    <row r="248" spans="1:45" ht="13.5" customHeight="1">
      <c r="A248" s="210"/>
      <c r="B248" s="210"/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  <c r="AA248" s="210"/>
      <c r="AB248" s="210"/>
      <c r="AC248" s="210"/>
      <c r="AD248" s="210"/>
      <c r="AE248" s="210"/>
      <c r="AF248" s="210"/>
      <c r="AG248" s="210"/>
      <c r="AH248" s="219"/>
      <c r="AI248" s="219"/>
      <c r="AJ248" s="210"/>
      <c r="AK248" s="210"/>
      <c r="AL248" s="210"/>
      <c r="AM248" s="210"/>
      <c r="AN248" s="210"/>
      <c r="AO248" s="210"/>
      <c r="AP248" s="210"/>
      <c r="AQ248" s="210"/>
      <c r="AR248" s="210"/>
      <c r="AS248" s="210"/>
    </row>
    <row r="249" spans="1:45" ht="13.5" customHeight="1">
      <c r="A249" s="210"/>
      <c r="B249" s="210"/>
      <c r="C249" s="210"/>
      <c r="D249" s="210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  <c r="AA249" s="210"/>
      <c r="AB249" s="210"/>
      <c r="AC249" s="210"/>
      <c r="AD249" s="210"/>
      <c r="AE249" s="210"/>
      <c r="AF249" s="210"/>
      <c r="AG249" s="210"/>
      <c r="AH249" s="219"/>
      <c r="AI249" s="219"/>
      <c r="AJ249" s="210"/>
      <c r="AK249" s="210"/>
      <c r="AL249" s="210"/>
      <c r="AM249" s="210"/>
      <c r="AN249" s="210"/>
      <c r="AO249" s="210"/>
      <c r="AP249" s="210"/>
      <c r="AQ249" s="210"/>
      <c r="AR249" s="210"/>
      <c r="AS249" s="210"/>
    </row>
    <row r="250" spans="1:45" ht="13.5" customHeight="1">
      <c r="A250" s="210"/>
      <c r="B250" s="210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  <c r="AA250" s="210"/>
      <c r="AB250" s="210"/>
      <c r="AC250" s="210"/>
      <c r="AD250" s="210"/>
      <c r="AE250" s="210"/>
      <c r="AF250" s="210"/>
      <c r="AG250" s="210"/>
      <c r="AH250" s="219"/>
      <c r="AI250" s="219"/>
      <c r="AJ250" s="210"/>
      <c r="AK250" s="210"/>
      <c r="AL250" s="210"/>
      <c r="AM250" s="210"/>
      <c r="AN250" s="210"/>
      <c r="AO250" s="210"/>
      <c r="AP250" s="210"/>
      <c r="AQ250" s="210"/>
      <c r="AR250" s="210"/>
      <c r="AS250" s="210"/>
    </row>
    <row r="251" spans="1:45" ht="13.5" customHeight="1">
      <c r="A251" s="210"/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  <c r="AA251" s="210"/>
      <c r="AB251" s="210"/>
      <c r="AC251" s="210"/>
      <c r="AD251" s="210"/>
      <c r="AE251" s="210"/>
      <c r="AF251" s="210"/>
      <c r="AG251" s="210"/>
      <c r="AH251" s="219"/>
      <c r="AI251" s="219"/>
      <c r="AJ251" s="210"/>
      <c r="AK251" s="210"/>
      <c r="AL251" s="210"/>
      <c r="AM251" s="210"/>
      <c r="AN251" s="210"/>
      <c r="AO251" s="210"/>
      <c r="AP251" s="210"/>
      <c r="AQ251" s="210"/>
      <c r="AR251" s="210"/>
      <c r="AS251" s="210"/>
    </row>
    <row r="252" spans="1:45" ht="13.5" customHeight="1">
      <c r="A252" s="210"/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  <c r="AA252" s="210"/>
      <c r="AB252" s="210"/>
      <c r="AC252" s="210"/>
      <c r="AD252" s="210"/>
      <c r="AE252" s="210"/>
      <c r="AF252" s="210"/>
      <c r="AG252" s="210"/>
      <c r="AH252" s="219"/>
      <c r="AI252" s="219"/>
      <c r="AJ252" s="210"/>
      <c r="AK252" s="210"/>
      <c r="AL252" s="210"/>
      <c r="AM252" s="210"/>
      <c r="AN252" s="210"/>
      <c r="AO252" s="210"/>
      <c r="AP252" s="210"/>
      <c r="AQ252" s="210"/>
      <c r="AR252" s="210"/>
      <c r="AS252" s="210"/>
    </row>
    <row r="253" spans="1:45" ht="13.5" customHeight="1">
      <c r="A253" s="210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  <c r="AD253" s="210"/>
      <c r="AE253" s="210"/>
      <c r="AF253" s="210"/>
      <c r="AG253" s="210"/>
      <c r="AH253" s="219"/>
      <c r="AI253" s="219"/>
      <c r="AJ253" s="210"/>
      <c r="AK253" s="210"/>
      <c r="AL253" s="210"/>
      <c r="AM253" s="210"/>
      <c r="AN253" s="210"/>
      <c r="AO253" s="210"/>
      <c r="AP253" s="210"/>
      <c r="AQ253" s="210"/>
      <c r="AR253" s="210"/>
      <c r="AS253" s="210"/>
    </row>
    <row r="254" spans="1:45" ht="13.5" customHeight="1">
      <c r="A254" s="210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  <c r="AA254" s="210"/>
      <c r="AB254" s="210"/>
      <c r="AC254" s="210"/>
      <c r="AD254" s="210"/>
      <c r="AE254" s="210"/>
      <c r="AF254" s="210"/>
      <c r="AG254" s="210"/>
      <c r="AH254" s="219"/>
      <c r="AI254" s="219"/>
      <c r="AJ254" s="210"/>
      <c r="AK254" s="210"/>
      <c r="AL254" s="210"/>
      <c r="AM254" s="210"/>
      <c r="AN254" s="210"/>
      <c r="AO254" s="210"/>
      <c r="AP254" s="210"/>
      <c r="AQ254" s="210"/>
      <c r="AR254" s="210"/>
      <c r="AS254" s="210"/>
    </row>
    <row r="255" spans="1:45" ht="13.5" customHeight="1">
      <c r="A255" s="210"/>
      <c r="B255" s="210"/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  <c r="AA255" s="210"/>
      <c r="AB255" s="210"/>
      <c r="AC255" s="210"/>
      <c r="AD255" s="210"/>
      <c r="AE255" s="210"/>
      <c r="AF255" s="210"/>
      <c r="AG255" s="210"/>
      <c r="AH255" s="219"/>
      <c r="AI255" s="219"/>
      <c r="AJ255" s="210"/>
      <c r="AK255" s="210"/>
      <c r="AL255" s="210"/>
      <c r="AM255" s="210"/>
      <c r="AN255" s="210"/>
      <c r="AO255" s="210"/>
      <c r="AP255" s="210"/>
      <c r="AQ255" s="210"/>
      <c r="AR255" s="210"/>
      <c r="AS255" s="210"/>
    </row>
    <row r="256" spans="1:45" ht="13.5" customHeight="1">
      <c r="A256" s="210"/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  <c r="AA256" s="210"/>
      <c r="AB256" s="210"/>
      <c r="AC256" s="210"/>
      <c r="AD256" s="210"/>
      <c r="AE256" s="210"/>
      <c r="AF256" s="210"/>
      <c r="AG256" s="210"/>
      <c r="AH256" s="219"/>
      <c r="AI256" s="219"/>
      <c r="AJ256" s="210"/>
      <c r="AK256" s="210"/>
      <c r="AL256" s="210"/>
      <c r="AM256" s="210"/>
      <c r="AN256" s="210"/>
      <c r="AO256" s="210"/>
      <c r="AP256" s="210"/>
      <c r="AQ256" s="210"/>
      <c r="AR256" s="210"/>
      <c r="AS256" s="210"/>
    </row>
    <row r="257" spans="1:45" ht="13.5" customHeight="1">
      <c r="A257" s="210"/>
      <c r="B257" s="210"/>
      <c r="C257" s="210"/>
      <c r="D257" s="210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  <c r="AA257" s="210"/>
      <c r="AB257" s="210"/>
      <c r="AC257" s="210"/>
      <c r="AD257" s="210"/>
      <c r="AE257" s="210"/>
      <c r="AF257" s="210"/>
      <c r="AG257" s="210"/>
      <c r="AH257" s="219"/>
      <c r="AI257" s="219"/>
      <c r="AJ257" s="210"/>
      <c r="AK257" s="210"/>
      <c r="AL257" s="210"/>
      <c r="AM257" s="210"/>
      <c r="AN257" s="210"/>
      <c r="AO257" s="210"/>
      <c r="AP257" s="210"/>
      <c r="AQ257" s="210"/>
      <c r="AR257" s="210"/>
      <c r="AS257" s="210"/>
    </row>
    <row r="258" spans="1:45" ht="13.5" customHeight="1">
      <c r="A258" s="210"/>
      <c r="B258" s="210"/>
      <c r="C258" s="210"/>
      <c r="D258" s="210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  <c r="AA258" s="210"/>
      <c r="AB258" s="210"/>
      <c r="AC258" s="210"/>
      <c r="AD258" s="210"/>
      <c r="AE258" s="210"/>
      <c r="AF258" s="210"/>
      <c r="AG258" s="210"/>
      <c r="AH258" s="219"/>
      <c r="AI258" s="219"/>
      <c r="AJ258" s="210"/>
      <c r="AK258" s="210"/>
      <c r="AL258" s="210"/>
      <c r="AM258" s="210"/>
      <c r="AN258" s="210"/>
      <c r="AO258" s="210"/>
      <c r="AP258" s="210"/>
      <c r="AQ258" s="210"/>
      <c r="AR258" s="210"/>
      <c r="AS258" s="210"/>
    </row>
    <row r="259" spans="1:45" ht="13.5" customHeight="1">
      <c r="A259" s="210"/>
      <c r="B259" s="210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  <c r="AA259" s="210"/>
      <c r="AB259" s="210"/>
      <c r="AC259" s="210"/>
      <c r="AD259" s="210"/>
      <c r="AE259" s="210"/>
      <c r="AF259" s="210"/>
      <c r="AG259" s="210"/>
      <c r="AH259" s="219"/>
      <c r="AI259" s="219"/>
      <c r="AJ259" s="210"/>
      <c r="AK259" s="210"/>
      <c r="AL259" s="210"/>
      <c r="AM259" s="210"/>
      <c r="AN259" s="210"/>
      <c r="AO259" s="210"/>
      <c r="AP259" s="210"/>
      <c r="AQ259" s="210"/>
      <c r="AR259" s="210"/>
      <c r="AS259" s="210"/>
    </row>
    <row r="260" spans="1:45" ht="13.5" customHeight="1">
      <c r="A260" s="210"/>
      <c r="B260" s="210"/>
      <c r="C260" s="210"/>
      <c r="D260" s="210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  <c r="AA260" s="210"/>
      <c r="AB260" s="210"/>
      <c r="AC260" s="210"/>
      <c r="AD260" s="210"/>
      <c r="AE260" s="210"/>
      <c r="AF260" s="210"/>
      <c r="AG260" s="210"/>
      <c r="AH260" s="219"/>
      <c r="AI260" s="219"/>
      <c r="AJ260" s="210"/>
      <c r="AK260" s="210"/>
      <c r="AL260" s="210"/>
      <c r="AM260" s="210"/>
      <c r="AN260" s="210"/>
      <c r="AO260" s="210"/>
      <c r="AP260" s="210"/>
      <c r="AQ260" s="210"/>
      <c r="AR260" s="210"/>
      <c r="AS260" s="210"/>
    </row>
    <row r="261" spans="1:45" ht="13.5" customHeight="1">
      <c r="A261" s="210"/>
      <c r="B261" s="210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0"/>
      <c r="AG261" s="210"/>
      <c r="AH261" s="219"/>
      <c r="AI261" s="219"/>
      <c r="AJ261" s="210"/>
      <c r="AK261" s="210"/>
      <c r="AL261" s="210"/>
      <c r="AM261" s="210"/>
      <c r="AN261" s="210"/>
      <c r="AO261" s="210"/>
      <c r="AP261" s="210"/>
      <c r="AQ261" s="210"/>
      <c r="AR261" s="210"/>
      <c r="AS261" s="210"/>
    </row>
    <row r="262" spans="1:45" ht="13.5" customHeight="1">
      <c r="A262" s="210"/>
      <c r="B262" s="210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  <c r="AA262" s="210"/>
      <c r="AB262" s="210"/>
      <c r="AC262" s="210"/>
      <c r="AD262" s="210"/>
      <c r="AE262" s="210"/>
      <c r="AF262" s="210"/>
      <c r="AG262" s="210"/>
      <c r="AH262" s="219"/>
      <c r="AI262" s="219"/>
      <c r="AJ262" s="210"/>
      <c r="AK262" s="210"/>
      <c r="AL262" s="210"/>
      <c r="AM262" s="210"/>
      <c r="AN262" s="210"/>
      <c r="AO262" s="210"/>
      <c r="AP262" s="210"/>
      <c r="AQ262" s="210"/>
      <c r="AR262" s="210"/>
      <c r="AS262" s="210"/>
    </row>
    <row r="263" spans="1:45" ht="13.5" customHeight="1">
      <c r="A263" s="210"/>
      <c r="B263" s="210"/>
      <c r="C263" s="210"/>
      <c r="D263" s="210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  <c r="AA263" s="210"/>
      <c r="AB263" s="210"/>
      <c r="AC263" s="210"/>
      <c r="AD263" s="210"/>
      <c r="AE263" s="210"/>
      <c r="AF263" s="210"/>
      <c r="AG263" s="210"/>
      <c r="AH263" s="219"/>
      <c r="AI263" s="219"/>
      <c r="AJ263" s="210"/>
      <c r="AK263" s="210"/>
      <c r="AL263" s="210"/>
      <c r="AM263" s="210"/>
      <c r="AN263" s="210"/>
      <c r="AO263" s="210"/>
      <c r="AP263" s="210"/>
      <c r="AQ263" s="210"/>
      <c r="AR263" s="210"/>
      <c r="AS263" s="210"/>
    </row>
    <row r="264" spans="1:45" ht="13.5" customHeight="1">
      <c r="A264" s="210"/>
      <c r="B264" s="210"/>
      <c r="C264" s="210"/>
      <c r="D264" s="210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  <c r="AA264" s="210"/>
      <c r="AB264" s="210"/>
      <c r="AC264" s="210"/>
      <c r="AD264" s="210"/>
      <c r="AE264" s="210"/>
      <c r="AF264" s="210"/>
      <c r="AG264" s="210"/>
      <c r="AH264" s="219"/>
      <c r="AI264" s="219"/>
      <c r="AJ264" s="210"/>
      <c r="AK264" s="210"/>
      <c r="AL264" s="210"/>
      <c r="AM264" s="210"/>
      <c r="AN264" s="210"/>
      <c r="AO264" s="210"/>
      <c r="AP264" s="210"/>
      <c r="AQ264" s="210"/>
      <c r="AR264" s="210"/>
      <c r="AS264" s="210"/>
    </row>
    <row r="265" spans="1:45" ht="13.5" customHeight="1">
      <c r="A265" s="210"/>
      <c r="B265" s="210"/>
      <c r="C265" s="210"/>
      <c r="D265" s="210"/>
      <c r="E265" s="210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  <c r="AA265" s="210"/>
      <c r="AB265" s="210"/>
      <c r="AC265" s="210"/>
      <c r="AD265" s="210"/>
      <c r="AE265" s="210"/>
      <c r="AF265" s="210"/>
      <c r="AG265" s="210"/>
      <c r="AH265" s="219"/>
      <c r="AI265" s="219"/>
      <c r="AJ265" s="210"/>
      <c r="AK265" s="210"/>
      <c r="AL265" s="210"/>
      <c r="AM265" s="210"/>
      <c r="AN265" s="210"/>
      <c r="AO265" s="210"/>
      <c r="AP265" s="210"/>
      <c r="AQ265" s="210"/>
      <c r="AR265" s="210"/>
      <c r="AS265" s="210"/>
    </row>
    <row r="266" spans="1:45" ht="13.5" customHeight="1">
      <c r="A266" s="210"/>
      <c r="B266" s="210"/>
      <c r="C266" s="210"/>
      <c r="D266" s="210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  <c r="AA266" s="210"/>
      <c r="AB266" s="210"/>
      <c r="AC266" s="210"/>
      <c r="AD266" s="210"/>
      <c r="AE266" s="210"/>
      <c r="AF266" s="210"/>
      <c r="AG266" s="210"/>
      <c r="AH266" s="219"/>
      <c r="AI266" s="219"/>
      <c r="AJ266" s="210"/>
      <c r="AK266" s="210"/>
      <c r="AL266" s="210"/>
      <c r="AM266" s="210"/>
      <c r="AN266" s="210"/>
      <c r="AO266" s="210"/>
      <c r="AP266" s="210"/>
      <c r="AQ266" s="210"/>
      <c r="AR266" s="210"/>
      <c r="AS266" s="210"/>
    </row>
    <row r="267" spans="1:45" ht="13.5" customHeight="1">
      <c r="A267" s="210"/>
      <c r="B267" s="210"/>
      <c r="C267" s="210"/>
      <c r="D267" s="210"/>
      <c r="E267" s="21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  <c r="AA267" s="210"/>
      <c r="AB267" s="210"/>
      <c r="AC267" s="210"/>
      <c r="AD267" s="210"/>
      <c r="AE267" s="210"/>
      <c r="AF267" s="210"/>
      <c r="AG267" s="210"/>
      <c r="AH267" s="219"/>
      <c r="AI267" s="219"/>
      <c r="AJ267" s="210"/>
      <c r="AK267" s="210"/>
      <c r="AL267" s="210"/>
      <c r="AM267" s="210"/>
      <c r="AN267" s="210"/>
      <c r="AO267" s="210"/>
      <c r="AP267" s="210"/>
      <c r="AQ267" s="210"/>
      <c r="AR267" s="210"/>
      <c r="AS267" s="210"/>
    </row>
    <row r="268" spans="1:45" ht="13.5" customHeight="1">
      <c r="A268" s="210"/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  <c r="AA268" s="210"/>
      <c r="AB268" s="210"/>
      <c r="AC268" s="210"/>
      <c r="AD268" s="210"/>
      <c r="AE268" s="210"/>
      <c r="AF268" s="210"/>
      <c r="AG268" s="210"/>
      <c r="AH268" s="219"/>
      <c r="AI268" s="219"/>
      <c r="AJ268" s="210"/>
      <c r="AK268" s="210"/>
      <c r="AL268" s="210"/>
      <c r="AM268" s="210"/>
      <c r="AN268" s="210"/>
      <c r="AO268" s="210"/>
      <c r="AP268" s="210"/>
      <c r="AQ268" s="210"/>
      <c r="AR268" s="210"/>
      <c r="AS268" s="210"/>
    </row>
    <row r="269" spans="1:45" ht="13.5" customHeight="1">
      <c r="A269" s="210"/>
      <c r="B269" s="210"/>
      <c r="C269" s="210"/>
      <c r="D269" s="210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  <c r="AA269" s="210"/>
      <c r="AB269" s="210"/>
      <c r="AC269" s="210"/>
      <c r="AD269" s="210"/>
      <c r="AE269" s="210"/>
      <c r="AF269" s="210"/>
      <c r="AG269" s="210"/>
      <c r="AH269" s="219"/>
      <c r="AI269" s="219"/>
      <c r="AJ269" s="210"/>
      <c r="AK269" s="210"/>
      <c r="AL269" s="210"/>
      <c r="AM269" s="210"/>
      <c r="AN269" s="210"/>
      <c r="AO269" s="210"/>
      <c r="AP269" s="210"/>
      <c r="AQ269" s="210"/>
      <c r="AR269" s="210"/>
      <c r="AS269" s="210"/>
    </row>
    <row r="270" spans="1:45" ht="13.5" customHeight="1">
      <c r="A270" s="210"/>
      <c r="B270" s="210"/>
      <c r="C270" s="210"/>
      <c r="D270" s="210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  <c r="AA270" s="210"/>
      <c r="AB270" s="210"/>
      <c r="AC270" s="210"/>
      <c r="AD270" s="210"/>
      <c r="AE270" s="210"/>
      <c r="AF270" s="210"/>
      <c r="AG270" s="210"/>
      <c r="AH270" s="219"/>
      <c r="AI270" s="219"/>
      <c r="AJ270" s="210"/>
      <c r="AK270" s="210"/>
      <c r="AL270" s="210"/>
      <c r="AM270" s="210"/>
      <c r="AN270" s="210"/>
      <c r="AO270" s="210"/>
      <c r="AP270" s="210"/>
      <c r="AQ270" s="210"/>
      <c r="AR270" s="210"/>
      <c r="AS270" s="210"/>
    </row>
    <row r="271" spans="1:45" ht="13.5" customHeight="1">
      <c r="A271" s="210"/>
      <c r="B271" s="210"/>
      <c r="C271" s="210"/>
      <c r="D271" s="210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  <c r="AA271" s="210"/>
      <c r="AB271" s="210"/>
      <c r="AC271" s="210"/>
      <c r="AD271" s="210"/>
      <c r="AE271" s="210"/>
      <c r="AF271" s="210"/>
      <c r="AG271" s="210"/>
      <c r="AH271" s="219"/>
      <c r="AI271" s="219"/>
      <c r="AJ271" s="210"/>
      <c r="AK271" s="210"/>
      <c r="AL271" s="210"/>
      <c r="AM271" s="210"/>
      <c r="AN271" s="210"/>
      <c r="AO271" s="210"/>
      <c r="AP271" s="210"/>
      <c r="AQ271" s="210"/>
      <c r="AR271" s="210"/>
      <c r="AS271" s="210"/>
    </row>
    <row r="272" spans="1:45" ht="13.5" customHeight="1">
      <c r="A272" s="210"/>
      <c r="B272" s="210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  <c r="AA272" s="210"/>
      <c r="AB272" s="210"/>
      <c r="AC272" s="210"/>
      <c r="AD272" s="210"/>
      <c r="AE272" s="210"/>
      <c r="AF272" s="210"/>
      <c r="AG272" s="210"/>
      <c r="AH272" s="219"/>
      <c r="AI272" s="219"/>
      <c r="AJ272" s="210"/>
      <c r="AK272" s="210"/>
      <c r="AL272" s="210"/>
      <c r="AM272" s="210"/>
      <c r="AN272" s="210"/>
      <c r="AO272" s="210"/>
      <c r="AP272" s="210"/>
      <c r="AQ272" s="210"/>
      <c r="AR272" s="210"/>
      <c r="AS272" s="210"/>
    </row>
    <row r="273" spans="1:45" ht="13.5" customHeight="1">
      <c r="A273" s="210"/>
      <c r="B273" s="210"/>
      <c r="C273" s="210"/>
      <c r="D273" s="210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  <c r="AA273" s="210"/>
      <c r="AB273" s="210"/>
      <c r="AC273" s="210"/>
      <c r="AD273" s="210"/>
      <c r="AE273" s="210"/>
      <c r="AF273" s="210"/>
      <c r="AG273" s="210"/>
      <c r="AH273" s="219"/>
      <c r="AI273" s="219"/>
      <c r="AJ273" s="210"/>
      <c r="AK273" s="210"/>
      <c r="AL273" s="210"/>
      <c r="AM273" s="210"/>
      <c r="AN273" s="210"/>
      <c r="AO273" s="210"/>
      <c r="AP273" s="210"/>
      <c r="AQ273" s="210"/>
      <c r="AR273" s="210"/>
      <c r="AS273" s="210"/>
    </row>
    <row r="274" spans="1:45" ht="13.5" customHeight="1">
      <c r="A274" s="210"/>
      <c r="B274" s="210"/>
      <c r="C274" s="210"/>
      <c r="D274" s="210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  <c r="AA274" s="210"/>
      <c r="AB274" s="210"/>
      <c r="AC274" s="210"/>
      <c r="AD274" s="210"/>
      <c r="AE274" s="210"/>
      <c r="AF274" s="210"/>
      <c r="AG274" s="210"/>
      <c r="AH274" s="219"/>
      <c r="AI274" s="219"/>
      <c r="AJ274" s="210"/>
      <c r="AK274" s="210"/>
      <c r="AL274" s="210"/>
      <c r="AM274" s="210"/>
      <c r="AN274" s="210"/>
      <c r="AO274" s="210"/>
      <c r="AP274" s="210"/>
      <c r="AQ274" s="210"/>
      <c r="AR274" s="210"/>
      <c r="AS274" s="210"/>
    </row>
    <row r="275" spans="1:45" ht="13.5" customHeight="1">
      <c r="A275" s="210"/>
      <c r="B275" s="210"/>
      <c r="C275" s="210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  <c r="AA275" s="210"/>
      <c r="AB275" s="210"/>
      <c r="AC275" s="210"/>
      <c r="AD275" s="210"/>
      <c r="AE275" s="210"/>
      <c r="AF275" s="210"/>
      <c r="AG275" s="210"/>
      <c r="AH275" s="219"/>
      <c r="AI275" s="219"/>
      <c r="AJ275" s="210"/>
      <c r="AK275" s="210"/>
      <c r="AL275" s="210"/>
      <c r="AM275" s="210"/>
      <c r="AN275" s="210"/>
      <c r="AO275" s="210"/>
      <c r="AP275" s="210"/>
      <c r="AQ275" s="210"/>
      <c r="AR275" s="210"/>
      <c r="AS275" s="210"/>
    </row>
    <row r="276" spans="1:45" ht="13.5" customHeight="1">
      <c r="A276" s="210"/>
      <c r="B276" s="210"/>
      <c r="C276" s="210"/>
      <c r="D276" s="210"/>
      <c r="E276" s="21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  <c r="AA276" s="210"/>
      <c r="AB276" s="210"/>
      <c r="AC276" s="210"/>
      <c r="AD276" s="210"/>
      <c r="AE276" s="210"/>
      <c r="AF276" s="210"/>
      <c r="AG276" s="210"/>
      <c r="AH276" s="219"/>
      <c r="AI276" s="219"/>
      <c r="AJ276" s="210"/>
      <c r="AK276" s="210"/>
      <c r="AL276" s="210"/>
      <c r="AM276" s="210"/>
      <c r="AN276" s="210"/>
      <c r="AO276" s="210"/>
      <c r="AP276" s="210"/>
      <c r="AQ276" s="210"/>
      <c r="AR276" s="210"/>
      <c r="AS276" s="210"/>
    </row>
    <row r="277" spans="1:45" ht="13.5" customHeight="1">
      <c r="A277" s="210"/>
      <c r="B277" s="210"/>
      <c r="C277" s="210"/>
      <c r="D277" s="210"/>
      <c r="E277" s="21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  <c r="AA277" s="210"/>
      <c r="AB277" s="210"/>
      <c r="AC277" s="210"/>
      <c r="AD277" s="210"/>
      <c r="AE277" s="210"/>
      <c r="AF277" s="210"/>
      <c r="AG277" s="210"/>
      <c r="AH277" s="219"/>
      <c r="AI277" s="219"/>
      <c r="AJ277" s="210"/>
      <c r="AK277" s="210"/>
      <c r="AL277" s="210"/>
      <c r="AM277" s="210"/>
      <c r="AN277" s="210"/>
      <c r="AO277" s="210"/>
      <c r="AP277" s="210"/>
      <c r="AQ277" s="210"/>
      <c r="AR277" s="210"/>
      <c r="AS277" s="210"/>
    </row>
    <row r="278" spans="1:45" ht="13.5" customHeight="1">
      <c r="A278" s="210"/>
      <c r="B278" s="210"/>
      <c r="C278" s="210"/>
      <c r="D278" s="210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  <c r="AA278" s="210"/>
      <c r="AB278" s="210"/>
      <c r="AC278" s="210"/>
      <c r="AD278" s="210"/>
      <c r="AE278" s="210"/>
      <c r="AF278" s="210"/>
      <c r="AG278" s="210"/>
      <c r="AH278" s="219"/>
      <c r="AI278" s="219"/>
      <c r="AJ278" s="210"/>
      <c r="AK278" s="210"/>
      <c r="AL278" s="210"/>
      <c r="AM278" s="210"/>
      <c r="AN278" s="210"/>
      <c r="AO278" s="210"/>
      <c r="AP278" s="210"/>
      <c r="AQ278" s="210"/>
      <c r="AR278" s="210"/>
      <c r="AS278" s="210"/>
    </row>
    <row r="279" spans="1:45" ht="13.5" customHeight="1">
      <c r="A279" s="210"/>
      <c r="B279" s="210"/>
      <c r="C279" s="210"/>
      <c r="D279" s="210"/>
      <c r="E279" s="21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  <c r="AA279" s="210"/>
      <c r="AB279" s="210"/>
      <c r="AC279" s="210"/>
      <c r="AD279" s="210"/>
      <c r="AE279" s="210"/>
      <c r="AF279" s="210"/>
      <c r="AG279" s="210"/>
      <c r="AH279" s="219"/>
      <c r="AI279" s="219"/>
      <c r="AJ279" s="210"/>
      <c r="AK279" s="210"/>
      <c r="AL279" s="210"/>
      <c r="AM279" s="210"/>
      <c r="AN279" s="210"/>
      <c r="AO279" s="210"/>
      <c r="AP279" s="210"/>
      <c r="AQ279" s="210"/>
      <c r="AR279" s="210"/>
      <c r="AS279" s="210"/>
    </row>
    <row r="280" spans="1:45" ht="13.5" customHeight="1">
      <c r="A280" s="210"/>
      <c r="B280" s="210"/>
      <c r="C280" s="210"/>
      <c r="D280" s="210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  <c r="AA280" s="210"/>
      <c r="AB280" s="210"/>
      <c r="AC280" s="210"/>
      <c r="AD280" s="210"/>
      <c r="AE280" s="210"/>
      <c r="AF280" s="210"/>
      <c r="AG280" s="210"/>
      <c r="AH280" s="219"/>
      <c r="AI280" s="219"/>
      <c r="AJ280" s="210"/>
      <c r="AK280" s="210"/>
      <c r="AL280" s="210"/>
      <c r="AM280" s="210"/>
      <c r="AN280" s="210"/>
      <c r="AO280" s="210"/>
      <c r="AP280" s="210"/>
      <c r="AQ280" s="210"/>
      <c r="AR280" s="210"/>
      <c r="AS280" s="210"/>
    </row>
    <row r="281" spans="1:45" ht="13.5" customHeight="1">
      <c r="A281" s="210"/>
      <c r="B281" s="210"/>
      <c r="C281" s="210"/>
      <c r="D281" s="210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  <c r="AA281" s="210"/>
      <c r="AB281" s="210"/>
      <c r="AC281" s="210"/>
      <c r="AD281" s="210"/>
      <c r="AE281" s="210"/>
      <c r="AF281" s="210"/>
      <c r="AG281" s="210"/>
      <c r="AH281" s="219"/>
      <c r="AI281" s="219"/>
      <c r="AJ281" s="210"/>
      <c r="AK281" s="210"/>
      <c r="AL281" s="210"/>
      <c r="AM281" s="210"/>
      <c r="AN281" s="210"/>
      <c r="AO281" s="210"/>
      <c r="AP281" s="210"/>
      <c r="AQ281" s="210"/>
      <c r="AR281" s="210"/>
      <c r="AS281" s="210"/>
    </row>
    <row r="282" spans="1:45" ht="13.5" customHeight="1">
      <c r="A282" s="210"/>
      <c r="B282" s="210"/>
      <c r="C282" s="210"/>
      <c r="D282" s="210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  <c r="AA282" s="210"/>
      <c r="AB282" s="210"/>
      <c r="AC282" s="210"/>
      <c r="AD282" s="210"/>
      <c r="AE282" s="210"/>
      <c r="AF282" s="210"/>
      <c r="AG282" s="210"/>
      <c r="AH282" s="219"/>
      <c r="AI282" s="219"/>
      <c r="AJ282" s="210"/>
      <c r="AK282" s="210"/>
      <c r="AL282" s="210"/>
      <c r="AM282" s="210"/>
      <c r="AN282" s="210"/>
      <c r="AO282" s="210"/>
      <c r="AP282" s="210"/>
      <c r="AQ282" s="210"/>
      <c r="AR282" s="210"/>
      <c r="AS282" s="210"/>
    </row>
    <row r="283" spans="1:45" ht="13.5" customHeight="1">
      <c r="A283" s="210"/>
      <c r="B283" s="210"/>
      <c r="C283" s="210"/>
      <c r="D283" s="210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  <c r="AA283" s="210"/>
      <c r="AB283" s="210"/>
      <c r="AC283" s="210"/>
      <c r="AD283" s="210"/>
      <c r="AE283" s="210"/>
      <c r="AF283" s="210"/>
      <c r="AG283" s="210"/>
      <c r="AH283" s="219"/>
      <c r="AI283" s="219"/>
      <c r="AJ283" s="210"/>
      <c r="AK283" s="210"/>
      <c r="AL283" s="210"/>
      <c r="AM283" s="210"/>
      <c r="AN283" s="210"/>
      <c r="AO283" s="210"/>
      <c r="AP283" s="210"/>
      <c r="AQ283" s="210"/>
      <c r="AR283" s="210"/>
      <c r="AS283" s="210"/>
    </row>
    <row r="284" spans="1:45" ht="13.5" customHeight="1">
      <c r="A284" s="210"/>
      <c r="B284" s="210"/>
      <c r="C284" s="210"/>
      <c r="D284" s="210"/>
      <c r="E284" s="21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  <c r="AA284" s="210"/>
      <c r="AB284" s="210"/>
      <c r="AC284" s="210"/>
      <c r="AD284" s="210"/>
      <c r="AE284" s="210"/>
      <c r="AF284" s="210"/>
      <c r="AG284" s="210"/>
      <c r="AH284" s="219"/>
      <c r="AI284" s="219"/>
      <c r="AJ284" s="210"/>
      <c r="AK284" s="210"/>
      <c r="AL284" s="210"/>
      <c r="AM284" s="210"/>
      <c r="AN284" s="210"/>
      <c r="AO284" s="210"/>
      <c r="AP284" s="210"/>
      <c r="AQ284" s="210"/>
      <c r="AR284" s="210"/>
      <c r="AS284" s="210"/>
    </row>
    <row r="285" spans="1:45" ht="13.5" customHeight="1">
      <c r="A285" s="210"/>
      <c r="B285" s="210"/>
      <c r="C285" s="210"/>
      <c r="D285" s="210"/>
      <c r="E285" s="21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  <c r="AA285" s="210"/>
      <c r="AB285" s="210"/>
      <c r="AC285" s="210"/>
      <c r="AD285" s="210"/>
      <c r="AE285" s="210"/>
      <c r="AF285" s="210"/>
      <c r="AG285" s="210"/>
      <c r="AH285" s="219"/>
      <c r="AI285" s="219"/>
      <c r="AJ285" s="210"/>
      <c r="AK285" s="210"/>
      <c r="AL285" s="210"/>
      <c r="AM285" s="210"/>
      <c r="AN285" s="210"/>
      <c r="AO285" s="210"/>
      <c r="AP285" s="210"/>
      <c r="AQ285" s="210"/>
      <c r="AR285" s="210"/>
      <c r="AS285" s="210"/>
    </row>
    <row r="286" spans="1:45" ht="13.5" customHeight="1">
      <c r="A286" s="210"/>
      <c r="B286" s="210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  <c r="AA286" s="210"/>
      <c r="AB286" s="210"/>
      <c r="AC286" s="210"/>
      <c r="AD286" s="210"/>
      <c r="AE286" s="210"/>
      <c r="AF286" s="210"/>
      <c r="AG286" s="210"/>
      <c r="AH286" s="219"/>
      <c r="AI286" s="219"/>
      <c r="AJ286" s="210"/>
      <c r="AK286" s="210"/>
      <c r="AL286" s="210"/>
      <c r="AM286" s="210"/>
      <c r="AN286" s="210"/>
      <c r="AO286" s="210"/>
      <c r="AP286" s="210"/>
      <c r="AQ286" s="210"/>
      <c r="AR286" s="210"/>
      <c r="AS286" s="210"/>
    </row>
    <row r="287" spans="1:45" ht="13.5" customHeight="1">
      <c r="A287" s="210"/>
      <c r="B287" s="210"/>
      <c r="C287" s="210"/>
      <c r="D287" s="210"/>
      <c r="E287" s="21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  <c r="AA287" s="210"/>
      <c r="AB287" s="210"/>
      <c r="AC287" s="210"/>
      <c r="AD287" s="210"/>
      <c r="AE287" s="210"/>
      <c r="AF287" s="210"/>
      <c r="AG287" s="210"/>
      <c r="AH287" s="219"/>
      <c r="AI287" s="219"/>
      <c r="AJ287" s="210"/>
      <c r="AK287" s="210"/>
      <c r="AL287" s="210"/>
      <c r="AM287" s="210"/>
      <c r="AN287" s="210"/>
      <c r="AO287" s="210"/>
      <c r="AP287" s="210"/>
      <c r="AQ287" s="210"/>
      <c r="AR287" s="210"/>
      <c r="AS287" s="210"/>
    </row>
    <row r="288" spans="1:45" ht="13.5" customHeight="1">
      <c r="A288" s="210"/>
      <c r="B288" s="210"/>
      <c r="C288" s="210"/>
      <c r="D288" s="210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  <c r="AA288" s="210"/>
      <c r="AB288" s="210"/>
      <c r="AC288" s="210"/>
      <c r="AD288" s="210"/>
      <c r="AE288" s="210"/>
      <c r="AF288" s="210"/>
      <c r="AG288" s="210"/>
      <c r="AH288" s="219"/>
      <c r="AI288" s="219"/>
      <c r="AJ288" s="210"/>
      <c r="AK288" s="210"/>
      <c r="AL288" s="210"/>
      <c r="AM288" s="210"/>
      <c r="AN288" s="210"/>
      <c r="AO288" s="210"/>
      <c r="AP288" s="210"/>
      <c r="AQ288" s="210"/>
      <c r="AR288" s="210"/>
      <c r="AS288" s="210"/>
    </row>
    <row r="289" spans="1:45" ht="13.5" customHeight="1">
      <c r="A289" s="210"/>
      <c r="B289" s="210"/>
      <c r="C289" s="210"/>
      <c r="D289" s="210"/>
      <c r="E289" s="21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  <c r="AA289" s="210"/>
      <c r="AB289" s="210"/>
      <c r="AC289" s="210"/>
      <c r="AD289" s="210"/>
      <c r="AE289" s="210"/>
      <c r="AF289" s="210"/>
      <c r="AG289" s="210"/>
      <c r="AH289" s="219"/>
      <c r="AI289" s="219"/>
      <c r="AJ289" s="210"/>
      <c r="AK289" s="210"/>
      <c r="AL289" s="210"/>
      <c r="AM289" s="210"/>
      <c r="AN289" s="210"/>
      <c r="AO289" s="210"/>
      <c r="AP289" s="210"/>
      <c r="AQ289" s="210"/>
      <c r="AR289" s="210"/>
      <c r="AS289" s="210"/>
    </row>
    <row r="290" spans="1:45" ht="13.5" customHeight="1">
      <c r="A290" s="210"/>
      <c r="B290" s="210"/>
      <c r="C290" s="210"/>
      <c r="D290" s="210"/>
      <c r="E290" s="21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  <c r="AA290" s="210"/>
      <c r="AB290" s="210"/>
      <c r="AC290" s="210"/>
      <c r="AD290" s="210"/>
      <c r="AE290" s="210"/>
      <c r="AF290" s="210"/>
      <c r="AG290" s="210"/>
      <c r="AH290" s="219"/>
      <c r="AI290" s="219"/>
      <c r="AJ290" s="210"/>
      <c r="AK290" s="210"/>
      <c r="AL290" s="210"/>
      <c r="AM290" s="210"/>
      <c r="AN290" s="210"/>
      <c r="AO290" s="210"/>
      <c r="AP290" s="210"/>
      <c r="AQ290" s="210"/>
      <c r="AR290" s="210"/>
      <c r="AS290" s="210"/>
    </row>
    <row r="291" spans="1:45" ht="13.5" customHeight="1">
      <c r="A291" s="210"/>
      <c r="B291" s="210"/>
      <c r="C291" s="210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  <c r="AA291" s="210"/>
      <c r="AB291" s="210"/>
      <c r="AC291" s="210"/>
      <c r="AD291" s="210"/>
      <c r="AE291" s="210"/>
      <c r="AF291" s="210"/>
      <c r="AG291" s="210"/>
      <c r="AH291" s="219"/>
      <c r="AI291" s="219"/>
      <c r="AJ291" s="210"/>
      <c r="AK291" s="210"/>
      <c r="AL291" s="210"/>
      <c r="AM291" s="210"/>
      <c r="AN291" s="210"/>
      <c r="AO291" s="210"/>
      <c r="AP291" s="210"/>
      <c r="AQ291" s="210"/>
      <c r="AR291" s="210"/>
      <c r="AS291" s="210"/>
    </row>
    <row r="292" spans="1:45" ht="13.5" customHeight="1">
      <c r="A292" s="210"/>
      <c r="B292" s="210"/>
      <c r="C292" s="210"/>
      <c r="D292" s="210"/>
      <c r="E292" s="21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  <c r="AA292" s="210"/>
      <c r="AB292" s="210"/>
      <c r="AC292" s="210"/>
      <c r="AD292" s="210"/>
      <c r="AE292" s="210"/>
      <c r="AF292" s="210"/>
      <c r="AG292" s="210"/>
      <c r="AH292" s="219"/>
      <c r="AI292" s="219"/>
      <c r="AJ292" s="210"/>
      <c r="AK292" s="210"/>
      <c r="AL292" s="210"/>
      <c r="AM292" s="210"/>
      <c r="AN292" s="210"/>
      <c r="AO292" s="210"/>
      <c r="AP292" s="210"/>
      <c r="AQ292" s="210"/>
      <c r="AR292" s="210"/>
      <c r="AS292" s="210"/>
    </row>
    <row r="293" spans="1:45" ht="13.5" customHeight="1">
      <c r="A293" s="210"/>
      <c r="B293" s="210"/>
      <c r="C293" s="210"/>
      <c r="D293" s="210"/>
      <c r="E293" s="210"/>
      <c r="F293" s="210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  <c r="AA293" s="210"/>
      <c r="AB293" s="210"/>
      <c r="AC293" s="210"/>
      <c r="AD293" s="210"/>
      <c r="AE293" s="210"/>
      <c r="AF293" s="210"/>
      <c r="AG293" s="210"/>
      <c r="AH293" s="219"/>
      <c r="AI293" s="219"/>
      <c r="AJ293" s="210"/>
      <c r="AK293" s="210"/>
      <c r="AL293" s="210"/>
      <c r="AM293" s="210"/>
      <c r="AN293" s="210"/>
      <c r="AO293" s="210"/>
      <c r="AP293" s="210"/>
      <c r="AQ293" s="210"/>
      <c r="AR293" s="210"/>
      <c r="AS293" s="210"/>
    </row>
    <row r="294" spans="1:45" ht="13.5" customHeight="1">
      <c r="A294" s="210"/>
      <c r="B294" s="210"/>
      <c r="C294" s="210"/>
      <c r="D294" s="210"/>
      <c r="E294" s="21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  <c r="AA294" s="210"/>
      <c r="AB294" s="210"/>
      <c r="AC294" s="210"/>
      <c r="AD294" s="210"/>
      <c r="AE294" s="210"/>
      <c r="AF294" s="210"/>
      <c r="AG294" s="210"/>
      <c r="AH294" s="219"/>
      <c r="AI294" s="219"/>
      <c r="AJ294" s="210"/>
      <c r="AK294" s="210"/>
      <c r="AL294" s="210"/>
      <c r="AM294" s="210"/>
      <c r="AN294" s="210"/>
      <c r="AO294" s="210"/>
      <c r="AP294" s="210"/>
      <c r="AQ294" s="210"/>
      <c r="AR294" s="210"/>
      <c r="AS294" s="210"/>
    </row>
    <row r="295" spans="1:45" ht="13.5" customHeight="1">
      <c r="A295" s="210"/>
      <c r="B295" s="210"/>
      <c r="C295" s="210"/>
      <c r="D295" s="210"/>
      <c r="E295" s="21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  <c r="AA295" s="210"/>
      <c r="AB295" s="210"/>
      <c r="AC295" s="210"/>
      <c r="AD295" s="210"/>
      <c r="AE295" s="210"/>
      <c r="AF295" s="210"/>
      <c r="AG295" s="210"/>
      <c r="AH295" s="219"/>
      <c r="AI295" s="219"/>
      <c r="AJ295" s="210"/>
      <c r="AK295" s="210"/>
      <c r="AL295" s="210"/>
      <c r="AM295" s="210"/>
      <c r="AN295" s="210"/>
      <c r="AO295" s="210"/>
      <c r="AP295" s="210"/>
      <c r="AQ295" s="210"/>
      <c r="AR295" s="210"/>
      <c r="AS295" s="210"/>
    </row>
    <row r="296" spans="1:45" ht="13.5" customHeight="1">
      <c r="A296" s="210"/>
      <c r="B296" s="210"/>
      <c r="C296" s="210"/>
      <c r="D296" s="210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  <c r="AA296" s="210"/>
      <c r="AB296" s="210"/>
      <c r="AC296" s="210"/>
      <c r="AD296" s="210"/>
      <c r="AE296" s="210"/>
      <c r="AF296" s="210"/>
      <c r="AG296" s="210"/>
      <c r="AH296" s="219"/>
      <c r="AI296" s="219"/>
      <c r="AJ296" s="210"/>
      <c r="AK296" s="210"/>
      <c r="AL296" s="210"/>
      <c r="AM296" s="210"/>
      <c r="AN296" s="210"/>
      <c r="AO296" s="210"/>
      <c r="AP296" s="210"/>
      <c r="AQ296" s="210"/>
      <c r="AR296" s="210"/>
      <c r="AS296" s="210"/>
    </row>
    <row r="297" spans="1:45" ht="13.5" customHeight="1">
      <c r="A297" s="210"/>
      <c r="B297" s="210"/>
      <c r="C297" s="210"/>
      <c r="D297" s="210"/>
      <c r="E297" s="21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  <c r="AA297" s="210"/>
      <c r="AB297" s="210"/>
      <c r="AC297" s="210"/>
      <c r="AD297" s="210"/>
      <c r="AE297" s="210"/>
      <c r="AF297" s="210"/>
      <c r="AG297" s="210"/>
      <c r="AH297" s="219"/>
      <c r="AI297" s="219"/>
      <c r="AJ297" s="210"/>
      <c r="AK297" s="210"/>
      <c r="AL297" s="210"/>
      <c r="AM297" s="210"/>
      <c r="AN297" s="210"/>
      <c r="AO297" s="210"/>
      <c r="AP297" s="210"/>
      <c r="AQ297" s="210"/>
      <c r="AR297" s="210"/>
      <c r="AS297" s="210"/>
    </row>
    <row r="298" spans="1:45" ht="13.5" customHeight="1">
      <c r="A298" s="210"/>
      <c r="B298" s="210"/>
      <c r="C298" s="210"/>
      <c r="D298" s="210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  <c r="AA298" s="210"/>
      <c r="AB298" s="210"/>
      <c r="AC298" s="210"/>
      <c r="AD298" s="210"/>
      <c r="AE298" s="210"/>
      <c r="AF298" s="210"/>
      <c r="AG298" s="210"/>
      <c r="AH298" s="219"/>
      <c r="AI298" s="219"/>
      <c r="AJ298" s="210"/>
      <c r="AK298" s="210"/>
      <c r="AL298" s="210"/>
      <c r="AM298" s="210"/>
      <c r="AN298" s="210"/>
      <c r="AO298" s="210"/>
      <c r="AP298" s="210"/>
      <c r="AQ298" s="210"/>
      <c r="AR298" s="210"/>
      <c r="AS298" s="210"/>
    </row>
    <row r="299" spans="1:45" ht="13.5" customHeight="1">
      <c r="A299" s="210"/>
      <c r="B299" s="210"/>
      <c r="C299" s="210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  <c r="AA299" s="210"/>
      <c r="AB299" s="210"/>
      <c r="AC299" s="210"/>
      <c r="AD299" s="210"/>
      <c r="AE299" s="210"/>
      <c r="AF299" s="210"/>
      <c r="AG299" s="210"/>
      <c r="AH299" s="219"/>
      <c r="AI299" s="219"/>
      <c r="AJ299" s="210"/>
      <c r="AK299" s="210"/>
      <c r="AL299" s="210"/>
      <c r="AM299" s="210"/>
      <c r="AN299" s="210"/>
      <c r="AO299" s="210"/>
      <c r="AP299" s="210"/>
      <c r="AQ299" s="210"/>
      <c r="AR299" s="210"/>
      <c r="AS299" s="210"/>
    </row>
    <row r="300" spans="1:45" ht="13.5" customHeight="1">
      <c r="A300" s="210"/>
      <c r="B300" s="210"/>
      <c r="C300" s="210"/>
      <c r="D300" s="210"/>
      <c r="E300" s="21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  <c r="AA300" s="210"/>
      <c r="AB300" s="210"/>
      <c r="AC300" s="210"/>
      <c r="AD300" s="210"/>
      <c r="AE300" s="210"/>
      <c r="AF300" s="210"/>
      <c r="AG300" s="210"/>
      <c r="AH300" s="219"/>
      <c r="AI300" s="219"/>
      <c r="AJ300" s="210"/>
      <c r="AK300" s="210"/>
      <c r="AL300" s="210"/>
      <c r="AM300" s="210"/>
      <c r="AN300" s="210"/>
      <c r="AO300" s="210"/>
      <c r="AP300" s="210"/>
      <c r="AQ300" s="210"/>
      <c r="AR300" s="210"/>
      <c r="AS300" s="210"/>
    </row>
    <row r="301" spans="1:45" ht="13.5" customHeight="1">
      <c r="A301" s="210"/>
      <c r="B301" s="210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  <c r="AA301" s="210"/>
      <c r="AB301" s="210"/>
      <c r="AC301" s="210"/>
      <c r="AD301" s="210"/>
      <c r="AE301" s="210"/>
      <c r="AF301" s="210"/>
      <c r="AG301" s="210"/>
      <c r="AH301" s="219"/>
      <c r="AI301" s="219"/>
      <c r="AJ301" s="210"/>
      <c r="AK301" s="210"/>
      <c r="AL301" s="210"/>
      <c r="AM301" s="210"/>
      <c r="AN301" s="210"/>
      <c r="AO301" s="210"/>
      <c r="AP301" s="210"/>
      <c r="AQ301" s="210"/>
      <c r="AR301" s="210"/>
      <c r="AS301" s="210"/>
    </row>
    <row r="302" spans="1:45" ht="13.5" customHeight="1">
      <c r="A302" s="210"/>
      <c r="B302" s="210"/>
      <c r="C302" s="210"/>
      <c r="D302" s="210"/>
      <c r="E302" s="21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  <c r="AA302" s="210"/>
      <c r="AB302" s="210"/>
      <c r="AC302" s="210"/>
      <c r="AD302" s="210"/>
      <c r="AE302" s="210"/>
      <c r="AF302" s="210"/>
      <c r="AG302" s="210"/>
      <c r="AH302" s="219"/>
      <c r="AI302" s="219"/>
      <c r="AJ302" s="210"/>
      <c r="AK302" s="210"/>
      <c r="AL302" s="210"/>
      <c r="AM302" s="210"/>
      <c r="AN302" s="210"/>
      <c r="AO302" s="210"/>
      <c r="AP302" s="210"/>
      <c r="AQ302" s="210"/>
      <c r="AR302" s="210"/>
      <c r="AS302" s="210"/>
    </row>
    <row r="303" spans="1:45" ht="13.5" customHeight="1">
      <c r="A303" s="210"/>
      <c r="B303" s="210"/>
      <c r="C303" s="210"/>
      <c r="D303" s="210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  <c r="AA303" s="210"/>
      <c r="AB303" s="210"/>
      <c r="AC303" s="210"/>
      <c r="AD303" s="210"/>
      <c r="AE303" s="210"/>
      <c r="AF303" s="210"/>
      <c r="AG303" s="210"/>
      <c r="AH303" s="219"/>
      <c r="AI303" s="219"/>
      <c r="AJ303" s="210"/>
      <c r="AK303" s="210"/>
      <c r="AL303" s="210"/>
      <c r="AM303" s="210"/>
      <c r="AN303" s="210"/>
      <c r="AO303" s="210"/>
      <c r="AP303" s="210"/>
      <c r="AQ303" s="210"/>
      <c r="AR303" s="210"/>
      <c r="AS303" s="210"/>
    </row>
    <row r="304" spans="1:45" ht="13.5" customHeight="1">
      <c r="A304" s="210"/>
      <c r="B304" s="210"/>
      <c r="C304" s="210"/>
      <c r="D304" s="210"/>
      <c r="E304" s="21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  <c r="AA304" s="210"/>
      <c r="AB304" s="210"/>
      <c r="AC304" s="210"/>
      <c r="AD304" s="210"/>
      <c r="AE304" s="210"/>
      <c r="AF304" s="210"/>
      <c r="AG304" s="210"/>
      <c r="AH304" s="219"/>
      <c r="AI304" s="219"/>
      <c r="AJ304" s="210"/>
      <c r="AK304" s="210"/>
      <c r="AL304" s="210"/>
      <c r="AM304" s="210"/>
      <c r="AN304" s="210"/>
      <c r="AO304" s="210"/>
      <c r="AP304" s="210"/>
      <c r="AQ304" s="210"/>
      <c r="AR304" s="210"/>
      <c r="AS304" s="210"/>
    </row>
    <row r="305" spans="1:45" ht="13.5" customHeight="1">
      <c r="A305" s="210"/>
      <c r="B305" s="210"/>
      <c r="C305" s="210"/>
      <c r="D305" s="210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  <c r="AA305" s="210"/>
      <c r="AB305" s="210"/>
      <c r="AC305" s="210"/>
      <c r="AD305" s="210"/>
      <c r="AE305" s="210"/>
      <c r="AF305" s="210"/>
      <c r="AG305" s="210"/>
      <c r="AH305" s="219"/>
      <c r="AI305" s="219"/>
      <c r="AJ305" s="210"/>
      <c r="AK305" s="210"/>
      <c r="AL305" s="210"/>
      <c r="AM305" s="210"/>
      <c r="AN305" s="210"/>
      <c r="AO305" s="210"/>
      <c r="AP305" s="210"/>
      <c r="AQ305" s="210"/>
      <c r="AR305" s="210"/>
      <c r="AS305" s="210"/>
    </row>
    <row r="306" spans="1:45" ht="13.5" customHeight="1">
      <c r="A306" s="210"/>
      <c r="B306" s="210"/>
      <c r="C306" s="210"/>
      <c r="D306" s="210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  <c r="AA306" s="210"/>
      <c r="AB306" s="210"/>
      <c r="AC306" s="210"/>
      <c r="AD306" s="210"/>
      <c r="AE306" s="210"/>
      <c r="AF306" s="210"/>
      <c r="AG306" s="210"/>
      <c r="AH306" s="219"/>
      <c r="AI306" s="219"/>
      <c r="AJ306" s="210"/>
      <c r="AK306" s="210"/>
      <c r="AL306" s="210"/>
      <c r="AM306" s="210"/>
      <c r="AN306" s="210"/>
      <c r="AO306" s="210"/>
      <c r="AP306" s="210"/>
      <c r="AQ306" s="210"/>
      <c r="AR306" s="210"/>
      <c r="AS306" s="210"/>
    </row>
    <row r="307" spans="1:45" ht="13.5" customHeight="1">
      <c r="A307" s="210"/>
      <c r="B307" s="210"/>
      <c r="C307" s="210"/>
      <c r="D307" s="210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  <c r="AA307" s="210"/>
      <c r="AB307" s="210"/>
      <c r="AC307" s="210"/>
      <c r="AD307" s="210"/>
      <c r="AE307" s="210"/>
      <c r="AF307" s="210"/>
      <c r="AG307" s="210"/>
      <c r="AH307" s="219"/>
      <c r="AI307" s="219"/>
      <c r="AJ307" s="210"/>
      <c r="AK307" s="210"/>
      <c r="AL307" s="210"/>
      <c r="AM307" s="210"/>
      <c r="AN307" s="210"/>
      <c r="AO307" s="210"/>
      <c r="AP307" s="210"/>
      <c r="AQ307" s="210"/>
      <c r="AR307" s="210"/>
      <c r="AS307" s="210"/>
    </row>
    <row r="308" spans="1:45" ht="13.5" customHeight="1">
      <c r="A308" s="210"/>
      <c r="B308" s="210"/>
      <c r="C308" s="210"/>
      <c r="D308" s="210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  <c r="AA308" s="210"/>
      <c r="AB308" s="210"/>
      <c r="AC308" s="210"/>
      <c r="AD308" s="210"/>
      <c r="AE308" s="210"/>
      <c r="AF308" s="210"/>
      <c r="AG308" s="210"/>
      <c r="AH308" s="219"/>
      <c r="AI308" s="219"/>
      <c r="AJ308" s="210"/>
      <c r="AK308" s="210"/>
      <c r="AL308" s="210"/>
      <c r="AM308" s="210"/>
      <c r="AN308" s="210"/>
      <c r="AO308" s="210"/>
      <c r="AP308" s="210"/>
      <c r="AQ308" s="210"/>
      <c r="AR308" s="210"/>
      <c r="AS308" s="210"/>
    </row>
    <row r="309" spans="1:45" ht="13.5" customHeight="1">
      <c r="A309" s="210"/>
      <c r="B309" s="210"/>
      <c r="C309" s="210"/>
      <c r="D309" s="210"/>
      <c r="E309" s="21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  <c r="AA309" s="210"/>
      <c r="AB309" s="210"/>
      <c r="AC309" s="210"/>
      <c r="AD309" s="210"/>
      <c r="AE309" s="210"/>
      <c r="AF309" s="210"/>
      <c r="AG309" s="210"/>
      <c r="AH309" s="219"/>
      <c r="AI309" s="219"/>
      <c r="AJ309" s="210"/>
      <c r="AK309" s="210"/>
      <c r="AL309" s="210"/>
      <c r="AM309" s="210"/>
      <c r="AN309" s="210"/>
      <c r="AO309" s="210"/>
      <c r="AP309" s="210"/>
      <c r="AQ309" s="210"/>
      <c r="AR309" s="210"/>
      <c r="AS309" s="210"/>
    </row>
    <row r="310" spans="1:45" ht="13.5" customHeight="1">
      <c r="A310" s="210"/>
      <c r="B310" s="210"/>
      <c r="C310" s="210"/>
      <c r="D310" s="210"/>
      <c r="E310" s="21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  <c r="AA310" s="210"/>
      <c r="AB310" s="210"/>
      <c r="AC310" s="210"/>
      <c r="AD310" s="210"/>
      <c r="AE310" s="210"/>
      <c r="AF310" s="210"/>
      <c r="AG310" s="210"/>
      <c r="AH310" s="219"/>
      <c r="AI310" s="219"/>
      <c r="AJ310" s="210"/>
      <c r="AK310" s="210"/>
      <c r="AL310" s="210"/>
      <c r="AM310" s="210"/>
      <c r="AN310" s="210"/>
      <c r="AO310" s="210"/>
      <c r="AP310" s="210"/>
      <c r="AQ310" s="210"/>
      <c r="AR310" s="210"/>
      <c r="AS310" s="210"/>
    </row>
    <row r="311" spans="1:45" ht="13.5" customHeight="1">
      <c r="A311" s="210"/>
      <c r="B311" s="210"/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  <c r="AA311" s="210"/>
      <c r="AB311" s="210"/>
      <c r="AC311" s="210"/>
      <c r="AD311" s="210"/>
      <c r="AE311" s="210"/>
      <c r="AF311" s="210"/>
      <c r="AG311" s="210"/>
      <c r="AH311" s="219"/>
      <c r="AI311" s="219"/>
      <c r="AJ311" s="210"/>
      <c r="AK311" s="210"/>
      <c r="AL311" s="210"/>
      <c r="AM311" s="210"/>
      <c r="AN311" s="210"/>
      <c r="AO311" s="210"/>
      <c r="AP311" s="210"/>
      <c r="AQ311" s="210"/>
      <c r="AR311" s="210"/>
      <c r="AS311" s="210"/>
    </row>
    <row r="312" spans="1:45" ht="13.5" customHeight="1">
      <c r="A312" s="210"/>
      <c r="B312" s="210"/>
      <c r="C312" s="210"/>
      <c r="D312" s="210"/>
      <c r="E312" s="21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  <c r="AA312" s="210"/>
      <c r="AB312" s="210"/>
      <c r="AC312" s="210"/>
      <c r="AD312" s="210"/>
      <c r="AE312" s="210"/>
      <c r="AF312" s="210"/>
      <c r="AG312" s="210"/>
      <c r="AH312" s="219"/>
      <c r="AI312" s="219"/>
      <c r="AJ312" s="210"/>
      <c r="AK312" s="210"/>
      <c r="AL312" s="210"/>
      <c r="AM312" s="210"/>
      <c r="AN312" s="210"/>
      <c r="AO312" s="210"/>
      <c r="AP312" s="210"/>
      <c r="AQ312" s="210"/>
      <c r="AR312" s="210"/>
      <c r="AS312" s="210"/>
    </row>
    <row r="313" spans="1:45" ht="13.5" customHeight="1">
      <c r="A313" s="210"/>
      <c r="B313" s="210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0"/>
      <c r="AG313" s="210"/>
      <c r="AH313" s="219"/>
      <c r="AI313" s="219"/>
      <c r="AJ313" s="210"/>
      <c r="AK313" s="210"/>
      <c r="AL313" s="210"/>
      <c r="AM313" s="210"/>
      <c r="AN313" s="210"/>
      <c r="AO313" s="210"/>
      <c r="AP313" s="210"/>
      <c r="AQ313" s="210"/>
      <c r="AR313" s="210"/>
      <c r="AS313" s="210"/>
    </row>
    <row r="314" spans="1:45" ht="13.5" customHeight="1">
      <c r="A314" s="210"/>
      <c r="B314" s="210"/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  <c r="AA314" s="210"/>
      <c r="AB314" s="210"/>
      <c r="AC314" s="210"/>
      <c r="AD314" s="210"/>
      <c r="AE314" s="210"/>
      <c r="AF314" s="210"/>
      <c r="AG314" s="210"/>
      <c r="AH314" s="219"/>
      <c r="AI314" s="219"/>
      <c r="AJ314" s="210"/>
      <c r="AK314" s="210"/>
      <c r="AL314" s="210"/>
      <c r="AM314" s="210"/>
      <c r="AN314" s="210"/>
      <c r="AO314" s="210"/>
      <c r="AP314" s="210"/>
      <c r="AQ314" s="210"/>
      <c r="AR314" s="210"/>
      <c r="AS314" s="210"/>
    </row>
    <row r="315" spans="1:45" ht="13.5" customHeight="1">
      <c r="A315" s="210"/>
      <c r="B315" s="210"/>
      <c r="C315" s="210"/>
      <c r="D315" s="210"/>
      <c r="E315" s="21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  <c r="AA315" s="210"/>
      <c r="AB315" s="210"/>
      <c r="AC315" s="210"/>
      <c r="AD315" s="210"/>
      <c r="AE315" s="210"/>
      <c r="AF315" s="210"/>
      <c r="AG315" s="210"/>
      <c r="AH315" s="219"/>
      <c r="AI315" s="219"/>
      <c r="AJ315" s="210"/>
      <c r="AK315" s="210"/>
      <c r="AL315" s="210"/>
      <c r="AM315" s="210"/>
      <c r="AN315" s="210"/>
      <c r="AO315" s="210"/>
      <c r="AP315" s="210"/>
      <c r="AQ315" s="210"/>
      <c r="AR315" s="210"/>
      <c r="AS315" s="210"/>
    </row>
    <row r="316" spans="1:45" ht="13.5" customHeight="1">
      <c r="A316" s="210"/>
      <c r="B316" s="210"/>
      <c r="C316" s="210"/>
      <c r="D316" s="210"/>
      <c r="E316" s="21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  <c r="AA316" s="210"/>
      <c r="AB316" s="210"/>
      <c r="AC316" s="210"/>
      <c r="AD316" s="210"/>
      <c r="AE316" s="210"/>
      <c r="AF316" s="210"/>
      <c r="AG316" s="210"/>
      <c r="AH316" s="219"/>
      <c r="AI316" s="219"/>
      <c r="AJ316" s="210"/>
      <c r="AK316" s="210"/>
      <c r="AL316" s="210"/>
      <c r="AM316" s="210"/>
      <c r="AN316" s="210"/>
      <c r="AO316" s="210"/>
      <c r="AP316" s="210"/>
      <c r="AQ316" s="210"/>
      <c r="AR316" s="210"/>
      <c r="AS316" s="210"/>
    </row>
    <row r="317" spans="1:45" ht="13.5" customHeight="1">
      <c r="A317" s="210"/>
      <c r="B317" s="210"/>
      <c r="C317" s="210"/>
      <c r="D317" s="210"/>
      <c r="E317" s="21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  <c r="AA317" s="210"/>
      <c r="AB317" s="210"/>
      <c r="AC317" s="210"/>
      <c r="AD317" s="210"/>
      <c r="AE317" s="210"/>
      <c r="AF317" s="210"/>
      <c r="AG317" s="210"/>
      <c r="AH317" s="219"/>
      <c r="AI317" s="219"/>
      <c r="AJ317" s="210"/>
      <c r="AK317" s="210"/>
      <c r="AL317" s="210"/>
      <c r="AM317" s="210"/>
      <c r="AN317" s="210"/>
      <c r="AO317" s="210"/>
      <c r="AP317" s="210"/>
      <c r="AQ317" s="210"/>
      <c r="AR317" s="210"/>
      <c r="AS317" s="210"/>
    </row>
    <row r="318" spans="1:45" ht="13.5" customHeight="1">
      <c r="A318" s="210"/>
      <c r="B318" s="210"/>
      <c r="C318" s="210"/>
      <c r="D318" s="210"/>
      <c r="E318" s="21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  <c r="AA318" s="210"/>
      <c r="AB318" s="210"/>
      <c r="AC318" s="210"/>
      <c r="AD318" s="210"/>
      <c r="AE318" s="210"/>
      <c r="AF318" s="210"/>
      <c r="AG318" s="210"/>
      <c r="AH318" s="219"/>
      <c r="AI318" s="219"/>
      <c r="AJ318" s="210"/>
      <c r="AK318" s="210"/>
      <c r="AL318" s="210"/>
      <c r="AM318" s="210"/>
      <c r="AN318" s="210"/>
      <c r="AO318" s="210"/>
      <c r="AP318" s="210"/>
      <c r="AQ318" s="210"/>
      <c r="AR318" s="210"/>
      <c r="AS318" s="210"/>
    </row>
    <row r="319" spans="1:45" ht="13.5" customHeight="1">
      <c r="A319" s="210"/>
      <c r="B319" s="210"/>
      <c r="C319" s="210"/>
      <c r="D319" s="210"/>
      <c r="E319" s="21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  <c r="AA319" s="210"/>
      <c r="AB319" s="210"/>
      <c r="AC319" s="210"/>
      <c r="AD319" s="210"/>
      <c r="AE319" s="210"/>
      <c r="AF319" s="210"/>
      <c r="AG319" s="210"/>
      <c r="AH319" s="219"/>
      <c r="AI319" s="219"/>
      <c r="AJ319" s="210"/>
      <c r="AK319" s="210"/>
      <c r="AL319" s="210"/>
      <c r="AM319" s="210"/>
      <c r="AN319" s="210"/>
      <c r="AO319" s="210"/>
      <c r="AP319" s="210"/>
      <c r="AQ319" s="210"/>
      <c r="AR319" s="210"/>
      <c r="AS319" s="210"/>
    </row>
    <row r="320" spans="1:45" ht="13.5" customHeight="1">
      <c r="A320" s="210"/>
      <c r="B320" s="210"/>
      <c r="C320" s="210"/>
      <c r="D320" s="210"/>
      <c r="E320" s="21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  <c r="AA320" s="210"/>
      <c r="AB320" s="210"/>
      <c r="AC320" s="210"/>
      <c r="AD320" s="210"/>
      <c r="AE320" s="210"/>
      <c r="AF320" s="210"/>
      <c r="AG320" s="210"/>
      <c r="AH320" s="219"/>
      <c r="AI320" s="219"/>
      <c r="AJ320" s="210"/>
      <c r="AK320" s="210"/>
      <c r="AL320" s="210"/>
      <c r="AM320" s="210"/>
      <c r="AN320" s="210"/>
      <c r="AO320" s="210"/>
      <c r="AP320" s="210"/>
      <c r="AQ320" s="210"/>
      <c r="AR320" s="210"/>
      <c r="AS320" s="210"/>
    </row>
    <row r="321" spans="1:45" ht="13.5" customHeight="1">
      <c r="A321" s="210"/>
      <c r="B321" s="210"/>
      <c r="C321" s="210"/>
      <c r="D321" s="210"/>
      <c r="E321" s="21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  <c r="AA321" s="210"/>
      <c r="AB321" s="210"/>
      <c r="AC321" s="210"/>
      <c r="AD321" s="210"/>
      <c r="AE321" s="210"/>
      <c r="AF321" s="210"/>
      <c r="AG321" s="210"/>
      <c r="AH321" s="219"/>
      <c r="AI321" s="219"/>
      <c r="AJ321" s="210"/>
      <c r="AK321" s="210"/>
      <c r="AL321" s="210"/>
      <c r="AM321" s="210"/>
      <c r="AN321" s="210"/>
      <c r="AO321" s="210"/>
      <c r="AP321" s="210"/>
      <c r="AQ321" s="210"/>
      <c r="AR321" s="210"/>
      <c r="AS321" s="210"/>
    </row>
    <row r="322" spans="1:45" ht="13.5" customHeight="1">
      <c r="A322" s="210"/>
      <c r="B322" s="210"/>
      <c r="C322" s="210"/>
      <c r="D322" s="210"/>
      <c r="E322" s="21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  <c r="AA322" s="210"/>
      <c r="AB322" s="210"/>
      <c r="AC322" s="210"/>
      <c r="AD322" s="210"/>
      <c r="AE322" s="210"/>
      <c r="AF322" s="210"/>
      <c r="AG322" s="210"/>
      <c r="AH322" s="219"/>
      <c r="AI322" s="219"/>
      <c r="AJ322" s="210"/>
      <c r="AK322" s="210"/>
      <c r="AL322" s="210"/>
      <c r="AM322" s="210"/>
      <c r="AN322" s="210"/>
      <c r="AO322" s="210"/>
      <c r="AP322" s="210"/>
      <c r="AQ322" s="210"/>
      <c r="AR322" s="210"/>
      <c r="AS322" s="210"/>
    </row>
    <row r="323" spans="1:45" ht="13.5" customHeight="1">
      <c r="A323" s="210"/>
      <c r="B323" s="210"/>
      <c r="C323" s="210"/>
      <c r="D323" s="210"/>
      <c r="E323" s="210"/>
      <c r="F323" s="210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  <c r="AA323" s="210"/>
      <c r="AB323" s="210"/>
      <c r="AC323" s="210"/>
      <c r="AD323" s="210"/>
      <c r="AE323" s="210"/>
      <c r="AF323" s="210"/>
      <c r="AG323" s="210"/>
      <c r="AH323" s="219"/>
      <c r="AI323" s="219"/>
      <c r="AJ323" s="210"/>
      <c r="AK323" s="210"/>
      <c r="AL323" s="210"/>
      <c r="AM323" s="210"/>
      <c r="AN323" s="210"/>
      <c r="AO323" s="210"/>
      <c r="AP323" s="210"/>
      <c r="AQ323" s="210"/>
      <c r="AR323" s="210"/>
      <c r="AS323" s="210"/>
    </row>
    <row r="324" spans="1:45" ht="13.5" customHeight="1">
      <c r="A324" s="210"/>
      <c r="B324" s="210"/>
      <c r="C324" s="210"/>
      <c r="D324" s="210"/>
      <c r="E324" s="210"/>
      <c r="F324" s="210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  <c r="AA324" s="210"/>
      <c r="AB324" s="210"/>
      <c r="AC324" s="210"/>
      <c r="AD324" s="210"/>
      <c r="AE324" s="210"/>
      <c r="AF324" s="210"/>
      <c r="AG324" s="210"/>
      <c r="AH324" s="219"/>
      <c r="AI324" s="219"/>
      <c r="AJ324" s="210"/>
      <c r="AK324" s="210"/>
      <c r="AL324" s="210"/>
      <c r="AM324" s="210"/>
      <c r="AN324" s="210"/>
      <c r="AO324" s="210"/>
      <c r="AP324" s="210"/>
      <c r="AQ324" s="210"/>
      <c r="AR324" s="210"/>
      <c r="AS324" s="210"/>
    </row>
    <row r="325" spans="1:45" ht="13.5" customHeight="1">
      <c r="A325" s="210"/>
      <c r="B325" s="210"/>
      <c r="C325" s="210"/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  <c r="AA325" s="210"/>
      <c r="AB325" s="210"/>
      <c r="AC325" s="210"/>
      <c r="AD325" s="210"/>
      <c r="AE325" s="210"/>
      <c r="AF325" s="210"/>
      <c r="AG325" s="210"/>
      <c r="AH325" s="219"/>
      <c r="AI325" s="219"/>
      <c r="AJ325" s="210"/>
      <c r="AK325" s="210"/>
      <c r="AL325" s="210"/>
      <c r="AM325" s="210"/>
      <c r="AN325" s="210"/>
      <c r="AO325" s="210"/>
      <c r="AP325" s="210"/>
      <c r="AQ325" s="210"/>
      <c r="AR325" s="210"/>
      <c r="AS325" s="210"/>
    </row>
    <row r="326" spans="1:45" ht="13.5" customHeight="1">
      <c r="A326" s="210"/>
      <c r="B326" s="210"/>
      <c r="C326" s="210"/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  <c r="AA326" s="210"/>
      <c r="AB326" s="210"/>
      <c r="AC326" s="210"/>
      <c r="AD326" s="210"/>
      <c r="AE326" s="210"/>
      <c r="AF326" s="210"/>
      <c r="AG326" s="210"/>
      <c r="AH326" s="219"/>
      <c r="AI326" s="219"/>
      <c r="AJ326" s="210"/>
      <c r="AK326" s="210"/>
      <c r="AL326" s="210"/>
      <c r="AM326" s="210"/>
      <c r="AN326" s="210"/>
      <c r="AO326" s="210"/>
      <c r="AP326" s="210"/>
      <c r="AQ326" s="210"/>
      <c r="AR326" s="210"/>
      <c r="AS326" s="210"/>
    </row>
    <row r="327" spans="1:45" ht="13.5" customHeight="1">
      <c r="A327" s="210"/>
      <c r="B327" s="210"/>
      <c r="C327" s="210"/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  <c r="AA327" s="210"/>
      <c r="AB327" s="210"/>
      <c r="AC327" s="210"/>
      <c r="AD327" s="210"/>
      <c r="AE327" s="210"/>
      <c r="AF327" s="210"/>
      <c r="AG327" s="210"/>
      <c r="AH327" s="219"/>
      <c r="AI327" s="219"/>
      <c r="AJ327" s="210"/>
      <c r="AK327" s="210"/>
      <c r="AL327" s="210"/>
      <c r="AM327" s="210"/>
      <c r="AN327" s="210"/>
      <c r="AO327" s="210"/>
      <c r="AP327" s="210"/>
      <c r="AQ327" s="210"/>
      <c r="AR327" s="210"/>
      <c r="AS327" s="210"/>
    </row>
    <row r="328" spans="1:45" ht="13.5" customHeight="1">
      <c r="A328" s="210"/>
      <c r="B328" s="210"/>
      <c r="C328" s="210"/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  <c r="AA328" s="210"/>
      <c r="AB328" s="210"/>
      <c r="AC328" s="210"/>
      <c r="AD328" s="210"/>
      <c r="AE328" s="210"/>
      <c r="AF328" s="210"/>
      <c r="AG328" s="210"/>
      <c r="AH328" s="219"/>
      <c r="AI328" s="219"/>
      <c r="AJ328" s="210"/>
      <c r="AK328" s="210"/>
      <c r="AL328" s="210"/>
      <c r="AM328" s="210"/>
      <c r="AN328" s="210"/>
      <c r="AO328" s="210"/>
      <c r="AP328" s="210"/>
      <c r="AQ328" s="210"/>
      <c r="AR328" s="210"/>
      <c r="AS328" s="210"/>
    </row>
    <row r="329" spans="1:45" ht="13.5" customHeight="1">
      <c r="A329" s="210"/>
      <c r="B329" s="210"/>
      <c r="C329" s="210"/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  <c r="AA329" s="210"/>
      <c r="AB329" s="210"/>
      <c r="AC329" s="210"/>
      <c r="AD329" s="210"/>
      <c r="AE329" s="210"/>
      <c r="AF329" s="210"/>
      <c r="AG329" s="210"/>
      <c r="AH329" s="219"/>
      <c r="AI329" s="219"/>
      <c r="AJ329" s="210"/>
      <c r="AK329" s="210"/>
      <c r="AL329" s="210"/>
      <c r="AM329" s="210"/>
      <c r="AN329" s="210"/>
      <c r="AO329" s="210"/>
      <c r="AP329" s="210"/>
      <c r="AQ329" s="210"/>
      <c r="AR329" s="210"/>
      <c r="AS329" s="210"/>
    </row>
    <row r="330" spans="1:45" ht="13.5" customHeight="1">
      <c r="A330" s="210"/>
      <c r="B330" s="210"/>
      <c r="C330" s="210"/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  <c r="AA330" s="210"/>
      <c r="AB330" s="210"/>
      <c r="AC330" s="210"/>
      <c r="AD330" s="210"/>
      <c r="AE330" s="210"/>
      <c r="AF330" s="210"/>
      <c r="AG330" s="210"/>
      <c r="AH330" s="219"/>
      <c r="AI330" s="219"/>
      <c r="AJ330" s="210"/>
      <c r="AK330" s="210"/>
      <c r="AL330" s="210"/>
      <c r="AM330" s="210"/>
      <c r="AN330" s="210"/>
      <c r="AO330" s="210"/>
      <c r="AP330" s="210"/>
      <c r="AQ330" s="210"/>
      <c r="AR330" s="210"/>
      <c r="AS330" s="210"/>
    </row>
    <row r="331" spans="1:45" ht="13.5" customHeight="1">
      <c r="A331" s="210"/>
      <c r="B331" s="210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  <c r="AA331" s="210"/>
      <c r="AB331" s="210"/>
      <c r="AC331" s="210"/>
      <c r="AD331" s="210"/>
      <c r="AE331" s="210"/>
      <c r="AF331" s="210"/>
      <c r="AG331" s="210"/>
      <c r="AH331" s="219"/>
      <c r="AI331" s="219"/>
      <c r="AJ331" s="210"/>
      <c r="AK331" s="210"/>
      <c r="AL331" s="210"/>
      <c r="AM331" s="210"/>
      <c r="AN331" s="210"/>
      <c r="AO331" s="210"/>
      <c r="AP331" s="210"/>
      <c r="AQ331" s="210"/>
      <c r="AR331" s="210"/>
      <c r="AS331" s="210"/>
    </row>
    <row r="332" spans="1:45" ht="13.5" customHeight="1">
      <c r="A332" s="210"/>
      <c r="B332" s="210"/>
      <c r="C332" s="210"/>
      <c r="D332" s="210"/>
      <c r="E332" s="210"/>
      <c r="F332" s="210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  <c r="AA332" s="210"/>
      <c r="AB332" s="210"/>
      <c r="AC332" s="210"/>
      <c r="AD332" s="210"/>
      <c r="AE332" s="210"/>
      <c r="AF332" s="210"/>
      <c r="AG332" s="210"/>
      <c r="AH332" s="219"/>
      <c r="AI332" s="219"/>
      <c r="AJ332" s="210"/>
      <c r="AK332" s="210"/>
      <c r="AL332" s="210"/>
      <c r="AM332" s="210"/>
      <c r="AN332" s="210"/>
      <c r="AO332" s="210"/>
      <c r="AP332" s="210"/>
      <c r="AQ332" s="210"/>
      <c r="AR332" s="210"/>
      <c r="AS332" s="210"/>
    </row>
    <row r="333" spans="1:45" ht="13.5" customHeight="1">
      <c r="A333" s="210"/>
      <c r="B333" s="210"/>
      <c r="C333" s="210"/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  <c r="AA333" s="210"/>
      <c r="AB333" s="210"/>
      <c r="AC333" s="210"/>
      <c r="AD333" s="210"/>
      <c r="AE333" s="210"/>
      <c r="AF333" s="210"/>
      <c r="AG333" s="210"/>
      <c r="AH333" s="219"/>
      <c r="AI333" s="219"/>
      <c r="AJ333" s="210"/>
      <c r="AK333" s="210"/>
      <c r="AL333" s="210"/>
      <c r="AM333" s="210"/>
      <c r="AN333" s="210"/>
      <c r="AO333" s="210"/>
      <c r="AP333" s="210"/>
      <c r="AQ333" s="210"/>
      <c r="AR333" s="210"/>
      <c r="AS333" s="210"/>
    </row>
    <row r="334" spans="1:45" ht="13.5" customHeight="1">
      <c r="A334" s="210"/>
      <c r="B334" s="210"/>
      <c r="C334" s="210"/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  <c r="AA334" s="210"/>
      <c r="AB334" s="210"/>
      <c r="AC334" s="210"/>
      <c r="AD334" s="210"/>
      <c r="AE334" s="210"/>
      <c r="AF334" s="210"/>
      <c r="AG334" s="210"/>
      <c r="AH334" s="219"/>
      <c r="AI334" s="219"/>
      <c r="AJ334" s="210"/>
      <c r="AK334" s="210"/>
      <c r="AL334" s="210"/>
      <c r="AM334" s="210"/>
      <c r="AN334" s="210"/>
      <c r="AO334" s="210"/>
      <c r="AP334" s="210"/>
      <c r="AQ334" s="210"/>
      <c r="AR334" s="210"/>
      <c r="AS334" s="210"/>
    </row>
    <row r="335" spans="1:45" ht="13.5" customHeight="1">
      <c r="A335" s="210"/>
      <c r="B335" s="210"/>
      <c r="C335" s="210"/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  <c r="AA335" s="210"/>
      <c r="AB335" s="210"/>
      <c r="AC335" s="210"/>
      <c r="AD335" s="210"/>
      <c r="AE335" s="210"/>
      <c r="AF335" s="210"/>
      <c r="AG335" s="210"/>
      <c r="AH335" s="219"/>
      <c r="AI335" s="219"/>
      <c r="AJ335" s="210"/>
      <c r="AK335" s="210"/>
      <c r="AL335" s="210"/>
      <c r="AM335" s="210"/>
      <c r="AN335" s="210"/>
      <c r="AO335" s="210"/>
      <c r="AP335" s="210"/>
      <c r="AQ335" s="210"/>
      <c r="AR335" s="210"/>
      <c r="AS335" s="210"/>
    </row>
    <row r="336" spans="1:45" ht="13.5" customHeight="1">
      <c r="A336" s="210"/>
      <c r="B336" s="210"/>
      <c r="C336" s="210"/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  <c r="AA336" s="210"/>
      <c r="AB336" s="210"/>
      <c r="AC336" s="210"/>
      <c r="AD336" s="210"/>
      <c r="AE336" s="210"/>
      <c r="AF336" s="210"/>
      <c r="AG336" s="210"/>
      <c r="AH336" s="219"/>
      <c r="AI336" s="219"/>
      <c r="AJ336" s="210"/>
      <c r="AK336" s="210"/>
      <c r="AL336" s="210"/>
      <c r="AM336" s="210"/>
      <c r="AN336" s="210"/>
      <c r="AO336" s="210"/>
      <c r="AP336" s="210"/>
      <c r="AQ336" s="210"/>
      <c r="AR336" s="210"/>
      <c r="AS336" s="210"/>
    </row>
    <row r="337" spans="1:45" ht="13.5" customHeight="1">
      <c r="A337" s="210"/>
      <c r="B337" s="210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  <c r="AA337" s="210"/>
      <c r="AB337" s="210"/>
      <c r="AC337" s="210"/>
      <c r="AD337" s="210"/>
      <c r="AE337" s="210"/>
      <c r="AF337" s="210"/>
      <c r="AG337" s="210"/>
      <c r="AH337" s="219"/>
      <c r="AI337" s="219"/>
      <c r="AJ337" s="210"/>
      <c r="AK337" s="210"/>
      <c r="AL337" s="210"/>
      <c r="AM337" s="210"/>
      <c r="AN337" s="210"/>
      <c r="AO337" s="210"/>
      <c r="AP337" s="210"/>
      <c r="AQ337" s="210"/>
      <c r="AR337" s="210"/>
      <c r="AS337" s="210"/>
    </row>
    <row r="338" spans="1:45" ht="13.5" customHeight="1">
      <c r="A338" s="210"/>
      <c r="B338" s="210"/>
      <c r="C338" s="210"/>
      <c r="D338" s="210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  <c r="AA338" s="210"/>
      <c r="AB338" s="210"/>
      <c r="AC338" s="210"/>
      <c r="AD338" s="210"/>
      <c r="AE338" s="210"/>
      <c r="AF338" s="210"/>
      <c r="AG338" s="210"/>
      <c r="AH338" s="219"/>
      <c r="AI338" s="219"/>
      <c r="AJ338" s="210"/>
      <c r="AK338" s="210"/>
      <c r="AL338" s="210"/>
      <c r="AM338" s="210"/>
      <c r="AN338" s="210"/>
      <c r="AO338" s="210"/>
      <c r="AP338" s="210"/>
      <c r="AQ338" s="210"/>
      <c r="AR338" s="210"/>
      <c r="AS338" s="210"/>
    </row>
    <row r="339" spans="1:45" ht="13.5" customHeight="1">
      <c r="A339" s="210"/>
      <c r="B339" s="210"/>
      <c r="C339" s="210"/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  <c r="AA339" s="210"/>
      <c r="AB339" s="210"/>
      <c r="AC339" s="210"/>
      <c r="AD339" s="210"/>
      <c r="AE339" s="210"/>
      <c r="AF339" s="210"/>
      <c r="AG339" s="210"/>
      <c r="AH339" s="219"/>
      <c r="AI339" s="219"/>
      <c r="AJ339" s="210"/>
      <c r="AK339" s="210"/>
      <c r="AL339" s="210"/>
      <c r="AM339" s="210"/>
      <c r="AN339" s="210"/>
      <c r="AO339" s="210"/>
      <c r="AP339" s="210"/>
      <c r="AQ339" s="210"/>
      <c r="AR339" s="210"/>
      <c r="AS339" s="210"/>
    </row>
    <row r="340" spans="1:45" ht="13.5" customHeight="1">
      <c r="A340" s="210"/>
      <c r="B340" s="210"/>
      <c r="C340" s="210"/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  <c r="AA340" s="210"/>
      <c r="AB340" s="210"/>
      <c r="AC340" s="210"/>
      <c r="AD340" s="210"/>
      <c r="AE340" s="210"/>
      <c r="AF340" s="210"/>
      <c r="AG340" s="210"/>
      <c r="AH340" s="219"/>
      <c r="AI340" s="219"/>
      <c r="AJ340" s="210"/>
      <c r="AK340" s="210"/>
      <c r="AL340" s="210"/>
      <c r="AM340" s="210"/>
      <c r="AN340" s="210"/>
      <c r="AO340" s="210"/>
      <c r="AP340" s="210"/>
      <c r="AQ340" s="210"/>
      <c r="AR340" s="210"/>
      <c r="AS340" s="210"/>
    </row>
    <row r="341" spans="1:45" ht="13.5" customHeight="1">
      <c r="A341" s="210"/>
      <c r="B341" s="210"/>
      <c r="C341" s="210"/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  <c r="AA341" s="210"/>
      <c r="AB341" s="210"/>
      <c r="AC341" s="210"/>
      <c r="AD341" s="210"/>
      <c r="AE341" s="210"/>
      <c r="AF341" s="210"/>
      <c r="AG341" s="210"/>
      <c r="AH341" s="219"/>
      <c r="AI341" s="219"/>
      <c r="AJ341" s="210"/>
      <c r="AK341" s="210"/>
      <c r="AL341" s="210"/>
      <c r="AM341" s="210"/>
      <c r="AN341" s="210"/>
      <c r="AO341" s="210"/>
      <c r="AP341" s="210"/>
      <c r="AQ341" s="210"/>
      <c r="AR341" s="210"/>
      <c r="AS341" s="210"/>
    </row>
    <row r="342" spans="1:45" ht="13.5" customHeight="1">
      <c r="A342" s="210"/>
      <c r="B342" s="210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  <c r="AA342" s="210"/>
      <c r="AB342" s="210"/>
      <c r="AC342" s="210"/>
      <c r="AD342" s="210"/>
      <c r="AE342" s="210"/>
      <c r="AF342" s="210"/>
      <c r="AG342" s="210"/>
      <c r="AH342" s="219"/>
      <c r="AI342" s="219"/>
      <c r="AJ342" s="210"/>
      <c r="AK342" s="210"/>
      <c r="AL342" s="210"/>
      <c r="AM342" s="210"/>
      <c r="AN342" s="210"/>
      <c r="AO342" s="210"/>
      <c r="AP342" s="210"/>
      <c r="AQ342" s="210"/>
      <c r="AR342" s="210"/>
      <c r="AS342" s="210"/>
    </row>
    <row r="343" spans="1:45" ht="13.5" customHeight="1">
      <c r="A343" s="210"/>
      <c r="B343" s="210"/>
      <c r="C343" s="210"/>
      <c r="D343" s="210"/>
      <c r="E343" s="210"/>
      <c r="F343" s="210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  <c r="AA343" s="210"/>
      <c r="AB343" s="210"/>
      <c r="AC343" s="210"/>
      <c r="AD343" s="210"/>
      <c r="AE343" s="210"/>
      <c r="AF343" s="210"/>
      <c r="AG343" s="210"/>
      <c r="AH343" s="219"/>
      <c r="AI343" s="219"/>
      <c r="AJ343" s="210"/>
      <c r="AK343" s="210"/>
      <c r="AL343" s="210"/>
      <c r="AM343" s="210"/>
      <c r="AN343" s="210"/>
      <c r="AO343" s="210"/>
      <c r="AP343" s="210"/>
      <c r="AQ343" s="210"/>
      <c r="AR343" s="210"/>
      <c r="AS343" s="210"/>
    </row>
    <row r="344" spans="1:45" ht="13.5" customHeight="1">
      <c r="A344" s="210"/>
      <c r="B344" s="210"/>
      <c r="C344" s="210"/>
      <c r="D344" s="210"/>
      <c r="E344" s="210"/>
      <c r="F344" s="210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  <c r="AA344" s="210"/>
      <c r="AB344" s="210"/>
      <c r="AC344" s="210"/>
      <c r="AD344" s="210"/>
      <c r="AE344" s="210"/>
      <c r="AF344" s="210"/>
      <c r="AG344" s="210"/>
      <c r="AH344" s="219"/>
      <c r="AI344" s="219"/>
      <c r="AJ344" s="210"/>
      <c r="AK344" s="210"/>
      <c r="AL344" s="210"/>
      <c r="AM344" s="210"/>
      <c r="AN344" s="210"/>
      <c r="AO344" s="210"/>
      <c r="AP344" s="210"/>
      <c r="AQ344" s="210"/>
      <c r="AR344" s="210"/>
      <c r="AS344" s="210"/>
    </row>
    <row r="345" spans="1:45" ht="13.5" customHeight="1">
      <c r="A345" s="210"/>
      <c r="B345" s="210"/>
      <c r="C345" s="210"/>
      <c r="D345" s="210"/>
      <c r="E345" s="210"/>
      <c r="F345" s="210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  <c r="AA345" s="210"/>
      <c r="AB345" s="210"/>
      <c r="AC345" s="210"/>
      <c r="AD345" s="210"/>
      <c r="AE345" s="210"/>
      <c r="AF345" s="210"/>
      <c r="AG345" s="210"/>
      <c r="AH345" s="219"/>
      <c r="AI345" s="219"/>
      <c r="AJ345" s="210"/>
      <c r="AK345" s="210"/>
      <c r="AL345" s="210"/>
      <c r="AM345" s="210"/>
      <c r="AN345" s="210"/>
      <c r="AO345" s="210"/>
      <c r="AP345" s="210"/>
      <c r="AQ345" s="210"/>
      <c r="AR345" s="210"/>
      <c r="AS345" s="210"/>
    </row>
    <row r="346" spans="1:45" ht="13.5" customHeight="1">
      <c r="A346" s="210"/>
      <c r="B346" s="210"/>
      <c r="C346" s="210"/>
      <c r="D346" s="210"/>
      <c r="E346" s="210"/>
      <c r="F346" s="210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  <c r="AA346" s="210"/>
      <c r="AB346" s="210"/>
      <c r="AC346" s="210"/>
      <c r="AD346" s="210"/>
      <c r="AE346" s="210"/>
      <c r="AF346" s="210"/>
      <c r="AG346" s="210"/>
      <c r="AH346" s="219"/>
      <c r="AI346" s="219"/>
      <c r="AJ346" s="210"/>
      <c r="AK346" s="210"/>
      <c r="AL346" s="210"/>
      <c r="AM346" s="210"/>
      <c r="AN346" s="210"/>
      <c r="AO346" s="210"/>
      <c r="AP346" s="210"/>
      <c r="AQ346" s="210"/>
      <c r="AR346" s="210"/>
      <c r="AS346" s="210"/>
    </row>
    <row r="347" spans="1:45" ht="13.5" customHeight="1">
      <c r="A347" s="210"/>
      <c r="B347" s="210"/>
      <c r="C347" s="210"/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  <c r="AA347" s="210"/>
      <c r="AB347" s="210"/>
      <c r="AC347" s="210"/>
      <c r="AD347" s="210"/>
      <c r="AE347" s="210"/>
      <c r="AF347" s="210"/>
      <c r="AG347" s="210"/>
      <c r="AH347" s="219"/>
      <c r="AI347" s="219"/>
      <c r="AJ347" s="210"/>
      <c r="AK347" s="210"/>
      <c r="AL347" s="210"/>
      <c r="AM347" s="210"/>
      <c r="AN347" s="210"/>
      <c r="AO347" s="210"/>
      <c r="AP347" s="210"/>
      <c r="AQ347" s="210"/>
      <c r="AR347" s="210"/>
      <c r="AS347" s="210"/>
    </row>
    <row r="348" spans="1:45" ht="13.5" customHeight="1">
      <c r="A348" s="210"/>
      <c r="B348" s="210"/>
      <c r="C348" s="210"/>
      <c r="D348" s="210"/>
      <c r="E348" s="210"/>
      <c r="F348" s="210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  <c r="AA348" s="210"/>
      <c r="AB348" s="210"/>
      <c r="AC348" s="210"/>
      <c r="AD348" s="210"/>
      <c r="AE348" s="210"/>
      <c r="AF348" s="210"/>
      <c r="AG348" s="210"/>
      <c r="AH348" s="219"/>
      <c r="AI348" s="219"/>
      <c r="AJ348" s="210"/>
      <c r="AK348" s="210"/>
      <c r="AL348" s="210"/>
      <c r="AM348" s="210"/>
      <c r="AN348" s="210"/>
      <c r="AO348" s="210"/>
      <c r="AP348" s="210"/>
      <c r="AQ348" s="210"/>
      <c r="AR348" s="210"/>
      <c r="AS348" s="210"/>
    </row>
    <row r="349" spans="1:45" ht="13.5" customHeight="1">
      <c r="A349" s="210"/>
      <c r="B349" s="210"/>
      <c r="C349" s="210"/>
      <c r="D349" s="210"/>
      <c r="E349" s="210"/>
      <c r="F349" s="210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  <c r="AA349" s="210"/>
      <c r="AB349" s="210"/>
      <c r="AC349" s="210"/>
      <c r="AD349" s="210"/>
      <c r="AE349" s="210"/>
      <c r="AF349" s="210"/>
      <c r="AG349" s="210"/>
      <c r="AH349" s="219"/>
      <c r="AI349" s="219"/>
      <c r="AJ349" s="210"/>
      <c r="AK349" s="210"/>
      <c r="AL349" s="210"/>
      <c r="AM349" s="210"/>
      <c r="AN349" s="210"/>
      <c r="AO349" s="210"/>
      <c r="AP349" s="210"/>
      <c r="AQ349" s="210"/>
      <c r="AR349" s="210"/>
      <c r="AS349" s="210"/>
    </row>
    <row r="350" spans="1:45" ht="13.5" customHeight="1">
      <c r="A350" s="210"/>
      <c r="B350" s="210"/>
      <c r="C350" s="210"/>
      <c r="D350" s="210"/>
      <c r="E350" s="210"/>
      <c r="F350" s="210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  <c r="AA350" s="210"/>
      <c r="AB350" s="210"/>
      <c r="AC350" s="210"/>
      <c r="AD350" s="210"/>
      <c r="AE350" s="210"/>
      <c r="AF350" s="210"/>
      <c r="AG350" s="210"/>
      <c r="AH350" s="219"/>
      <c r="AI350" s="219"/>
      <c r="AJ350" s="210"/>
      <c r="AK350" s="210"/>
      <c r="AL350" s="210"/>
      <c r="AM350" s="210"/>
      <c r="AN350" s="210"/>
      <c r="AO350" s="210"/>
      <c r="AP350" s="210"/>
      <c r="AQ350" s="210"/>
      <c r="AR350" s="210"/>
      <c r="AS350" s="210"/>
    </row>
    <row r="351" spans="1:45" ht="13.5" customHeight="1">
      <c r="A351" s="210"/>
      <c r="B351" s="210"/>
      <c r="C351" s="210"/>
      <c r="D351" s="210"/>
      <c r="E351" s="210"/>
      <c r="F351" s="210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  <c r="AA351" s="210"/>
      <c r="AB351" s="210"/>
      <c r="AC351" s="210"/>
      <c r="AD351" s="210"/>
      <c r="AE351" s="210"/>
      <c r="AF351" s="210"/>
      <c r="AG351" s="210"/>
      <c r="AH351" s="219"/>
      <c r="AI351" s="219"/>
      <c r="AJ351" s="210"/>
      <c r="AK351" s="210"/>
      <c r="AL351" s="210"/>
      <c r="AM351" s="210"/>
      <c r="AN351" s="210"/>
      <c r="AO351" s="210"/>
      <c r="AP351" s="210"/>
      <c r="AQ351" s="210"/>
      <c r="AR351" s="210"/>
      <c r="AS351" s="210"/>
    </row>
    <row r="352" spans="1:45" ht="13.5" customHeight="1">
      <c r="A352" s="210"/>
      <c r="B352" s="210"/>
      <c r="C352" s="210"/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  <c r="AA352" s="210"/>
      <c r="AB352" s="210"/>
      <c r="AC352" s="210"/>
      <c r="AD352" s="210"/>
      <c r="AE352" s="210"/>
      <c r="AF352" s="210"/>
      <c r="AG352" s="210"/>
      <c r="AH352" s="219"/>
      <c r="AI352" s="219"/>
      <c r="AJ352" s="210"/>
      <c r="AK352" s="210"/>
      <c r="AL352" s="210"/>
      <c r="AM352" s="210"/>
      <c r="AN352" s="210"/>
      <c r="AO352" s="210"/>
      <c r="AP352" s="210"/>
      <c r="AQ352" s="210"/>
      <c r="AR352" s="210"/>
      <c r="AS352" s="210"/>
    </row>
    <row r="353" spans="1:45" ht="13.5" customHeight="1">
      <c r="A353" s="210"/>
      <c r="B353" s="210"/>
      <c r="C353" s="210"/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  <c r="AA353" s="210"/>
      <c r="AB353" s="210"/>
      <c r="AC353" s="210"/>
      <c r="AD353" s="210"/>
      <c r="AE353" s="210"/>
      <c r="AF353" s="210"/>
      <c r="AG353" s="210"/>
      <c r="AH353" s="219"/>
      <c r="AI353" s="219"/>
      <c r="AJ353" s="210"/>
      <c r="AK353" s="210"/>
      <c r="AL353" s="210"/>
      <c r="AM353" s="210"/>
      <c r="AN353" s="210"/>
      <c r="AO353" s="210"/>
      <c r="AP353" s="210"/>
      <c r="AQ353" s="210"/>
      <c r="AR353" s="210"/>
      <c r="AS353" s="210"/>
    </row>
    <row r="354" spans="1:45" ht="13.5" customHeight="1">
      <c r="A354" s="210"/>
      <c r="B354" s="210"/>
      <c r="C354" s="210"/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  <c r="AA354" s="210"/>
      <c r="AB354" s="210"/>
      <c r="AC354" s="210"/>
      <c r="AD354" s="210"/>
      <c r="AE354" s="210"/>
      <c r="AF354" s="210"/>
      <c r="AG354" s="210"/>
      <c r="AH354" s="219"/>
      <c r="AI354" s="219"/>
      <c r="AJ354" s="210"/>
      <c r="AK354" s="210"/>
      <c r="AL354" s="210"/>
      <c r="AM354" s="210"/>
      <c r="AN354" s="210"/>
      <c r="AO354" s="210"/>
      <c r="AP354" s="210"/>
      <c r="AQ354" s="210"/>
      <c r="AR354" s="210"/>
      <c r="AS354" s="210"/>
    </row>
    <row r="355" spans="1:45" ht="13.5" customHeight="1">
      <c r="A355" s="210"/>
      <c r="B355" s="210"/>
      <c r="C355" s="210"/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  <c r="AA355" s="210"/>
      <c r="AB355" s="210"/>
      <c r="AC355" s="210"/>
      <c r="AD355" s="210"/>
      <c r="AE355" s="210"/>
      <c r="AF355" s="210"/>
      <c r="AG355" s="210"/>
      <c r="AH355" s="219"/>
      <c r="AI355" s="219"/>
      <c r="AJ355" s="210"/>
      <c r="AK355" s="210"/>
      <c r="AL355" s="210"/>
      <c r="AM355" s="210"/>
      <c r="AN355" s="210"/>
      <c r="AO355" s="210"/>
      <c r="AP355" s="210"/>
      <c r="AQ355" s="210"/>
      <c r="AR355" s="210"/>
      <c r="AS355" s="210"/>
    </row>
    <row r="356" spans="1:45" ht="13.5" customHeight="1">
      <c r="A356" s="210"/>
      <c r="B356" s="210"/>
      <c r="C356" s="210"/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  <c r="AA356" s="210"/>
      <c r="AB356" s="210"/>
      <c r="AC356" s="210"/>
      <c r="AD356" s="210"/>
      <c r="AE356" s="210"/>
      <c r="AF356" s="210"/>
      <c r="AG356" s="210"/>
      <c r="AH356" s="219"/>
      <c r="AI356" s="219"/>
      <c r="AJ356" s="210"/>
      <c r="AK356" s="210"/>
      <c r="AL356" s="210"/>
      <c r="AM356" s="210"/>
      <c r="AN356" s="210"/>
      <c r="AO356" s="210"/>
      <c r="AP356" s="210"/>
      <c r="AQ356" s="210"/>
      <c r="AR356" s="210"/>
      <c r="AS356" s="210"/>
    </row>
    <row r="357" spans="1:45" ht="13.5" customHeight="1">
      <c r="A357" s="210"/>
      <c r="B357" s="210"/>
      <c r="C357" s="210"/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  <c r="AA357" s="210"/>
      <c r="AB357" s="210"/>
      <c r="AC357" s="210"/>
      <c r="AD357" s="210"/>
      <c r="AE357" s="210"/>
      <c r="AF357" s="210"/>
      <c r="AG357" s="210"/>
      <c r="AH357" s="219"/>
      <c r="AI357" s="219"/>
      <c r="AJ357" s="210"/>
      <c r="AK357" s="210"/>
      <c r="AL357" s="210"/>
      <c r="AM357" s="210"/>
      <c r="AN357" s="210"/>
      <c r="AO357" s="210"/>
      <c r="AP357" s="210"/>
      <c r="AQ357" s="210"/>
      <c r="AR357" s="210"/>
      <c r="AS357" s="210"/>
    </row>
    <row r="358" spans="1:45" ht="13.5" customHeight="1">
      <c r="A358" s="210"/>
      <c r="B358" s="210"/>
      <c r="C358" s="210"/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  <c r="AA358" s="210"/>
      <c r="AB358" s="210"/>
      <c r="AC358" s="210"/>
      <c r="AD358" s="210"/>
      <c r="AE358" s="210"/>
      <c r="AF358" s="210"/>
      <c r="AG358" s="210"/>
      <c r="AH358" s="219"/>
      <c r="AI358" s="219"/>
      <c r="AJ358" s="210"/>
      <c r="AK358" s="210"/>
      <c r="AL358" s="210"/>
      <c r="AM358" s="210"/>
      <c r="AN358" s="210"/>
      <c r="AO358" s="210"/>
      <c r="AP358" s="210"/>
      <c r="AQ358" s="210"/>
      <c r="AR358" s="210"/>
      <c r="AS358" s="210"/>
    </row>
    <row r="359" spans="1:45" ht="13.5" customHeight="1">
      <c r="A359" s="210"/>
      <c r="B359" s="210"/>
      <c r="C359" s="210"/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  <c r="AA359" s="210"/>
      <c r="AB359" s="210"/>
      <c r="AC359" s="210"/>
      <c r="AD359" s="210"/>
      <c r="AE359" s="210"/>
      <c r="AF359" s="210"/>
      <c r="AG359" s="210"/>
      <c r="AH359" s="219"/>
      <c r="AI359" s="219"/>
      <c r="AJ359" s="210"/>
      <c r="AK359" s="210"/>
      <c r="AL359" s="210"/>
      <c r="AM359" s="210"/>
      <c r="AN359" s="210"/>
      <c r="AO359" s="210"/>
      <c r="AP359" s="210"/>
      <c r="AQ359" s="210"/>
      <c r="AR359" s="210"/>
      <c r="AS359" s="210"/>
    </row>
    <row r="360" spans="1:45" ht="13.5" customHeight="1">
      <c r="A360" s="210"/>
      <c r="B360" s="210"/>
      <c r="C360" s="210"/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  <c r="AA360" s="210"/>
      <c r="AB360" s="210"/>
      <c r="AC360" s="210"/>
      <c r="AD360" s="210"/>
      <c r="AE360" s="210"/>
      <c r="AF360" s="210"/>
      <c r="AG360" s="210"/>
      <c r="AH360" s="219"/>
      <c r="AI360" s="219"/>
      <c r="AJ360" s="210"/>
      <c r="AK360" s="210"/>
      <c r="AL360" s="210"/>
      <c r="AM360" s="210"/>
      <c r="AN360" s="210"/>
      <c r="AO360" s="210"/>
      <c r="AP360" s="210"/>
      <c r="AQ360" s="210"/>
      <c r="AR360" s="210"/>
      <c r="AS360" s="210"/>
    </row>
    <row r="361" spans="1:45" ht="13.5" customHeight="1">
      <c r="A361" s="210"/>
      <c r="B361" s="210"/>
      <c r="C361" s="210"/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  <c r="AA361" s="210"/>
      <c r="AB361" s="210"/>
      <c r="AC361" s="210"/>
      <c r="AD361" s="210"/>
      <c r="AE361" s="210"/>
      <c r="AF361" s="210"/>
      <c r="AG361" s="210"/>
      <c r="AH361" s="219"/>
      <c r="AI361" s="219"/>
      <c r="AJ361" s="210"/>
      <c r="AK361" s="210"/>
      <c r="AL361" s="210"/>
      <c r="AM361" s="210"/>
      <c r="AN361" s="210"/>
      <c r="AO361" s="210"/>
      <c r="AP361" s="210"/>
      <c r="AQ361" s="210"/>
      <c r="AR361" s="210"/>
      <c r="AS361" s="210"/>
    </row>
    <row r="362" spans="1:45" ht="13.5" customHeight="1">
      <c r="A362" s="210"/>
      <c r="B362" s="210"/>
      <c r="C362" s="210"/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  <c r="AA362" s="210"/>
      <c r="AB362" s="210"/>
      <c r="AC362" s="210"/>
      <c r="AD362" s="210"/>
      <c r="AE362" s="210"/>
      <c r="AF362" s="210"/>
      <c r="AG362" s="210"/>
      <c r="AH362" s="219"/>
      <c r="AI362" s="219"/>
      <c r="AJ362" s="210"/>
      <c r="AK362" s="210"/>
      <c r="AL362" s="210"/>
      <c r="AM362" s="210"/>
      <c r="AN362" s="210"/>
      <c r="AO362" s="210"/>
      <c r="AP362" s="210"/>
      <c r="AQ362" s="210"/>
      <c r="AR362" s="210"/>
      <c r="AS362" s="210"/>
    </row>
    <row r="363" spans="1:45" ht="13.5" customHeight="1">
      <c r="A363" s="210"/>
      <c r="B363" s="210"/>
      <c r="C363" s="210"/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  <c r="AA363" s="210"/>
      <c r="AB363" s="210"/>
      <c r="AC363" s="210"/>
      <c r="AD363" s="210"/>
      <c r="AE363" s="210"/>
      <c r="AF363" s="210"/>
      <c r="AG363" s="210"/>
      <c r="AH363" s="219"/>
      <c r="AI363" s="219"/>
      <c r="AJ363" s="210"/>
      <c r="AK363" s="210"/>
      <c r="AL363" s="210"/>
      <c r="AM363" s="210"/>
      <c r="AN363" s="210"/>
      <c r="AO363" s="210"/>
      <c r="AP363" s="210"/>
      <c r="AQ363" s="210"/>
      <c r="AR363" s="210"/>
      <c r="AS363" s="210"/>
    </row>
    <row r="364" spans="1:45" ht="13.5" customHeight="1">
      <c r="A364" s="210"/>
      <c r="B364" s="210"/>
      <c r="C364" s="210"/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  <c r="AA364" s="210"/>
      <c r="AB364" s="210"/>
      <c r="AC364" s="210"/>
      <c r="AD364" s="210"/>
      <c r="AE364" s="210"/>
      <c r="AF364" s="210"/>
      <c r="AG364" s="210"/>
      <c r="AH364" s="219"/>
      <c r="AI364" s="219"/>
      <c r="AJ364" s="210"/>
      <c r="AK364" s="210"/>
      <c r="AL364" s="210"/>
      <c r="AM364" s="210"/>
      <c r="AN364" s="210"/>
      <c r="AO364" s="210"/>
      <c r="AP364" s="210"/>
      <c r="AQ364" s="210"/>
      <c r="AR364" s="210"/>
      <c r="AS364" s="210"/>
    </row>
    <row r="365" spans="1:45" ht="13.5" customHeight="1">
      <c r="A365" s="210"/>
      <c r="B365" s="210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0"/>
      <c r="AG365" s="210"/>
      <c r="AH365" s="219"/>
      <c r="AI365" s="219"/>
      <c r="AJ365" s="210"/>
      <c r="AK365" s="210"/>
      <c r="AL365" s="210"/>
      <c r="AM365" s="210"/>
      <c r="AN365" s="210"/>
      <c r="AO365" s="210"/>
      <c r="AP365" s="210"/>
      <c r="AQ365" s="210"/>
      <c r="AR365" s="210"/>
      <c r="AS365" s="210"/>
    </row>
    <row r="366" spans="1:45" ht="13.5" customHeight="1">
      <c r="A366" s="210"/>
      <c r="B366" s="210"/>
      <c r="C366" s="210"/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  <c r="AA366" s="210"/>
      <c r="AB366" s="210"/>
      <c r="AC366" s="210"/>
      <c r="AD366" s="210"/>
      <c r="AE366" s="210"/>
      <c r="AF366" s="210"/>
      <c r="AG366" s="210"/>
      <c r="AH366" s="219"/>
      <c r="AI366" s="219"/>
      <c r="AJ366" s="210"/>
      <c r="AK366" s="210"/>
      <c r="AL366" s="210"/>
      <c r="AM366" s="210"/>
      <c r="AN366" s="210"/>
      <c r="AO366" s="210"/>
      <c r="AP366" s="210"/>
      <c r="AQ366" s="210"/>
      <c r="AR366" s="210"/>
      <c r="AS366" s="210"/>
    </row>
    <row r="367" spans="1:45" ht="13.5" customHeight="1">
      <c r="A367" s="210"/>
      <c r="B367" s="210"/>
      <c r="C367" s="210"/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  <c r="AA367" s="210"/>
      <c r="AB367" s="210"/>
      <c r="AC367" s="210"/>
      <c r="AD367" s="210"/>
      <c r="AE367" s="210"/>
      <c r="AF367" s="210"/>
      <c r="AG367" s="210"/>
      <c r="AH367" s="219"/>
      <c r="AI367" s="219"/>
      <c r="AJ367" s="210"/>
      <c r="AK367" s="210"/>
      <c r="AL367" s="210"/>
      <c r="AM367" s="210"/>
      <c r="AN367" s="210"/>
      <c r="AO367" s="210"/>
      <c r="AP367" s="210"/>
      <c r="AQ367" s="210"/>
      <c r="AR367" s="210"/>
      <c r="AS367" s="210"/>
    </row>
    <row r="368" spans="1:45" ht="13.5" customHeight="1">
      <c r="A368" s="210"/>
      <c r="B368" s="210"/>
      <c r="C368" s="210"/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  <c r="AA368" s="210"/>
      <c r="AB368" s="210"/>
      <c r="AC368" s="210"/>
      <c r="AD368" s="210"/>
      <c r="AE368" s="210"/>
      <c r="AF368" s="210"/>
      <c r="AG368" s="210"/>
      <c r="AH368" s="219"/>
      <c r="AI368" s="219"/>
      <c r="AJ368" s="210"/>
      <c r="AK368" s="210"/>
      <c r="AL368" s="210"/>
      <c r="AM368" s="210"/>
      <c r="AN368" s="210"/>
      <c r="AO368" s="210"/>
      <c r="AP368" s="210"/>
      <c r="AQ368" s="210"/>
      <c r="AR368" s="210"/>
      <c r="AS368" s="210"/>
    </row>
    <row r="369" spans="1:45" ht="13.5" customHeight="1">
      <c r="A369" s="210"/>
      <c r="B369" s="210"/>
      <c r="C369" s="210"/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  <c r="AA369" s="210"/>
      <c r="AB369" s="210"/>
      <c r="AC369" s="210"/>
      <c r="AD369" s="210"/>
      <c r="AE369" s="210"/>
      <c r="AF369" s="210"/>
      <c r="AG369" s="210"/>
      <c r="AH369" s="219"/>
      <c r="AI369" s="219"/>
      <c r="AJ369" s="210"/>
      <c r="AK369" s="210"/>
      <c r="AL369" s="210"/>
      <c r="AM369" s="210"/>
      <c r="AN369" s="210"/>
      <c r="AO369" s="210"/>
      <c r="AP369" s="210"/>
      <c r="AQ369" s="210"/>
      <c r="AR369" s="210"/>
      <c r="AS369" s="210"/>
    </row>
    <row r="370" spans="1:45" ht="13.5" customHeight="1">
      <c r="A370" s="210"/>
      <c r="B370" s="210"/>
      <c r="C370" s="210"/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  <c r="AA370" s="210"/>
      <c r="AB370" s="210"/>
      <c r="AC370" s="210"/>
      <c r="AD370" s="210"/>
      <c r="AE370" s="210"/>
      <c r="AF370" s="210"/>
      <c r="AG370" s="210"/>
      <c r="AH370" s="219"/>
      <c r="AI370" s="219"/>
      <c r="AJ370" s="210"/>
      <c r="AK370" s="210"/>
      <c r="AL370" s="210"/>
      <c r="AM370" s="210"/>
      <c r="AN370" s="210"/>
      <c r="AO370" s="210"/>
      <c r="AP370" s="210"/>
      <c r="AQ370" s="210"/>
      <c r="AR370" s="210"/>
      <c r="AS370" s="210"/>
    </row>
    <row r="371" spans="1:45" ht="13.5" customHeight="1">
      <c r="A371" s="210"/>
      <c r="B371" s="210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  <c r="AA371" s="210"/>
      <c r="AB371" s="210"/>
      <c r="AC371" s="210"/>
      <c r="AD371" s="210"/>
      <c r="AE371" s="210"/>
      <c r="AF371" s="210"/>
      <c r="AG371" s="210"/>
      <c r="AH371" s="219"/>
      <c r="AI371" s="219"/>
      <c r="AJ371" s="210"/>
      <c r="AK371" s="210"/>
      <c r="AL371" s="210"/>
      <c r="AM371" s="210"/>
      <c r="AN371" s="210"/>
      <c r="AO371" s="210"/>
      <c r="AP371" s="210"/>
      <c r="AQ371" s="210"/>
      <c r="AR371" s="210"/>
      <c r="AS371" s="210"/>
    </row>
    <row r="372" spans="1:45" ht="13.5" customHeight="1">
      <c r="A372" s="210"/>
      <c r="B372" s="210"/>
      <c r="C372" s="210"/>
      <c r="D372" s="210"/>
      <c r="E372" s="210"/>
      <c r="F372" s="210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  <c r="AA372" s="210"/>
      <c r="AB372" s="210"/>
      <c r="AC372" s="210"/>
      <c r="AD372" s="210"/>
      <c r="AE372" s="210"/>
      <c r="AF372" s="210"/>
      <c r="AG372" s="210"/>
      <c r="AH372" s="219"/>
      <c r="AI372" s="219"/>
      <c r="AJ372" s="210"/>
      <c r="AK372" s="210"/>
      <c r="AL372" s="210"/>
      <c r="AM372" s="210"/>
      <c r="AN372" s="210"/>
      <c r="AO372" s="210"/>
      <c r="AP372" s="210"/>
      <c r="AQ372" s="210"/>
      <c r="AR372" s="210"/>
      <c r="AS372" s="210"/>
    </row>
    <row r="373" spans="1:45" ht="13.5" customHeight="1">
      <c r="A373" s="210"/>
      <c r="B373" s="210"/>
      <c r="C373" s="210"/>
      <c r="D373" s="210"/>
      <c r="E373" s="210"/>
      <c r="F373" s="210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  <c r="AA373" s="210"/>
      <c r="AB373" s="210"/>
      <c r="AC373" s="210"/>
      <c r="AD373" s="210"/>
      <c r="AE373" s="210"/>
      <c r="AF373" s="210"/>
      <c r="AG373" s="210"/>
      <c r="AH373" s="219"/>
      <c r="AI373" s="219"/>
      <c r="AJ373" s="210"/>
      <c r="AK373" s="210"/>
      <c r="AL373" s="210"/>
      <c r="AM373" s="210"/>
      <c r="AN373" s="210"/>
      <c r="AO373" s="210"/>
      <c r="AP373" s="210"/>
      <c r="AQ373" s="210"/>
      <c r="AR373" s="210"/>
      <c r="AS373" s="210"/>
    </row>
    <row r="374" spans="1:45" ht="13.5" customHeight="1">
      <c r="A374" s="210"/>
      <c r="B374" s="210"/>
      <c r="C374" s="210"/>
      <c r="D374" s="210"/>
      <c r="E374" s="210"/>
      <c r="F374" s="210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  <c r="AA374" s="210"/>
      <c r="AB374" s="210"/>
      <c r="AC374" s="210"/>
      <c r="AD374" s="210"/>
      <c r="AE374" s="210"/>
      <c r="AF374" s="210"/>
      <c r="AG374" s="210"/>
      <c r="AH374" s="219"/>
      <c r="AI374" s="219"/>
      <c r="AJ374" s="210"/>
      <c r="AK374" s="210"/>
      <c r="AL374" s="210"/>
      <c r="AM374" s="210"/>
      <c r="AN374" s="210"/>
      <c r="AO374" s="210"/>
      <c r="AP374" s="210"/>
      <c r="AQ374" s="210"/>
      <c r="AR374" s="210"/>
      <c r="AS374" s="210"/>
    </row>
    <row r="375" spans="1:45" ht="13.5" customHeight="1">
      <c r="A375" s="210"/>
      <c r="B375" s="210"/>
      <c r="C375" s="210"/>
      <c r="D375" s="210"/>
      <c r="E375" s="210"/>
      <c r="F375" s="210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  <c r="AA375" s="210"/>
      <c r="AB375" s="210"/>
      <c r="AC375" s="210"/>
      <c r="AD375" s="210"/>
      <c r="AE375" s="210"/>
      <c r="AF375" s="210"/>
      <c r="AG375" s="210"/>
      <c r="AH375" s="219"/>
      <c r="AI375" s="219"/>
      <c r="AJ375" s="210"/>
      <c r="AK375" s="210"/>
      <c r="AL375" s="210"/>
      <c r="AM375" s="210"/>
      <c r="AN375" s="210"/>
      <c r="AO375" s="210"/>
      <c r="AP375" s="210"/>
      <c r="AQ375" s="210"/>
      <c r="AR375" s="210"/>
      <c r="AS375" s="210"/>
    </row>
    <row r="376" spans="1:45" ht="13.5" customHeight="1">
      <c r="A376" s="210"/>
      <c r="B376" s="210"/>
      <c r="C376" s="210"/>
      <c r="D376" s="210"/>
      <c r="E376" s="210"/>
      <c r="F376" s="210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  <c r="AA376" s="210"/>
      <c r="AB376" s="210"/>
      <c r="AC376" s="210"/>
      <c r="AD376" s="210"/>
      <c r="AE376" s="210"/>
      <c r="AF376" s="210"/>
      <c r="AG376" s="210"/>
      <c r="AH376" s="219"/>
      <c r="AI376" s="219"/>
      <c r="AJ376" s="210"/>
      <c r="AK376" s="210"/>
      <c r="AL376" s="210"/>
      <c r="AM376" s="210"/>
      <c r="AN376" s="210"/>
      <c r="AO376" s="210"/>
      <c r="AP376" s="210"/>
      <c r="AQ376" s="210"/>
      <c r="AR376" s="210"/>
      <c r="AS376" s="210"/>
    </row>
    <row r="377" spans="1:45" ht="13.5" customHeight="1">
      <c r="A377" s="210"/>
      <c r="B377" s="210"/>
      <c r="C377" s="210"/>
      <c r="D377" s="210"/>
      <c r="E377" s="210"/>
      <c r="F377" s="210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  <c r="AA377" s="210"/>
      <c r="AB377" s="210"/>
      <c r="AC377" s="210"/>
      <c r="AD377" s="210"/>
      <c r="AE377" s="210"/>
      <c r="AF377" s="210"/>
      <c r="AG377" s="210"/>
      <c r="AH377" s="219"/>
      <c r="AI377" s="219"/>
      <c r="AJ377" s="210"/>
      <c r="AK377" s="210"/>
      <c r="AL377" s="210"/>
      <c r="AM377" s="210"/>
      <c r="AN377" s="210"/>
      <c r="AO377" s="210"/>
      <c r="AP377" s="210"/>
      <c r="AQ377" s="210"/>
      <c r="AR377" s="210"/>
      <c r="AS377" s="210"/>
    </row>
    <row r="378" spans="1:45" ht="13.5" customHeight="1">
      <c r="A378" s="210"/>
      <c r="B378" s="210"/>
      <c r="C378" s="210"/>
      <c r="D378" s="210"/>
      <c r="E378" s="210"/>
      <c r="F378" s="210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  <c r="AA378" s="210"/>
      <c r="AB378" s="210"/>
      <c r="AC378" s="210"/>
      <c r="AD378" s="210"/>
      <c r="AE378" s="210"/>
      <c r="AF378" s="210"/>
      <c r="AG378" s="210"/>
      <c r="AH378" s="219"/>
      <c r="AI378" s="219"/>
      <c r="AJ378" s="210"/>
      <c r="AK378" s="210"/>
      <c r="AL378" s="210"/>
      <c r="AM378" s="210"/>
      <c r="AN378" s="210"/>
      <c r="AO378" s="210"/>
      <c r="AP378" s="210"/>
      <c r="AQ378" s="210"/>
      <c r="AR378" s="210"/>
      <c r="AS378" s="210"/>
    </row>
    <row r="379" spans="1:45" ht="13.5" customHeight="1">
      <c r="A379" s="210"/>
      <c r="B379" s="210"/>
      <c r="C379" s="210"/>
      <c r="D379" s="210"/>
      <c r="E379" s="210"/>
      <c r="F379" s="210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  <c r="AA379" s="210"/>
      <c r="AB379" s="210"/>
      <c r="AC379" s="210"/>
      <c r="AD379" s="210"/>
      <c r="AE379" s="210"/>
      <c r="AF379" s="210"/>
      <c r="AG379" s="210"/>
      <c r="AH379" s="219"/>
      <c r="AI379" s="219"/>
      <c r="AJ379" s="210"/>
      <c r="AK379" s="210"/>
      <c r="AL379" s="210"/>
      <c r="AM379" s="210"/>
      <c r="AN379" s="210"/>
      <c r="AO379" s="210"/>
      <c r="AP379" s="210"/>
      <c r="AQ379" s="210"/>
      <c r="AR379" s="210"/>
      <c r="AS379" s="210"/>
    </row>
    <row r="380" spans="1:45" ht="13.5" customHeight="1">
      <c r="A380" s="210"/>
      <c r="B380" s="210"/>
      <c r="C380" s="210"/>
      <c r="D380" s="210"/>
      <c r="E380" s="210"/>
      <c r="F380" s="210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  <c r="AA380" s="210"/>
      <c r="AB380" s="210"/>
      <c r="AC380" s="210"/>
      <c r="AD380" s="210"/>
      <c r="AE380" s="210"/>
      <c r="AF380" s="210"/>
      <c r="AG380" s="210"/>
      <c r="AH380" s="219"/>
      <c r="AI380" s="219"/>
      <c r="AJ380" s="210"/>
      <c r="AK380" s="210"/>
      <c r="AL380" s="210"/>
      <c r="AM380" s="210"/>
      <c r="AN380" s="210"/>
      <c r="AO380" s="210"/>
      <c r="AP380" s="210"/>
      <c r="AQ380" s="210"/>
      <c r="AR380" s="210"/>
      <c r="AS380" s="210"/>
    </row>
    <row r="381" spans="1:45" ht="13.5" customHeight="1">
      <c r="A381" s="210"/>
      <c r="B381" s="210"/>
      <c r="C381" s="210"/>
      <c r="D381" s="210"/>
      <c r="E381" s="210"/>
      <c r="F381" s="210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  <c r="AA381" s="210"/>
      <c r="AB381" s="210"/>
      <c r="AC381" s="210"/>
      <c r="AD381" s="210"/>
      <c r="AE381" s="210"/>
      <c r="AF381" s="210"/>
      <c r="AG381" s="210"/>
      <c r="AH381" s="219"/>
      <c r="AI381" s="219"/>
      <c r="AJ381" s="210"/>
      <c r="AK381" s="210"/>
      <c r="AL381" s="210"/>
      <c r="AM381" s="210"/>
      <c r="AN381" s="210"/>
      <c r="AO381" s="210"/>
      <c r="AP381" s="210"/>
      <c r="AQ381" s="210"/>
      <c r="AR381" s="210"/>
      <c r="AS381" s="210"/>
    </row>
    <row r="382" spans="1:45" ht="13.5" customHeight="1">
      <c r="A382" s="210"/>
      <c r="B382" s="210"/>
      <c r="C382" s="210"/>
      <c r="D382" s="210"/>
      <c r="E382" s="210"/>
      <c r="F382" s="210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  <c r="AA382" s="210"/>
      <c r="AB382" s="210"/>
      <c r="AC382" s="210"/>
      <c r="AD382" s="210"/>
      <c r="AE382" s="210"/>
      <c r="AF382" s="210"/>
      <c r="AG382" s="210"/>
      <c r="AH382" s="219"/>
      <c r="AI382" s="219"/>
      <c r="AJ382" s="210"/>
      <c r="AK382" s="210"/>
      <c r="AL382" s="210"/>
      <c r="AM382" s="210"/>
      <c r="AN382" s="210"/>
      <c r="AO382" s="210"/>
      <c r="AP382" s="210"/>
      <c r="AQ382" s="210"/>
      <c r="AR382" s="210"/>
      <c r="AS382" s="210"/>
    </row>
    <row r="383" spans="1:45" ht="13.5" customHeight="1">
      <c r="A383" s="210"/>
      <c r="B383" s="210"/>
      <c r="C383" s="210"/>
      <c r="D383" s="210"/>
      <c r="E383" s="210"/>
      <c r="F383" s="210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  <c r="AA383" s="210"/>
      <c r="AB383" s="210"/>
      <c r="AC383" s="210"/>
      <c r="AD383" s="210"/>
      <c r="AE383" s="210"/>
      <c r="AF383" s="210"/>
      <c r="AG383" s="210"/>
      <c r="AH383" s="219"/>
      <c r="AI383" s="219"/>
      <c r="AJ383" s="210"/>
      <c r="AK383" s="210"/>
      <c r="AL383" s="210"/>
      <c r="AM383" s="210"/>
      <c r="AN383" s="210"/>
      <c r="AO383" s="210"/>
      <c r="AP383" s="210"/>
      <c r="AQ383" s="210"/>
      <c r="AR383" s="210"/>
      <c r="AS383" s="210"/>
    </row>
    <row r="384" spans="1:45" ht="13.5" customHeight="1">
      <c r="A384" s="210"/>
      <c r="B384" s="210"/>
      <c r="C384" s="210"/>
      <c r="D384" s="210"/>
      <c r="E384" s="210"/>
      <c r="F384" s="210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  <c r="AA384" s="210"/>
      <c r="AB384" s="210"/>
      <c r="AC384" s="210"/>
      <c r="AD384" s="210"/>
      <c r="AE384" s="210"/>
      <c r="AF384" s="210"/>
      <c r="AG384" s="210"/>
      <c r="AH384" s="219"/>
      <c r="AI384" s="219"/>
      <c r="AJ384" s="210"/>
      <c r="AK384" s="210"/>
      <c r="AL384" s="210"/>
      <c r="AM384" s="210"/>
      <c r="AN384" s="210"/>
      <c r="AO384" s="210"/>
      <c r="AP384" s="210"/>
      <c r="AQ384" s="210"/>
      <c r="AR384" s="210"/>
      <c r="AS384" s="210"/>
    </row>
    <row r="385" spans="1:45" ht="13.5" customHeight="1">
      <c r="A385" s="210"/>
      <c r="B385" s="210"/>
      <c r="C385" s="210"/>
      <c r="D385" s="210"/>
      <c r="E385" s="210"/>
      <c r="F385" s="210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  <c r="AA385" s="210"/>
      <c r="AB385" s="210"/>
      <c r="AC385" s="210"/>
      <c r="AD385" s="210"/>
      <c r="AE385" s="210"/>
      <c r="AF385" s="210"/>
      <c r="AG385" s="210"/>
      <c r="AH385" s="219"/>
      <c r="AI385" s="219"/>
      <c r="AJ385" s="210"/>
      <c r="AK385" s="210"/>
      <c r="AL385" s="210"/>
      <c r="AM385" s="210"/>
      <c r="AN385" s="210"/>
      <c r="AO385" s="210"/>
      <c r="AP385" s="210"/>
      <c r="AQ385" s="210"/>
      <c r="AR385" s="210"/>
      <c r="AS385" s="210"/>
    </row>
    <row r="386" spans="1:45" ht="13.5" customHeight="1">
      <c r="A386" s="210"/>
      <c r="B386" s="210"/>
      <c r="C386" s="210"/>
      <c r="D386" s="210"/>
      <c r="E386" s="210"/>
      <c r="F386" s="210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  <c r="AA386" s="210"/>
      <c r="AB386" s="210"/>
      <c r="AC386" s="210"/>
      <c r="AD386" s="210"/>
      <c r="AE386" s="210"/>
      <c r="AF386" s="210"/>
      <c r="AG386" s="210"/>
      <c r="AH386" s="219"/>
      <c r="AI386" s="219"/>
      <c r="AJ386" s="210"/>
      <c r="AK386" s="210"/>
      <c r="AL386" s="210"/>
      <c r="AM386" s="210"/>
      <c r="AN386" s="210"/>
      <c r="AO386" s="210"/>
      <c r="AP386" s="210"/>
      <c r="AQ386" s="210"/>
      <c r="AR386" s="210"/>
      <c r="AS386" s="210"/>
    </row>
    <row r="387" spans="1:45" ht="13.5" customHeight="1">
      <c r="A387" s="210"/>
      <c r="B387" s="210"/>
      <c r="C387" s="210"/>
      <c r="D387" s="210"/>
      <c r="E387" s="210"/>
      <c r="F387" s="210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  <c r="AA387" s="210"/>
      <c r="AB387" s="210"/>
      <c r="AC387" s="210"/>
      <c r="AD387" s="210"/>
      <c r="AE387" s="210"/>
      <c r="AF387" s="210"/>
      <c r="AG387" s="210"/>
      <c r="AH387" s="219"/>
      <c r="AI387" s="219"/>
      <c r="AJ387" s="210"/>
      <c r="AK387" s="210"/>
      <c r="AL387" s="210"/>
      <c r="AM387" s="210"/>
      <c r="AN387" s="210"/>
      <c r="AO387" s="210"/>
      <c r="AP387" s="210"/>
      <c r="AQ387" s="210"/>
      <c r="AR387" s="210"/>
      <c r="AS387" s="210"/>
    </row>
    <row r="388" spans="1:45" ht="13.5" customHeight="1">
      <c r="A388" s="210"/>
      <c r="B388" s="210"/>
      <c r="C388" s="210"/>
      <c r="D388" s="210"/>
      <c r="E388" s="210"/>
      <c r="F388" s="210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  <c r="AA388" s="210"/>
      <c r="AB388" s="210"/>
      <c r="AC388" s="210"/>
      <c r="AD388" s="210"/>
      <c r="AE388" s="210"/>
      <c r="AF388" s="210"/>
      <c r="AG388" s="210"/>
      <c r="AH388" s="219"/>
      <c r="AI388" s="219"/>
      <c r="AJ388" s="210"/>
      <c r="AK388" s="210"/>
      <c r="AL388" s="210"/>
      <c r="AM388" s="210"/>
      <c r="AN388" s="210"/>
      <c r="AO388" s="210"/>
      <c r="AP388" s="210"/>
      <c r="AQ388" s="210"/>
      <c r="AR388" s="210"/>
      <c r="AS388" s="210"/>
    </row>
    <row r="389" spans="1:45" ht="13.5" customHeight="1">
      <c r="A389" s="210"/>
      <c r="B389" s="210"/>
      <c r="C389" s="210"/>
      <c r="D389" s="210"/>
      <c r="E389" s="21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  <c r="AA389" s="210"/>
      <c r="AB389" s="210"/>
      <c r="AC389" s="210"/>
      <c r="AD389" s="210"/>
      <c r="AE389" s="210"/>
      <c r="AF389" s="210"/>
      <c r="AG389" s="210"/>
      <c r="AH389" s="219"/>
      <c r="AI389" s="219"/>
      <c r="AJ389" s="210"/>
      <c r="AK389" s="210"/>
      <c r="AL389" s="210"/>
      <c r="AM389" s="210"/>
      <c r="AN389" s="210"/>
      <c r="AO389" s="210"/>
      <c r="AP389" s="210"/>
      <c r="AQ389" s="210"/>
      <c r="AR389" s="210"/>
      <c r="AS389" s="210"/>
    </row>
    <row r="390" spans="1:45" ht="13.5" customHeight="1">
      <c r="A390" s="210"/>
      <c r="B390" s="210"/>
      <c r="C390" s="210"/>
      <c r="D390" s="210"/>
      <c r="E390" s="210"/>
      <c r="F390" s="210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  <c r="AA390" s="210"/>
      <c r="AB390" s="210"/>
      <c r="AC390" s="210"/>
      <c r="AD390" s="210"/>
      <c r="AE390" s="210"/>
      <c r="AF390" s="210"/>
      <c r="AG390" s="210"/>
      <c r="AH390" s="219"/>
      <c r="AI390" s="219"/>
      <c r="AJ390" s="210"/>
      <c r="AK390" s="210"/>
      <c r="AL390" s="210"/>
      <c r="AM390" s="210"/>
      <c r="AN390" s="210"/>
      <c r="AO390" s="210"/>
      <c r="AP390" s="210"/>
      <c r="AQ390" s="210"/>
      <c r="AR390" s="210"/>
      <c r="AS390" s="210"/>
    </row>
    <row r="391" spans="1:45" ht="13.5" customHeight="1">
      <c r="A391" s="210"/>
      <c r="B391" s="210"/>
      <c r="C391" s="210"/>
      <c r="D391" s="210"/>
      <c r="E391" s="210"/>
      <c r="F391" s="210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  <c r="AA391" s="210"/>
      <c r="AB391" s="210"/>
      <c r="AC391" s="210"/>
      <c r="AD391" s="210"/>
      <c r="AE391" s="210"/>
      <c r="AF391" s="210"/>
      <c r="AG391" s="210"/>
      <c r="AH391" s="219"/>
      <c r="AI391" s="219"/>
      <c r="AJ391" s="210"/>
      <c r="AK391" s="210"/>
      <c r="AL391" s="210"/>
      <c r="AM391" s="210"/>
      <c r="AN391" s="210"/>
      <c r="AO391" s="210"/>
      <c r="AP391" s="210"/>
      <c r="AQ391" s="210"/>
      <c r="AR391" s="210"/>
      <c r="AS391" s="210"/>
    </row>
    <row r="392" spans="1:45" ht="13.5" customHeight="1">
      <c r="A392" s="210"/>
      <c r="B392" s="210"/>
      <c r="C392" s="210"/>
      <c r="D392" s="210"/>
      <c r="E392" s="210"/>
      <c r="F392" s="210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  <c r="AA392" s="210"/>
      <c r="AB392" s="210"/>
      <c r="AC392" s="210"/>
      <c r="AD392" s="210"/>
      <c r="AE392" s="210"/>
      <c r="AF392" s="210"/>
      <c r="AG392" s="210"/>
      <c r="AH392" s="219"/>
      <c r="AI392" s="219"/>
      <c r="AJ392" s="210"/>
      <c r="AK392" s="210"/>
      <c r="AL392" s="210"/>
      <c r="AM392" s="210"/>
      <c r="AN392" s="210"/>
      <c r="AO392" s="210"/>
      <c r="AP392" s="210"/>
      <c r="AQ392" s="210"/>
      <c r="AR392" s="210"/>
      <c r="AS392" s="210"/>
    </row>
    <row r="393" spans="1:45" ht="13.5" customHeight="1">
      <c r="A393" s="210"/>
      <c r="B393" s="210"/>
      <c r="C393" s="210"/>
      <c r="D393" s="210"/>
      <c r="E393" s="210"/>
      <c r="F393" s="210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  <c r="AA393" s="210"/>
      <c r="AB393" s="210"/>
      <c r="AC393" s="210"/>
      <c r="AD393" s="210"/>
      <c r="AE393" s="210"/>
      <c r="AF393" s="210"/>
      <c r="AG393" s="210"/>
      <c r="AH393" s="219"/>
      <c r="AI393" s="219"/>
      <c r="AJ393" s="210"/>
      <c r="AK393" s="210"/>
      <c r="AL393" s="210"/>
      <c r="AM393" s="210"/>
      <c r="AN393" s="210"/>
      <c r="AO393" s="210"/>
      <c r="AP393" s="210"/>
      <c r="AQ393" s="210"/>
      <c r="AR393" s="210"/>
      <c r="AS393" s="210"/>
    </row>
    <row r="394" spans="1:45" ht="13.5" customHeight="1">
      <c r="A394" s="210"/>
      <c r="B394" s="210"/>
      <c r="C394" s="210"/>
      <c r="D394" s="210"/>
      <c r="E394" s="210"/>
      <c r="F394" s="210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  <c r="AA394" s="210"/>
      <c r="AB394" s="210"/>
      <c r="AC394" s="210"/>
      <c r="AD394" s="210"/>
      <c r="AE394" s="210"/>
      <c r="AF394" s="210"/>
      <c r="AG394" s="210"/>
      <c r="AH394" s="219"/>
      <c r="AI394" s="219"/>
      <c r="AJ394" s="210"/>
      <c r="AK394" s="210"/>
      <c r="AL394" s="210"/>
      <c r="AM394" s="210"/>
      <c r="AN394" s="210"/>
      <c r="AO394" s="210"/>
      <c r="AP394" s="210"/>
      <c r="AQ394" s="210"/>
      <c r="AR394" s="210"/>
      <c r="AS394" s="210"/>
    </row>
    <row r="395" spans="1:45" ht="13.5" customHeight="1">
      <c r="A395" s="210"/>
      <c r="B395" s="210"/>
      <c r="C395" s="210"/>
      <c r="D395" s="210"/>
      <c r="E395" s="210"/>
      <c r="F395" s="210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  <c r="AA395" s="210"/>
      <c r="AB395" s="210"/>
      <c r="AC395" s="210"/>
      <c r="AD395" s="210"/>
      <c r="AE395" s="210"/>
      <c r="AF395" s="210"/>
      <c r="AG395" s="210"/>
      <c r="AH395" s="219"/>
      <c r="AI395" s="219"/>
      <c r="AJ395" s="210"/>
      <c r="AK395" s="210"/>
      <c r="AL395" s="210"/>
      <c r="AM395" s="210"/>
      <c r="AN395" s="210"/>
      <c r="AO395" s="210"/>
      <c r="AP395" s="210"/>
      <c r="AQ395" s="210"/>
      <c r="AR395" s="210"/>
      <c r="AS395" s="210"/>
    </row>
    <row r="396" spans="1:45" ht="13.5" customHeight="1">
      <c r="A396" s="210"/>
      <c r="B396" s="210"/>
      <c r="C396" s="210"/>
      <c r="D396" s="210"/>
      <c r="E396" s="210"/>
      <c r="F396" s="210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  <c r="AA396" s="210"/>
      <c r="AB396" s="210"/>
      <c r="AC396" s="210"/>
      <c r="AD396" s="210"/>
      <c r="AE396" s="210"/>
      <c r="AF396" s="210"/>
      <c r="AG396" s="210"/>
      <c r="AH396" s="219"/>
      <c r="AI396" s="219"/>
      <c r="AJ396" s="210"/>
      <c r="AK396" s="210"/>
      <c r="AL396" s="210"/>
      <c r="AM396" s="210"/>
      <c r="AN396" s="210"/>
      <c r="AO396" s="210"/>
      <c r="AP396" s="210"/>
      <c r="AQ396" s="210"/>
      <c r="AR396" s="210"/>
      <c r="AS396" s="210"/>
    </row>
    <row r="397" spans="1:45" ht="13.5" customHeight="1">
      <c r="A397" s="210"/>
      <c r="B397" s="210"/>
      <c r="C397" s="210"/>
      <c r="D397" s="210"/>
      <c r="E397" s="210"/>
      <c r="F397" s="210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  <c r="AA397" s="210"/>
      <c r="AB397" s="210"/>
      <c r="AC397" s="210"/>
      <c r="AD397" s="210"/>
      <c r="AE397" s="210"/>
      <c r="AF397" s="210"/>
      <c r="AG397" s="210"/>
      <c r="AH397" s="219"/>
      <c r="AI397" s="219"/>
      <c r="AJ397" s="210"/>
      <c r="AK397" s="210"/>
      <c r="AL397" s="210"/>
      <c r="AM397" s="210"/>
      <c r="AN397" s="210"/>
      <c r="AO397" s="210"/>
      <c r="AP397" s="210"/>
      <c r="AQ397" s="210"/>
      <c r="AR397" s="210"/>
      <c r="AS397" s="210"/>
    </row>
    <row r="398" spans="1:45" ht="13.5" customHeight="1">
      <c r="A398" s="210"/>
      <c r="B398" s="210"/>
      <c r="C398" s="210"/>
      <c r="D398" s="210"/>
      <c r="E398" s="210"/>
      <c r="F398" s="210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  <c r="AA398" s="210"/>
      <c r="AB398" s="210"/>
      <c r="AC398" s="210"/>
      <c r="AD398" s="210"/>
      <c r="AE398" s="210"/>
      <c r="AF398" s="210"/>
      <c r="AG398" s="210"/>
      <c r="AH398" s="219"/>
      <c r="AI398" s="219"/>
      <c r="AJ398" s="210"/>
      <c r="AK398" s="210"/>
      <c r="AL398" s="210"/>
      <c r="AM398" s="210"/>
      <c r="AN398" s="210"/>
      <c r="AO398" s="210"/>
      <c r="AP398" s="210"/>
      <c r="AQ398" s="210"/>
      <c r="AR398" s="210"/>
      <c r="AS398" s="210"/>
    </row>
    <row r="399" spans="1:45" ht="13.5" customHeight="1">
      <c r="A399" s="210"/>
      <c r="B399" s="210"/>
      <c r="C399" s="210"/>
      <c r="D399" s="210"/>
      <c r="E399" s="210"/>
      <c r="F399" s="210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  <c r="AA399" s="210"/>
      <c r="AB399" s="210"/>
      <c r="AC399" s="210"/>
      <c r="AD399" s="210"/>
      <c r="AE399" s="210"/>
      <c r="AF399" s="210"/>
      <c r="AG399" s="210"/>
      <c r="AH399" s="219"/>
      <c r="AI399" s="219"/>
      <c r="AJ399" s="210"/>
      <c r="AK399" s="210"/>
      <c r="AL399" s="210"/>
      <c r="AM399" s="210"/>
      <c r="AN399" s="210"/>
      <c r="AO399" s="210"/>
      <c r="AP399" s="210"/>
      <c r="AQ399" s="210"/>
      <c r="AR399" s="210"/>
      <c r="AS399" s="210"/>
    </row>
    <row r="400" spans="1:45" ht="13.5" customHeight="1">
      <c r="A400" s="210"/>
      <c r="B400" s="210"/>
      <c r="C400" s="210"/>
      <c r="D400" s="210"/>
      <c r="E400" s="21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  <c r="AA400" s="210"/>
      <c r="AB400" s="210"/>
      <c r="AC400" s="210"/>
      <c r="AD400" s="210"/>
      <c r="AE400" s="210"/>
      <c r="AF400" s="210"/>
      <c r="AG400" s="210"/>
      <c r="AH400" s="219"/>
      <c r="AI400" s="219"/>
      <c r="AJ400" s="210"/>
      <c r="AK400" s="210"/>
      <c r="AL400" s="210"/>
      <c r="AM400" s="210"/>
      <c r="AN400" s="210"/>
      <c r="AO400" s="210"/>
      <c r="AP400" s="210"/>
      <c r="AQ400" s="210"/>
      <c r="AR400" s="210"/>
      <c r="AS400" s="210"/>
    </row>
    <row r="401" spans="1:45" ht="13.5" customHeight="1">
      <c r="A401" s="210"/>
      <c r="B401" s="210"/>
      <c r="C401" s="210"/>
      <c r="D401" s="210"/>
      <c r="E401" s="210"/>
      <c r="F401" s="210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  <c r="AA401" s="210"/>
      <c r="AB401" s="210"/>
      <c r="AC401" s="210"/>
      <c r="AD401" s="210"/>
      <c r="AE401" s="210"/>
      <c r="AF401" s="210"/>
      <c r="AG401" s="210"/>
      <c r="AH401" s="219"/>
      <c r="AI401" s="219"/>
      <c r="AJ401" s="210"/>
      <c r="AK401" s="210"/>
      <c r="AL401" s="210"/>
      <c r="AM401" s="210"/>
      <c r="AN401" s="210"/>
      <c r="AO401" s="210"/>
      <c r="AP401" s="210"/>
      <c r="AQ401" s="210"/>
      <c r="AR401" s="210"/>
      <c r="AS401" s="210"/>
    </row>
    <row r="402" spans="1:45" ht="13.5" customHeight="1">
      <c r="A402" s="210"/>
      <c r="B402" s="210"/>
      <c r="C402" s="210"/>
      <c r="D402" s="210"/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  <c r="AA402" s="210"/>
      <c r="AB402" s="210"/>
      <c r="AC402" s="210"/>
      <c r="AD402" s="210"/>
      <c r="AE402" s="210"/>
      <c r="AF402" s="210"/>
      <c r="AG402" s="210"/>
      <c r="AH402" s="219"/>
      <c r="AI402" s="219"/>
      <c r="AJ402" s="210"/>
      <c r="AK402" s="210"/>
      <c r="AL402" s="210"/>
      <c r="AM402" s="210"/>
      <c r="AN402" s="210"/>
      <c r="AO402" s="210"/>
      <c r="AP402" s="210"/>
      <c r="AQ402" s="210"/>
      <c r="AR402" s="210"/>
      <c r="AS402" s="210"/>
    </row>
    <row r="403" spans="1:45" ht="13.5" customHeight="1">
      <c r="A403" s="210"/>
      <c r="B403" s="210"/>
      <c r="C403" s="210"/>
      <c r="D403" s="210"/>
      <c r="E403" s="210"/>
      <c r="F403" s="210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  <c r="AA403" s="210"/>
      <c r="AB403" s="210"/>
      <c r="AC403" s="210"/>
      <c r="AD403" s="210"/>
      <c r="AE403" s="210"/>
      <c r="AF403" s="210"/>
      <c r="AG403" s="210"/>
      <c r="AH403" s="219"/>
      <c r="AI403" s="219"/>
      <c r="AJ403" s="210"/>
      <c r="AK403" s="210"/>
      <c r="AL403" s="210"/>
      <c r="AM403" s="210"/>
      <c r="AN403" s="210"/>
      <c r="AO403" s="210"/>
      <c r="AP403" s="210"/>
      <c r="AQ403" s="210"/>
      <c r="AR403" s="210"/>
      <c r="AS403" s="210"/>
    </row>
    <row r="404" spans="1:45" ht="13.5" customHeight="1">
      <c r="A404" s="210"/>
      <c r="B404" s="210"/>
      <c r="C404" s="210"/>
      <c r="D404" s="210"/>
      <c r="E404" s="210"/>
      <c r="F404" s="210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  <c r="AA404" s="210"/>
      <c r="AB404" s="210"/>
      <c r="AC404" s="210"/>
      <c r="AD404" s="210"/>
      <c r="AE404" s="210"/>
      <c r="AF404" s="210"/>
      <c r="AG404" s="210"/>
      <c r="AH404" s="219"/>
      <c r="AI404" s="219"/>
      <c r="AJ404" s="210"/>
      <c r="AK404" s="210"/>
      <c r="AL404" s="210"/>
      <c r="AM404" s="210"/>
      <c r="AN404" s="210"/>
      <c r="AO404" s="210"/>
      <c r="AP404" s="210"/>
      <c r="AQ404" s="210"/>
      <c r="AR404" s="210"/>
      <c r="AS404" s="210"/>
    </row>
    <row r="405" spans="1:45" ht="13.5" customHeight="1">
      <c r="A405" s="210"/>
      <c r="B405" s="210"/>
      <c r="C405" s="210"/>
      <c r="D405" s="210"/>
      <c r="E405" s="210"/>
      <c r="F405" s="210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  <c r="AA405" s="210"/>
      <c r="AB405" s="210"/>
      <c r="AC405" s="210"/>
      <c r="AD405" s="210"/>
      <c r="AE405" s="210"/>
      <c r="AF405" s="210"/>
      <c r="AG405" s="210"/>
      <c r="AH405" s="219"/>
      <c r="AI405" s="219"/>
      <c r="AJ405" s="210"/>
      <c r="AK405" s="210"/>
      <c r="AL405" s="210"/>
      <c r="AM405" s="210"/>
      <c r="AN405" s="210"/>
      <c r="AO405" s="210"/>
      <c r="AP405" s="210"/>
      <c r="AQ405" s="210"/>
      <c r="AR405" s="210"/>
      <c r="AS405" s="210"/>
    </row>
    <row r="406" spans="1:45" ht="13.5" customHeight="1">
      <c r="A406" s="210"/>
      <c r="B406" s="210"/>
      <c r="C406" s="210"/>
      <c r="D406" s="210"/>
      <c r="E406" s="210"/>
      <c r="F406" s="210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  <c r="AA406" s="210"/>
      <c r="AB406" s="210"/>
      <c r="AC406" s="210"/>
      <c r="AD406" s="210"/>
      <c r="AE406" s="210"/>
      <c r="AF406" s="210"/>
      <c r="AG406" s="210"/>
      <c r="AH406" s="219"/>
      <c r="AI406" s="219"/>
      <c r="AJ406" s="210"/>
      <c r="AK406" s="210"/>
      <c r="AL406" s="210"/>
      <c r="AM406" s="210"/>
      <c r="AN406" s="210"/>
      <c r="AO406" s="210"/>
      <c r="AP406" s="210"/>
      <c r="AQ406" s="210"/>
      <c r="AR406" s="210"/>
      <c r="AS406" s="210"/>
    </row>
    <row r="407" spans="1:45" ht="13.5" customHeight="1">
      <c r="A407" s="210"/>
      <c r="B407" s="210"/>
      <c r="C407" s="210"/>
      <c r="D407" s="210"/>
      <c r="E407" s="210"/>
      <c r="F407" s="210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  <c r="AA407" s="210"/>
      <c r="AB407" s="210"/>
      <c r="AC407" s="210"/>
      <c r="AD407" s="210"/>
      <c r="AE407" s="210"/>
      <c r="AF407" s="210"/>
      <c r="AG407" s="210"/>
      <c r="AH407" s="219"/>
      <c r="AI407" s="219"/>
      <c r="AJ407" s="210"/>
      <c r="AK407" s="210"/>
      <c r="AL407" s="210"/>
      <c r="AM407" s="210"/>
      <c r="AN407" s="210"/>
      <c r="AO407" s="210"/>
      <c r="AP407" s="210"/>
      <c r="AQ407" s="210"/>
      <c r="AR407" s="210"/>
      <c r="AS407" s="210"/>
    </row>
    <row r="408" spans="1:45" ht="13.5" customHeight="1">
      <c r="A408" s="210"/>
      <c r="B408" s="210"/>
      <c r="C408" s="210"/>
      <c r="D408" s="210"/>
      <c r="E408" s="210"/>
      <c r="F408" s="210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  <c r="AA408" s="210"/>
      <c r="AB408" s="210"/>
      <c r="AC408" s="210"/>
      <c r="AD408" s="210"/>
      <c r="AE408" s="210"/>
      <c r="AF408" s="210"/>
      <c r="AG408" s="210"/>
      <c r="AH408" s="219"/>
      <c r="AI408" s="219"/>
      <c r="AJ408" s="210"/>
      <c r="AK408" s="210"/>
      <c r="AL408" s="210"/>
      <c r="AM408" s="210"/>
      <c r="AN408" s="210"/>
      <c r="AO408" s="210"/>
      <c r="AP408" s="210"/>
      <c r="AQ408" s="210"/>
      <c r="AR408" s="210"/>
      <c r="AS408" s="210"/>
    </row>
    <row r="409" spans="1:45" ht="13.5" customHeight="1">
      <c r="A409" s="210"/>
      <c r="B409" s="210"/>
      <c r="C409" s="210"/>
      <c r="D409" s="210"/>
      <c r="E409" s="210"/>
      <c r="F409" s="210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  <c r="AA409" s="210"/>
      <c r="AB409" s="210"/>
      <c r="AC409" s="210"/>
      <c r="AD409" s="210"/>
      <c r="AE409" s="210"/>
      <c r="AF409" s="210"/>
      <c r="AG409" s="210"/>
      <c r="AH409" s="219"/>
      <c r="AI409" s="219"/>
      <c r="AJ409" s="210"/>
      <c r="AK409" s="210"/>
      <c r="AL409" s="210"/>
      <c r="AM409" s="210"/>
      <c r="AN409" s="210"/>
      <c r="AO409" s="210"/>
      <c r="AP409" s="210"/>
      <c r="AQ409" s="210"/>
      <c r="AR409" s="210"/>
      <c r="AS409" s="210"/>
    </row>
    <row r="410" spans="1:45" ht="13.5" customHeight="1">
      <c r="A410" s="210"/>
      <c r="B410" s="210"/>
      <c r="C410" s="210"/>
      <c r="D410" s="210"/>
      <c r="E410" s="210"/>
      <c r="F410" s="210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  <c r="AA410" s="210"/>
      <c r="AB410" s="210"/>
      <c r="AC410" s="210"/>
      <c r="AD410" s="210"/>
      <c r="AE410" s="210"/>
      <c r="AF410" s="210"/>
      <c r="AG410" s="210"/>
      <c r="AH410" s="219"/>
      <c r="AI410" s="219"/>
      <c r="AJ410" s="210"/>
      <c r="AK410" s="210"/>
      <c r="AL410" s="210"/>
      <c r="AM410" s="210"/>
      <c r="AN410" s="210"/>
      <c r="AO410" s="210"/>
      <c r="AP410" s="210"/>
      <c r="AQ410" s="210"/>
      <c r="AR410" s="210"/>
      <c r="AS410" s="210"/>
    </row>
    <row r="411" spans="1:45" ht="13.5" customHeight="1">
      <c r="A411" s="210"/>
      <c r="B411" s="210"/>
      <c r="C411" s="210"/>
      <c r="D411" s="210"/>
      <c r="E411" s="21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  <c r="AA411" s="210"/>
      <c r="AB411" s="210"/>
      <c r="AC411" s="210"/>
      <c r="AD411" s="210"/>
      <c r="AE411" s="210"/>
      <c r="AF411" s="210"/>
      <c r="AG411" s="210"/>
      <c r="AH411" s="219"/>
      <c r="AI411" s="219"/>
      <c r="AJ411" s="210"/>
      <c r="AK411" s="210"/>
      <c r="AL411" s="210"/>
      <c r="AM411" s="210"/>
      <c r="AN411" s="210"/>
      <c r="AO411" s="210"/>
      <c r="AP411" s="210"/>
      <c r="AQ411" s="210"/>
      <c r="AR411" s="210"/>
      <c r="AS411" s="210"/>
    </row>
    <row r="412" spans="1:45" ht="13.5" customHeight="1">
      <c r="A412" s="210"/>
      <c r="B412" s="210"/>
      <c r="C412" s="210"/>
      <c r="D412" s="210"/>
      <c r="E412" s="210"/>
      <c r="F412" s="210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  <c r="AA412" s="210"/>
      <c r="AB412" s="210"/>
      <c r="AC412" s="210"/>
      <c r="AD412" s="210"/>
      <c r="AE412" s="210"/>
      <c r="AF412" s="210"/>
      <c r="AG412" s="210"/>
      <c r="AH412" s="219"/>
      <c r="AI412" s="219"/>
      <c r="AJ412" s="210"/>
      <c r="AK412" s="210"/>
      <c r="AL412" s="210"/>
      <c r="AM412" s="210"/>
      <c r="AN412" s="210"/>
      <c r="AO412" s="210"/>
      <c r="AP412" s="210"/>
      <c r="AQ412" s="210"/>
      <c r="AR412" s="210"/>
      <c r="AS412" s="210"/>
    </row>
    <row r="413" spans="1:45" ht="13.5" customHeight="1">
      <c r="A413" s="210"/>
      <c r="B413" s="210"/>
      <c r="C413" s="210"/>
      <c r="D413" s="210"/>
      <c r="E413" s="210"/>
      <c r="F413" s="210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  <c r="AA413" s="210"/>
      <c r="AB413" s="210"/>
      <c r="AC413" s="210"/>
      <c r="AD413" s="210"/>
      <c r="AE413" s="210"/>
      <c r="AF413" s="210"/>
      <c r="AG413" s="210"/>
      <c r="AH413" s="219"/>
      <c r="AI413" s="219"/>
      <c r="AJ413" s="210"/>
      <c r="AK413" s="210"/>
      <c r="AL413" s="210"/>
      <c r="AM413" s="210"/>
      <c r="AN413" s="210"/>
      <c r="AO413" s="210"/>
      <c r="AP413" s="210"/>
      <c r="AQ413" s="210"/>
      <c r="AR413" s="210"/>
      <c r="AS413" s="210"/>
    </row>
    <row r="414" spans="1:45" ht="13.5" customHeight="1">
      <c r="A414" s="210"/>
      <c r="B414" s="210"/>
      <c r="C414" s="210"/>
      <c r="D414" s="210"/>
      <c r="E414" s="210"/>
      <c r="F414" s="210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  <c r="AA414" s="210"/>
      <c r="AB414" s="210"/>
      <c r="AC414" s="210"/>
      <c r="AD414" s="210"/>
      <c r="AE414" s="210"/>
      <c r="AF414" s="210"/>
      <c r="AG414" s="210"/>
      <c r="AH414" s="219"/>
      <c r="AI414" s="219"/>
      <c r="AJ414" s="210"/>
      <c r="AK414" s="210"/>
      <c r="AL414" s="210"/>
      <c r="AM414" s="210"/>
      <c r="AN414" s="210"/>
      <c r="AO414" s="210"/>
      <c r="AP414" s="210"/>
      <c r="AQ414" s="210"/>
      <c r="AR414" s="210"/>
      <c r="AS414" s="210"/>
    </row>
    <row r="415" spans="1:45" ht="13.5" customHeight="1">
      <c r="A415" s="210"/>
      <c r="B415" s="210"/>
      <c r="C415" s="210"/>
      <c r="D415" s="210"/>
      <c r="E415" s="210"/>
      <c r="F415" s="210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  <c r="AA415" s="210"/>
      <c r="AB415" s="210"/>
      <c r="AC415" s="210"/>
      <c r="AD415" s="210"/>
      <c r="AE415" s="210"/>
      <c r="AF415" s="210"/>
      <c r="AG415" s="210"/>
      <c r="AH415" s="219"/>
      <c r="AI415" s="219"/>
      <c r="AJ415" s="210"/>
      <c r="AK415" s="210"/>
      <c r="AL415" s="210"/>
      <c r="AM415" s="210"/>
      <c r="AN415" s="210"/>
      <c r="AO415" s="210"/>
      <c r="AP415" s="210"/>
      <c r="AQ415" s="210"/>
      <c r="AR415" s="210"/>
      <c r="AS415" s="210"/>
    </row>
    <row r="416" spans="1:45" ht="13.5" customHeight="1">
      <c r="A416" s="210"/>
      <c r="B416" s="210"/>
      <c r="C416" s="210"/>
      <c r="D416" s="210"/>
      <c r="E416" s="210"/>
      <c r="F416" s="210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  <c r="AA416" s="210"/>
      <c r="AB416" s="210"/>
      <c r="AC416" s="210"/>
      <c r="AD416" s="210"/>
      <c r="AE416" s="210"/>
      <c r="AF416" s="210"/>
      <c r="AG416" s="210"/>
      <c r="AH416" s="219"/>
      <c r="AI416" s="219"/>
      <c r="AJ416" s="210"/>
      <c r="AK416" s="210"/>
      <c r="AL416" s="210"/>
      <c r="AM416" s="210"/>
      <c r="AN416" s="210"/>
      <c r="AO416" s="210"/>
      <c r="AP416" s="210"/>
      <c r="AQ416" s="210"/>
      <c r="AR416" s="210"/>
      <c r="AS416" s="210"/>
    </row>
    <row r="417" spans="1:45" ht="13.5" customHeight="1">
      <c r="A417" s="210"/>
      <c r="B417" s="210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0"/>
      <c r="AG417" s="210"/>
      <c r="AH417" s="219"/>
      <c r="AI417" s="219"/>
      <c r="AJ417" s="210"/>
      <c r="AK417" s="210"/>
      <c r="AL417" s="210"/>
      <c r="AM417" s="210"/>
      <c r="AN417" s="210"/>
      <c r="AO417" s="210"/>
      <c r="AP417" s="210"/>
      <c r="AQ417" s="210"/>
      <c r="AR417" s="210"/>
      <c r="AS417" s="210"/>
    </row>
    <row r="418" spans="1:45" ht="13.5" customHeight="1">
      <c r="A418" s="210"/>
      <c r="B418" s="210"/>
      <c r="C418" s="210"/>
      <c r="D418" s="210"/>
      <c r="E418" s="210"/>
      <c r="F418" s="210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  <c r="AA418" s="210"/>
      <c r="AB418" s="210"/>
      <c r="AC418" s="210"/>
      <c r="AD418" s="210"/>
      <c r="AE418" s="210"/>
      <c r="AF418" s="210"/>
      <c r="AG418" s="210"/>
      <c r="AH418" s="219"/>
      <c r="AI418" s="219"/>
      <c r="AJ418" s="210"/>
      <c r="AK418" s="210"/>
      <c r="AL418" s="210"/>
      <c r="AM418" s="210"/>
      <c r="AN418" s="210"/>
      <c r="AO418" s="210"/>
      <c r="AP418" s="210"/>
      <c r="AQ418" s="210"/>
      <c r="AR418" s="210"/>
      <c r="AS418" s="210"/>
    </row>
    <row r="419" spans="1:45" ht="13.5" customHeight="1">
      <c r="A419" s="210"/>
      <c r="B419" s="210"/>
      <c r="C419" s="210"/>
      <c r="D419" s="210"/>
      <c r="E419" s="210"/>
      <c r="F419" s="210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  <c r="AA419" s="210"/>
      <c r="AB419" s="210"/>
      <c r="AC419" s="210"/>
      <c r="AD419" s="210"/>
      <c r="AE419" s="210"/>
      <c r="AF419" s="210"/>
      <c r="AG419" s="210"/>
      <c r="AH419" s="219"/>
      <c r="AI419" s="219"/>
      <c r="AJ419" s="210"/>
      <c r="AK419" s="210"/>
      <c r="AL419" s="210"/>
      <c r="AM419" s="210"/>
      <c r="AN419" s="210"/>
      <c r="AO419" s="210"/>
      <c r="AP419" s="210"/>
      <c r="AQ419" s="210"/>
      <c r="AR419" s="210"/>
      <c r="AS419" s="210"/>
    </row>
    <row r="420" spans="1:45" ht="13.5" customHeight="1">
      <c r="A420" s="210"/>
      <c r="B420" s="210"/>
      <c r="C420" s="210"/>
      <c r="D420" s="210"/>
      <c r="E420" s="210"/>
      <c r="F420" s="210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  <c r="AA420" s="210"/>
      <c r="AB420" s="210"/>
      <c r="AC420" s="210"/>
      <c r="AD420" s="210"/>
      <c r="AE420" s="210"/>
      <c r="AF420" s="210"/>
      <c r="AG420" s="210"/>
      <c r="AH420" s="219"/>
      <c r="AI420" s="219"/>
      <c r="AJ420" s="210"/>
      <c r="AK420" s="210"/>
      <c r="AL420" s="210"/>
      <c r="AM420" s="210"/>
      <c r="AN420" s="210"/>
      <c r="AO420" s="210"/>
      <c r="AP420" s="210"/>
      <c r="AQ420" s="210"/>
      <c r="AR420" s="210"/>
      <c r="AS420" s="210"/>
    </row>
    <row r="421" spans="1:45" ht="13.5" customHeight="1">
      <c r="A421" s="210"/>
      <c r="B421" s="210"/>
      <c r="C421" s="210"/>
      <c r="D421" s="210"/>
      <c r="E421" s="210"/>
      <c r="F421" s="210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  <c r="AA421" s="210"/>
      <c r="AB421" s="210"/>
      <c r="AC421" s="210"/>
      <c r="AD421" s="210"/>
      <c r="AE421" s="210"/>
      <c r="AF421" s="210"/>
      <c r="AG421" s="210"/>
      <c r="AH421" s="219"/>
      <c r="AI421" s="219"/>
      <c r="AJ421" s="210"/>
      <c r="AK421" s="210"/>
      <c r="AL421" s="210"/>
      <c r="AM421" s="210"/>
      <c r="AN421" s="210"/>
      <c r="AO421" s="210"/>
      <c r="AP421" s="210"/>
      <c r="AQ421" s="210"/>
      <c r="AR421" s="210"/>
      <c r="AS421" s="210"/>
    </row>
    <row r="422" spans="1:45" ht="13.5" customHeight="1">
      <c r="A422" s="210"/>
      <c r="B422" s="210"/>
      <c r="C422" s="210"/>
      <c r="D422" s="210"/>
      <c r="E422" s="210"/>
      <c r="F422" s="210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  <c r="AA422" s="210"/>
      <c r="AB422" s="210"/>
      <c r="AC422" s="210"/>
      <c r="AD422" s="210"/>
      <c r="AE422" s="210"/>
      <c r="AF422" s="210"/>
      <c r="AG422" s="210"/>
      <c r="AH422" s="219"/>
      <c r="AI422" s="219"/>
      <c r="AJ422" s="210"/>
      <c r="AK422" s="210"/>
      <c r="AL422" s="210"/>
      <c r="AM422" s="210"/>
      <c r="AN422" s="210"/>
      <c r="AO422" s="210"/>
      <c r="AP422" s="210"/>
      <c r="AQ422" s="210"/>
      <c r="AR422" s="210"/>
      <c r="AS422" s="210"/>
    </row>
    <row r="423" spans="1:45" ht="13.5" customHeight="1">
      <c r="A423" s="210"/>
      <c r="B423" s="210"/>
      <c r="C423" s="210"/>
      <c r="D423" s="210"/>
      <c r="E423" s="210"/>
      <c r="F423" s="210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  <c r="AA423" s="210"/>
      <c r="AB423" s="210"/>
      <c r="AC423" s="210"/>
      <c r="AD423" s="210"/>
      <c r="AE423" s="210"/>
      <c r="AF423" s="210"/>
      <c r="AG423" s="210"/>
      <c r="AH423" s="219"/>
      <c r="AI423" s="219"/>
      <c r="AJ423" s="210"/>
      <c r="AK423" s="210"/>
      <c r="AL423" s="210"/>
      <c r="AM423" s="210"/>
      <c r="AN423" s="210"/>
      <c r="AO423" s="210"/>
      <c r="AP423" s="210"/>
      <c r="AQ423" s="210"/>
      <c r="AR423" s="210"/>
      <c r="AS423" s="210"/>
    </row>
    <row r="424" spans="1:45" ht="13.5" customHeight="1">
      <c r="A424" s="210"/>
      <c r="B424" s="210"/>
      <c r="C424" s="210"/>
      <c r="D424" s="210"/>
      <c r="E424" s="210"/>
      <c r="F424" s="210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  <c r="AA424" s="210"/>
      <c r="AB424" s="210"/>
      <c r="AC424" s="210"/>
      <c r="AD424" s="210"/>
      <c r="AE424" s="210"/>
      <c r="AF424" s="210"/>
      <c r="AG424" s="210"/>
      <c r="AH424" s="219"/>
      <c r="AI424" s="219"/>
      <c r="AJ424" s="210"/>
      <c r="AK424" s="210"/>
      <c r="AL424" s="210"/>
      <c r="AM424" s="210"/>
      <c r="AN424" s="210"/>
      <c r="AO424" s="210"/>
      <c r="AP424" s="210"/>
      <c r="AQ424" s="210"/>
      <c r="AR424" s="210"/>
      <c r="AS424" s="210"/>
    </row>
    <row r="425" spans="1:45" ht="13.5" customHeight="1">
      <c r="A425" s="210"/>
      <c r="B425" s="210"/>
      <c r="C425" s="210"/>
      <c r="D425" s="210"/>
      <c r="E425" s="210"/>
      <c r="F425" s="210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  <c r="AA425" s="210"/>
      <c r="AB425" s="210"/>
      <c r="AC425" s="210"/>
      <c r="AD425" s="210"/>
      <c r="AE425" s="210"/>
      <c r="AF425" s="210"/>
      <c r="AG425" s="210"/>
      <c r="AH425" s="219"/>
      <c r="AI425" s="219"/>
      <c r="AJ425" s="210"/>
      <c r="AK425" s="210"/>
      <c r="AL425" s="210"/>
      <c r="AM425" s="210"/>
      <c r="AN425" s="210"/>
      <c r="AO425" s="210"/>
      <c r="AP425" s="210"/>
      <c r="AQ425" s="210"/>
      <c r="AR425" s="210"/>
      <c r="AS425" s="210"/>
    </row>
    <row r="426" spans="1:45" ht="13.5" customHeight="1">
      <c r="A426" s="210"/>
      <c r="B426" s="210"/>
      <c r="C426" s="210"/>
      <c r="D426" s="210"/>
      <c r="E426" s="210"/>
      <c r="F426" s="210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  <c r="AA426" s="210"/>
      <c r="AB426" s="210"/>
      <c r="AC426" s="210"/>
      <c r="AD426" s="210"/>
      <c r="AE426" s="210"/>
      <c r="AF426" s="210"/>
      <c r="AG426" s="210"/>
      <c r="AH426" s="219"/>
      <c r="AI426" s="219"/>
      <c r="AJ426" s="210"/>
      <c r="AK426" s="210"/>
      <c r="AL426" s="210"/>
      <c r="AM426" s="210"/>
      <c r="AN426" s="210"/>
      <c r="AO426" s="210"/>
      <c r="AP426" s="210"/>
      <c r="AQ426" s="210"/>
      <c r="AR426" s="210"/>
      <c r="AS426" s="210"/>
    </row>
    <row r="427" spans="1:45" ht="13.5" customHeight="1">
      <c r="A427" s="210"/>
      <c r="B427" s="210"/>
      <c r="C427" s="210"/>
      <c r="D427" s="210"/>
      <c r="E427" s="210"/>
      <c r="F427" s="210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  <c r="AA427" s="210"/>
      <c r="AB427" s="210"/>
      <c r="AC427" s="210"/>
      <c r="AD427" s="210"/>
      <c r="AE427" s="210"/>
      <c r="AF427" s="210"/>
      <c r="AG427" s="210"/>
      <c r="AH427" s="219"/>
      <c r="AI427" s="219"/>
      <c r="AJ427" s="210"/>
      <c r="AK427" s="210"/>
      <c r="AL427" s="210"/>
      <c r="AM427" s="210"/>
      <c r="AN427" s="210"/>
      <c r="AO427" s="210"/>
      <c r="AP427" s="210"/>
      <c r="AQ427" s="210"/>
      <c r="AR427" s="210"/>
      <c r="AS427" s="210"/>
    </row>
    <row r="428" spans="1:45" ht="13.5" customHeight="1">
      <c r="A428" s="210"/>
      <c r="B428" s="210"/>
      <c r="C428" s="210"/>
      <c r="D428" s="210"/>
      <c r="E428" s="210"/>
      <c r="F428" s="210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  <c r="AA428" s="210"/>
      <c r="AB428" s="210"/>
      <c r="AC428" s="210"/>
      <c r="AD428" s="210"/>
      <c r="AE428" s="210"/>
      <c r="AF428" s="210"/>
      <c r="AG428" s="210"/>
      <c r="AH428" s="219"/>
      <c r="AI428" s="219"/>
      <c r="AJ428" s="210"/>
      <c r="AK428" s="210"/>
      <c r="AL428" s="210"/>
      <c r="AM428" s="210"/>
      <c r="AN428" s="210"/>
      <c r="AO428" s="210"/>
      <c r="AP428" s="210"/>
      <c r="AQ428" s="210"/>
      <c r="AR428" s="210"/>
      <c r="AS428" s="210"/>
    </row>
    <row r="429" spans="1:45" ht="13.5" customHeight="1">
      <c r="A429" s="210"/>
      <c r="B429" s="210"/>
      <c r="C429" s="210"/>
      <c r="D429" s="210"/>
      <c r="E429" s="210"/>
      <c r="F429" s="210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  <c r="AA429" s="210"/>
      <c r="AB429" s="210"/>
      <c r="AC429" s="210"/>
      <c r="AD429" s="210"/>
      <c r="AE429" s="210"/>
      <c r="AF429" s="210"/>
      <c r="AG429" s="210"/>
      <c r="AH429" s="219"/>
      <c r="AI429" s="219"/>
      <c r="AJ429" s="210"/>
      <c r="AK429" s="210"/>
      <c r="AL429" s="210"/>
      <c r="AM429" s="210"/>
      <c r="AN429" s="210"/>
      <c r="AO429" s="210"/>
      <c r="AP429" s="210"/>
      <c r="AQ429" s="210"/>
      <c r="AR429" s="210"/>
      <c r="AS429" s="210"/>
    </row>
    <row r="430" spans="1:45" ht="13.5" customHeight="1">
      <c r="A430" s="210"/>
      <c r="B430" s="210"/>
      <c r="C430" s="210"/>
      <c r="D430" s="210"/>
      <c r="E430" s="210"/>
      <c r="F430" s="210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  <c r="AA430" s="210"/>
      <c r="AB430" s="210"/>
      <c r="AC430" s="210"/>
      <c r="AD430" s="210"/>
      <c r="AE430" s="210"/>
      <c r="AF430" s="210"/>
      <c r="AG430" s="210"/>
      <c r="AH430" s="219"/>
      <c r="AI430" s="219"/>
      <c r="AJ430" s="210"/>
      <c r="AK430" s="210"/>
      <c r="AL430" s="210"/>
      <c r="AM430" s="210"/>
      <c r="AN430" s="210"/>
      <c r="AO430" s="210"/>
      <c r="AP430" s="210"/>
      <c r="AQ430" s="210"/>
      <c r="AR430" s="210"/>
      <c r="AS430" s="210"/>
    </row>
    <row r="431" spans="1:45" ht="13.5" customHeight="1">
      <c r="A431" s="210"/>
      <c r="B431" s="210"/>
      <c r="C431" s="210"/>
      <c r="D431" s="210"/>
      <c r="E431" s="210"/>
      <c r="F431" s="210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  <c r="AA431" s="210"/>
      <c r="AB431" s="210"/>
      <c r="AC431" s="210"/>
      <c r="AD431" s="210"/>
      <c r="AE431" s="210"/>
      <c r="AF431" s="210"/>
      <c r="AG431" s="210"/>
      <c r="AH431" s="219"/>
      <c r="AI431" s="219"/>
      <c r="AJ431" s="210"/>
      <c r="AK431" s="210"/>
      <c r="AL431" s="210"/>
      <c r="AM431" s="210"/>
      <c r="AN431" s="210"/>
      <c r="AO431" s="210"/>
      <c r="AP431" s="210"/>
      <c r="AQ431" s="210"/>
      <c r="AR431" s="210"/>
      <c r="AS431" s="210"/>
    </row>
    <row r="432" spans="1:45" ht="13.5" customHeight="1">
      <c r="A432" s="210"/>
      <c r="B432" s="210"/>
      <c r="C432" s="210"/>
      <c r="D432" s="210"/>
      <c r="E432" s="210"/>
      <c r="F432" s="210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  <c r="AA432" s="210"/>
      <c r="AB432" s="210"/>
      <c r="AC432" s="210"/>
      <c r="AD432" s="210"/>
      <c r="AE432" s="210"/>
      <c r="AF432" s="210"/>
      <c r="AG432" s="210"/>
      <c r="AH432" s="219"/>
      <c r="AI432" s="219"/>
      <c r="AJ432" s="210"/>
      <c r="AK432" s="210"/>
      <c r="AL432" s="210"/>
      <c r="AM432" s="210"/>
      <c r="AN432" s="210"/>
      <c r="AO432" s="210"/>
      <c r="AP432" s="210"/>
      <c r="AQ432" s="210"/>
      <c r="AR432" s="210"/>
      <c r="AS432" s="210"/>
    </row>
    <row r="433" spans="1:45" ht="13.5" customHeight="1">
      <c r="A433" s="210"/>
      <c r="B433" s="210"/>
      <c r="C433" s="210"/>
      <c r="D433" s="210"/>
      <c r="E433" s="210"/>
      <c r="F433" s="210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  <c r="AA433" s="210"/>
      <c r="AB433" s="210"/>
      <c r="AC433" s="210"/>
      <c r="AD433" s="210"/>
      <c r="AE433" s="210"/>
      <c r="AF433" s="210"/>
      <c r="AG433" s="210"/>
      <c r="AH433" s="219"/>
      <c r="AI433" s="219"/>
      <c r="AJ433" s="210"/>
      <c r="AK433" s="210"/>
      <c r="AL433" s="210"/>
      <c r="AM433" s="210"/>
      <c r="AN433" s="210"/>
      <c r="AO433" s="210"/>
      <c r="AP433" s="210"/>
      <c r="AQ433" s="210"/>
      <c r="AR433" s="210"/>
      <c r="AS433" s="210"/>
    </row>
    <row r="434" spans="1:45" ht="13.5" customHeight="1">
      <c r="A434" s="210"/>
      <c r="B434" s="210"/>
      <c r="C434" s="210"/>
      <c r="D434" s="210"/>
      <c r="E434" s="210"/>
      <c r="F434" s="210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  <c r="AA434" s="210"/>
      <c r="AB434" s="210"/>
      <c r="AC434" s="210"/>
      <c r="AD434" s="210"/>
      <c r="AE434" s="210"/>
      <c r="AF434" s="210"/>
      <c r="AG434" s="210"/>
      <c r="AH434" s="219"/>
      <c r="AI434" s="219"/>
      <c r="AJ434" s="210"/>
      <c r="AK434" s="210"/>
      <c r="AL434" s="210"/>
      <c r="AM434" s="210"/>
      <c r="AN434" s="210"/>
      <c r="AO434" s="210"/>
      <c r="AP434" s="210"/>
      <c r="AQ434" s="210"/>
      <c r="AR434" s="210"/>
      <c r="AS434" s="210"/>
    </row>
    <row r="435" spans="1:45" ht="13.5" customHeight="1">
      <c r="A435" s="210"/>
      <c r="B435" s="210"/>
      <c r="C435" s="210"/>
      <c r="D435" s="210"/>
      <c r="E435" s="210"/>
      <c r="F435" s="210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  <c r="AA435" s="210"/>
      <c r="AB435" s="210"/>
      <c r="AC435" s="210"/>
      <c r="AD435" s="210"/>
      <c r="AE435" s="210"/>
      <c r="AF435" s="210"/>
      <c r="AG435" s="210"/>
      <c r="AH435" s="219"/>
      <c r="AI435" s="219"/>
      <c r="AJ435" s="210"/>
      <c r="AK435" s="210"/>
      <c r="AL435" s="210"/>
      <c r="AM435" s="210"/>
      <c r="AN435" s="210"/>
      <c r="AO435" s="210"/>
      <c r="AP435" s="210"/>
      <c r="AQ435" s="210"/>
      <c r="AR435" s="210"/>
      <c r="AS435" s="210"/>
    </row>
    <row r="436" spans="1:45" ht="13.5" customHeight="1">
      <c r="A436" s="210"/>
      <c r="B436" s="210"/>
      <c r="C436" s="210"/>
      <c r="D436" s="210"/>
      <c r="E436" s="210"/>
      <c r="F436" s="210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  <c r="AA436" s="210"/>
      <c r="AB436" s="210"/>
      <c r="AC436" s="210"/>
      <c r="AD436" s="210"/>
      <c r="AE436" s="210"/>
      <c r="AF436" s="210"/>
      <c r="AG436" s="210"/>
      <c r="AH436" s="219"/>
      <c r="AI436" s="219"/>
      <c r="AJ436" s="210"/>
      <c r="AK436" s="210"/>
      <c r="AL436" s="210"/>
      <c r="AM436" s="210"/>
      <c r="AN436" s="210"/>
      <c r="AO436" s="210"/>
      <c r="AP436" s="210"/>
      <c r="AQ436" s="210"/>
      <c r="AR436" s="210"/>
      <c r="AS436" s="210"/>
    </row>
    <row r="437" spans="1:45" ht="13.5" customHeight="1">
      <c r="A437" s="210"/>
      <c r="B437" s="210"/>
      <c r="C437" s="210"/>
      <c r="D437" s="210"/>
      <c r="E437" s="210"/>
      <c r="F437" s="210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  <c r="AA437" s="210"/>
      <c r="AB437" s="210"/>
      <c r="AC437" s="210"/>
      <c r="AD437" s="210"/>
      <c r="AE437" s="210"/>
      <c r="AF437" s="210"/>
      <c r="AG437" s="210"/>
      <c r="AH437" s="219"/>
      <c r="AI437" s="219"/>
      <c r="AJ437" s="210"/>
      <c r="AK437" s="210"/>
      <c r="AL437" s="210"/>
      <c r="AM437" s="210"/>
      <c r="AN437" s="210"/>
      <c r="AO437" s="210"/>
      <c r="AP437" s="210"/>
      <c r="AQ437" s="210"/>
      <c r="AR437" s="210"/>
      <c r="AS437" s="210"/>
    </row>
    <row r="438" spans="1:45" ht="13.5" customHeight="1">
      <c r="A438" s="210"/>
      <c r="B438" s="210"/>
      <c r="C438" s="210"/>
      <c r="D438" s="210"/>
      <c r="E438" s="210"/>
      <c r="F438" s="210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  <c r="AA438" s="210"/>
      <c r="AB438" s="210"/>
      <c r="AC438" s="210"/>
      <c r="AD438" s="210"/>
      <c r="AE438" s="210"/>
      <c r="AF438" s="210"/>
      <c r="AG438" s="210"/>
      <c r="AH438" s="219"/>
      <c r="AI438" s="219"/>
      <c r="AJ438" s="210"/>
      <c r="AK438" s="210"/>
      <c r="AL438" s="210"/>
      <c r="AM438" s="210"/>
      <c r="AN438" s="210"/>
      <c r="AO438" s="210"/>
      <c r="AP438" s="210"/>
      <c r="AQ438" s="210"/>
      <c r="AR438" s="210"/>
      <c r="AS438" s="210"/>
    </row>
    <row r="439" spans="1:45" ht="13.5" customHeight="1">
      <c r="A439" s="210"/>
      <c r="B439" s="210"/>
      <c r="C439" s="210"/>
      <c r="D439" s="210"/>
      <c r="E439" s="210"/>
      <c r="F439" s="210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  <c r="AA439" s="210"/>
      <c r="AB439" s="210"/>
      <c r="AC439" s="210"/>
      <c r="AD439" s="210"/>
      <c r="AE439" s="210"/>
      <c r="AF439" s="210"/>
      <c r="AG439" s="210"/>
      <c r="AH439" s="219"/>
      <c r="AI439" s="219"/>
      <c r="AJ439" s="210"/>
      <c r="AK439" s="210"/>
      <c r="AL439" s="210"/>
      <c r="AM439" s="210"/>
      <c r="AN439" s="210"/>
      <c r="AO439" s="210"/>
      <c r="AP439" s="210"/>
      <c r="AQ439" s="210"/>
      <c r="AR439" s="210"/>
      <c r="AS439" s="210"/>
    </row>
    <row r="440" spans="1:45" ht="13.5" customHeight="1">
      <c r="A440" s="210"/>
      <c r="B440" s="210"/>
      <c r="C440" s="210"/>
      <c r="D440" s="210"/>
      <c r="E440" s="210"/>
      <c r="F440" s="210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  <c r="AA440" s="210"/>
      <c r="AB440" s="210"/>
      <c r="AC440" s="210"/>
      <c r="AD440" s="210"/>
      <c r="AE440" s="210"/>
      <c r="AF440" s="210"/>
      <c r="AG440" s="210"/>
      <c r="AH440" s="219"/>
      <c r="AI440" s="219"/>
      <c r="AJ440" s="210"/>
      <c r="AK440" s="210"/>
      <c r="AL440" s="210"/>
      <c r="AM440" s="210"/>
      <c r="AN440" s="210"/>
      <c r="AO440" s="210"/>
      <c r="AP440" s="210"/>
      <c r="AQ440" s="210"/>
      <c r="AR440" s="210"/>
      <c r="AS440" s="210"/>
    </row>
    <row r="441" spans="1:45" ht="13.5" customHeight="1">
      <c r="A441" s="210"/>
      <c r="B441" s="210"/>
      <c r="C441" s="210"/>
      <c r="D441" s="210"/>
      <c r="E441" s="210"/>
      <c r="F441" s="210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  <c r="AA441" s="210"/>
      <c r="AB441" s="210"/>
      <c r="AC441" s="210"/>
      <c r="AD441" s="210"/>
      <c r="AE441" s="210"/>
      <c r="AF441" s="210"/>
      <c r="AG441" s="210"/>
      <c r="AH441" s="219"/>
      <c r="AI441" s="219"/>
      <c r="AJ441" s="210"/>
      <c r="AK441" s="210"/>
      <c r="AL441" s="210"/>
      <c r="AM441" s="210"/>
      <c r="AN441" s="210"/>
      <c r="AO441" s="210"/>
      <c r="AP441" s="210"/>
      <c r="AQ441" s="210"/>
      <c r="AR441" s="210"/>
      <c r="AS441" s="210"/>
    </row>
    <row r="442" spans="1:45" ht="13.5" customHeight="1">
      <c r="A442" s="210"/>
      <c r="B442" s="210"/>
      <c r="C442" s="210"/>
      <c r="D442" s="210"/>
      <c r="E442" s="210"/>
      <c r="F442" s="210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  <c r="AA442" s="210"/>
      <c r="AB442" s="210"/>
      <c r="AC442" s="210"/>
      <c r="AD442" s="210"/>
      <c r="AE442" s="210"/>
      <c r="AF442" s="210"/>
      <c r="AG442" s="210"/>
      <c r="AH442" s="219"/>
      <c r="AI442" s="219"/>
      <c r="AJ442" s="210"/>
      <c r="AK442" s="210"/>
      <c r="AL442" s="210"/>
      <c r="AM442" s="210"/>
      <c r="AN442" s="210"/>
      <c r="AO442" s="210"/>
      <c r="AP442" s="210"/>
      <c r="AQ442" s="210"/>
      <c r="AR442" s="210"/>
      <c r="AS442" s="210"/>
    </row>
    <row r="443" spans="1:45" ht="13.5" customHeight="1">
      <c r="A443" s="210"/>
      <c r="B443" s="210"/>
      <c r="C443" s="210"/>
      <c r="D443" s="210"/>
      <c r="E443" s="210"/>
      <c r="F443" s="210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  <c r="AA443" s="210"/>
      <c r="AB443" s="210"/>
      <c r="AC443" s="210"/>
      <c r="AD443" s="210"/>
      <c r="AE443" s="210"/>
      <c r="AF443" s="210"/>
      <c r="AG443" s="210"/>
      <c r="AH443" s="219"/>
      <c r="AI443" s="219"/>
      <c r="AJ443" s="210"/>
      <c r="AK443" s="210"/>
      <c r="AL443" s="210"/>
      <c r="AM443" s="210"/>
      <c r="AN443" s="210"/>
      <c r="AO443" s="210"/>
      <c r="AP443" s="210"/>
      <c r="AQ443" s="210"/>
      <c r="AR443" s="210"/>
      <c r="AS443" s="210"/>
    </row>
    <row r="444" spans="1:45" ht="13.5" customHeight="1">
      <c r="A444" s="210"/>
      <c r="B444" s="210"/>
      <c r="C444" s="210"/>
      <c r="D444" s="210"/>
      <c r="E444" s="210"/>
      <c r="F444" s="210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  <c r="AA444" s="210"/>
      <c r="AB444" s="210"/>
      <c r="AC444" s="210"/>
      <c r="AD444" s="210"/>
      <c r="AE444" s="210"/>
      <c r="AF444" s="210"/>
      <c r="AG444" s="210"/>
      <c r="AH444" s="219"/>
      <c r="AI444" s="219"/>
      <c r="AJ444" s="210"/>
      <c r="AK444" s="210"/>
      <c r="AL444" s="210"/>
      <c r="AM444" s="210"/>
      <c r="AN444" s="210"/>
      <c r="AO444" s="210"/>
      <c r="AP444" s="210"/>
      <c r="AQ444" s="210"/>
      <c r="AR444" s="210"/>
      <c r="AS444" s="210"/>
    </row>
    <row r="445" spans="1:45" ht="13.5" customHeight="1">
      <c r="A445" s="210"/>
      <c r="B445" s="210"/>
      <c r="C445" s="210"/>
      <c r="D445" s="210"/>
      <c r="E445" s="210"/>
      <c r="F445" s="210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  <c r="AA445" s="210"/>
      <c r="AB445" s="210"/>
      <c r="AC445" s="210"/>
      <c r="AD445" s="210"/>
      <c r="AE445" s="210"/>
      <c r="AF445" s="210"/>
      <c r="AG445" s="210"/>
      <c r="AH445" s="219"/>
      <c r="AI445" s="219"/>
      <c r="AJ445" s="210"/>
      <c r="AK445" s="210"/>
      <c r="AL445" s="210"/>
      <c r="AM445" s="210"/>
      <c r="AN445" s="210"/>
      <c r="AO445" s="210"/>
      <c r="AP445" s="210"/>
      <c r="AQ445" s="210"/>
      <c r="AR445" s="210"/>
      <c r="AS445" s="210"/>
    </row>
    <row r="446" spans="1:45" ht="13.5" customHeight="1">
      <c r="A446" s="210"/>
      <c r="B446" s="210"/>
      <c r="C446" s="210"/>
      <c r="D446" s="210"/>
      <c r="E446" s="210"/>
      <c r="F446" s="210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  <c r="AA446" s="210"/>
      <c r="AB446" s="210"/>
      <c r="AC446" s="210"/>
      <c r="AD446" s="210"/>
      <c r="AE446" s="210"/>
      <c r="AF446" s="210"/>
      <c r="AG446" s="210"/>
      <c r="AH446" s="219"/>
      <c r="AI446" s="219"/>
      <c r="AJ446" s="210"/>
      <c r="AK446" s="210"/>
      <c r="AL446" s="210"/>
      <c r="AM446" s="210"/>
      <c r="AN446" s="210"/>
      <c r="AO446" s="210"/>
      <c r="AP446" s="210"/>
      <c r="AQ446" s="210"/>
      <c r="AR446" s="210"/>
      <c r="AS446" s="210"/>
    </row>
    <row r="447" spans="1:45" ht="13.5" customHeight="1">
      <c r="A447" s="210"/>
      <c r="B447" s="210"/>
      <c r="C447" s="210"/>
      <c r="D447" s="210"/>
      <c r="E447" s="210"/>
      <c r="F447" s="210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  <c r="AA447" s="210"/>
      <c r="AB447" s="210"/>
      <c r="AC447" s="210"/>
      <c r="AD447" s="210"/>
      <c r="AE447" s="210"/>
      <c r="AF447" s="210"/>
      <c r="AG447" s="210"/>
      <c r="AH447" s="219"/>
      <c r="AI447" s="219"/>
      <c r="AJ447" s="210"/>
      <c r="AK447" s="210"/>
      <c r="AL447" s="210"/>
      <c r="AM447" s="210"/>
      <c r="AN447" s="210"/>
      <c r="AO447" s="210"/>
      <c r="AP447" s="210"/>
      <c r="AQ447" s="210"/>
      <c r="AR447" s="210"/>
      <c r="AS447" s="210"/>
    </row>
    <row r="448" spans="1:45" ht="13.5" customHeight="1">
      <c r="A448" s="210"/>
      <c r="B448" s="210"/>
      <c r="C448" s="210"/>
      <c r="D448" s="210"/>
      <c r="E448" s="210"/>
      <c r="F448" s="210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  <c r="AA448" s="210"/>
      <c r="AB448" s="210"/>
      <c r="AC448" s="210"/>
      <c r="AD448" s="210"/>
      <c r="AE448" s="210"/>
      <c r="AF448" s="210"/>
      <c r="AG448" s="210"/>
      <c r="AH448" s="219"/>
      <c r="AI448" s="219"/>
      <c r="AJ448" s="210"/>
      <c r="AK448" s="210"/>
      <c r="AL448" s="210"/>
      <c r="AM448" s="210"/>
      <c r="AN448" s="210"/>
      <c r="AO448" s="210"/>
      <c r="AP448" s="210"/>
      <c r="AQ448" s="210"/>
      <c r="AR448" s="210"/>
      <c r="AS448" s="210"/>
    </row>
    <row r="449" spans="1:45" ht="13.5" customHeight="1">
      <c r="A449" s="210"/>
      <c r="B449" s="210"/>
      <c r="C449" s="210"/>
      <c r="D449" s="210"/>
      <c r="E449" s="210"/>
      <c r="F449" s="210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  <c r="AA449" s="210"/>
      <c r="AB449" s="210"/>
      <c r="AC449" s="210"/>
      <c r="AD449" s="210"/>
      <c r="AE449" s="210"/>
      <c r="AF449" s="210"/>
      <c r="AG449" s="210"/>
      <c r="AH449" s="219"/>
      <c r="AI449" s="219"/>
      <c r="AJ449" s="210"/>
      <c r="AK449" s="210"/>
      <c r="AL449" s="210"/>
      <c r="AM449" s="210"/>
      <c r="AN449" s="210"/>
      <c r="AO449" s="210"/>
      <c r="AP449" s="210"/>
      <c r="AQ449" s="210"/>
      <c r="AR449" s="210"/>
      <c r="AS449" s="210"/>
    </row>
    <row r="450" spans="1:45" ht="13.5" customHeight="1">
      <c r="A450" s="210"/>
      <c r="B450" s="210"/>
      <c r="C450" s="210"/>
      <c r="D450" s="210"/>
      <c r="E450" s="210"/>
      <c r="F450" s="210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  <c r="AA450" s="210"/>
      <c r="AB450" s="210"/>
      <c r="AC450" s="210"/>
      <c r="AD450" s="210"/>
      <c r="AE450" s="210"/>
      <c r="AF450" s="210"/>
      <c r="AG450" s="210"/>
      <c r="AH450" s="219"/>
      <c r="AI450" s="219"/>
      <c r="AJ450" s="210"/>
      <c r="AK450" s="210"/>
      <c r="AL450" s="210"/>
      <c r="AM450" s="210"/>
      <c r="AN450" s="210"/>
      <c r="AO450" s="210"/>
      <c r="AP450" s="210"/>
      <c r="AQ450" s="210"/>
      <c r="AR450" s="210"/>
      <c r="AS450" s="210"/>
    </row>
    <row r="451" spans="1:45" ht="13.5" customHeight="1">
      <c r="A451" s="210"/>
      <c r="B451" s="210"/>
      <c r="C451" s="210"/>
      <c r="D451" s="210"/>
      <c r="E451" s="210"/>
      <c r="F451" s="210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  <c r="AA451" s="210"/>
      <c r="AB451" s="210"/>
      <c r="AC451" s="210"/>
      <c r="AD451" s="210"/>
      <c r="AE451" s="210"/>
      <c r="AF451" s="210"/>
      <c r="AG451" s="210"/>
      <c r="AH451" s="219"/>
      <c r="AI451" s="219"/>
      <c r="AJ451" s="210"/>
      <c r="AK451" s="210"/>
      <c r="AL451" s="210"/>
      <c r="AM451" s="210"/>
      <c r="AN451" s="210"/>
      <c r="AO451" s="210"/>
      <c r="AP451" s="210"/>
      <c r="AQ451" s="210"/>
      <c r="AR451" s="210"/>
      <c r="AS451" s="210"/>
    </row>
    <row r="452" spans="1:45" ht="13.5" customHeight="1">
      <c r="A452" s="210"/>
      <c r="B452" s="210"/>
      <c r="C452" s="210"/>
      <c r="D452" s="210"/>
      <c r="E452" s="210"/>
      <c r="F452" s="210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  <c r="AA452" s="210"/>
      <c r="AB452" s="210"/>
      <c r="AC452" s="210"/>
      <c r="AD452" s="210"/>
      <c r="AE452" s="210"/>
      <c r="AF452" s="210"/>
      <c r="AG452" s="210"/>
      <c r="AH452" s="219"/>
      <c r="AI452" s="219"/>
      <c r="AJ452" s="210"/>
      <c r="AK452" s="210"/>
      <c r="AL452" s="210"/>
      <c r="AM452" s="210"/>
      <c r="AN452" s="210"/>
      <c r="AO452" s="210"/>
      <c r="AP452" s="210"/>
      <c r="AQ452" s="210"/>
      <c r="AR452" s="210"/>
      <c r="AS452" s="210"/>
    </row>
    <row r="453" spans="1:45" ht="13.5" customHeight="1">
      <c r="A453" s="210"/>
      <c r="B453" s="210"/>
      <c r="C453" s="210"/>
      <c r="D453" s="210"/>
      <c r="E453" s="210"/>
      <c r="F453" s="210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  <c r="AA453" s="210"/>
      <c r="AB453" s="210"/>
      <c r="AC453" s="210"/>
      <c r="AD453" s="210"/>
      <c r="AE453" s="210"/>
      <c r="AF453" s="210"/>
      <c r="AG453" s="210"/>
      <c r="AH453" s="219"/>
      <c r="AI453" s="219"/>
      <c r="AJ453" s="210"/>
      <c r="AK453" s="210"/>
      <c r="AL453" s="210"/>
      <c r="AM453" s="210"/>
      <c r="AN453" s="210"/>
      <c r="AO453" s="210"/>
      <c r="AP453" s="210"/>
      <c r="AQ453" s="210"/>
      <c r="AR453" s="210"/>
      <c r="AS453" s="210"/>
    </row>
    <row r="454" spans="1:45" ht="13.5" customHeight="1">
      <c r="A454" s="210"/>
      <c r="B454" s="210"/>
      <c r="C454" s="210"/>
      <c r="D454" s="210"/>
      <c r="E454" s="210"/>
      <c r="F454" s="210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  <c r="AA454" s="210"/>
      <c r="AB454" s="210"/>
      <c r="AC454" s="210"/>
      <c r="AD454" s="210"/>
      <c r="AE454" s="210"/>
      <c r="AF454" s="210"/>
      <c r="AG454" s="210"/>
      <c r="AH454" s="219"/>
      <c r="AI454" s="219"/>
      <c r="AJ454" s="210"/>
      <c r="AK454" s="210"/>
      <c r="AL454" s="210"/>
      <c r="AM454" s="210"/>
      <c r="AN454" s="210"/>
      <c r="AO454" s="210"/>
      <c r="AP454" s="210"/>
      <c r="AQ454" s="210"/>
      <c r="AR454" s="210"/>
      <c r="AS454" s="210"/>
    </row>
    <row r="455" spans="1:45" ht="13.5" customHeight="1">
      <c r="A455" s="210"/>
      <c r="B455" s="210"/>
      <c r="C455" s="210"/>
      <c r="D455" s="210"/>
      <c r="E455" s="210"/>
      <c r="F455" s="210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  <c r="AA455" s="210"/>
      <c r="AB455" s="210"/>
      <c r="AC455" s="210"/>
      <c r="AD455" s="210"/>
      <c r="AE455" s="210"/>
      <c r="AF455" s="210"/>
      <c r="AG455" s="210"/>
      <c r="AH455" s="219"/>
      <c r="AI455" s="219"/>
      <c r="AJ455" s="210"/>
      <c r="AK455" s="210"/>
      <c r="AL455" s="210"/>
      <c r="AM455" s="210"/>
      <c r="AN455" s="210"/>
      <c r="AO455" s="210"/>
      <c r="AP455" s="210"/>
      <c r="AQ455" s="210"/>
      <c r="AR455" s="210"/>
      <c r="AS455" s="210"/>
    </row>
    <row r="456" spans="1:45" ht="13.5" customHeight="1">
      <c r="A456" s="210"/>
      <c r="B456" s="210"/>
      <c r="C456" s="210"/>
      <c r="D456" s="210"/>
      <c r="E456" s="210"/>
      <c r="F456" s="210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  <c r="AA456" s="210"/>
      <c r="AB456" s="210"/>
      <c r="AC456" s="210"/>
      <c r="AD456" s="210"/>
      <c r="AE456" s="210"/>
      <c r="AF456" s="210"/>
      <c r="AG456" s="210"/>
      <c r="AH456" s="219"/>
      <c r="AI456" s="219"/>
      <c r="AJ456" s="210"/>
      <c r="AK456" s="210"/>
      <c r="AL456" s="210"/>
      <c r="AM456" s="210"/>
      <c r="AN456" s="210"/>
      <c r="AO456" s="210"/>
      <c r="AP456" s="210"/>
      <c r="AQ456" s="210"/>
      <c r="AR456" s="210"/>
      <c r="AS456" s="210"/>
    </row>
    <row r="457" spans="1:45" ht="13.5" customHeight="1">
      <c r="A457" s="210"/>
      <c r="B457" s="210"/>
      <c r="C457" s="210"/>
      <c r="D457" s="210"/>
      <c r="E457" s="210"/>
      <c r="F457" s="210"/>
      <c r="G457" s="210"/>
      <c r="H457" s="210"/>
      <c r="I457" s="210"/>
      <c r="J457" s="210"/>
      <c r="K457" s="210"/>
      <c r="L457" s="210"/>
      <c r="M457" s="210"/>
      <c r="N457" s="210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  <c r="AA457" s="210"/>
      <c r="AB457" s="210"/>
      <c r="AC457" s="210"/>
      <c r="AD457" s="210"/>
      <c r="AE457" s="210"/>
      <c r="AF457" s="210"/>
      <c r="AG457" s="210"/>
      <c r="AH457" s="219"/>
      <c r="AI457" s="219"/>
      <c r="AJ457" s="210"/>
      <c r="AK457" s="210"/>
      <c r="AL457" s="210"/>
      <c r="AM457" s="210"/>
      <c r="AN457" s="210"/>
      <c r="AO457" s="210"/>
      <c r="AP457" s="210"/>
      <c r="AQ457" s="210"/>
      <c r="AR457" s="210"/>
      <c r="AS457" s="210"/>
    </row>
    <row r="458" spans="1:45" ht="13.5" customHeight="1">
      <c r="A458" s="210"/>
      <c r="B458" s="210"/>
      <c r="C458" s="210"/>
      <c r="D458" s="210"/>
      <c r="E458" s="210"/>
      <c r="F458" s="210"/>
      <c r="G458" s="210"/>
      <c r="H458" s="210"/>
      <c r="I458" s="210"/>
      <c r="J458" s="210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  <c r="AA458" s="210"/>
      <c r="AB458" s="210"/>
      <c r="AC458" s="210"/>
      <c r="AD458" s="210"/>
      <c r="AE458" s="210"/>
      <c r="AF458" s="210"/>
      <c r="AG458" s="210"/>
      <c r="AH458" s="219"/>
      <c r="AI458" s="219"/>
      <c r="AJ458" s="210"/>
      <c r="AK458" s="210"/>
      <c r="AL458" s="210"/>
      <c r="AM458" s="210"/>
      <c r="AN458" s="210"/>
      <c r="AO458" s="210"/>
      <c r="AP458" s="210"/>
      <c r="AQ458" s="210"/>
      <c r="AR458" s="210"/>
      <c r="AS458" s="210"/>
    </row>
    <row r="459" spans="1:45" ht="13.5" customHeight="1">
      <c r="A459" s="210"/>
      <c r="B459" s="210"/>
      <c r="C459" s="210"/>
      <c r="D459" s="210"/>
      <c r="E459" s="210"/>
      <c r="F459" s="210"/>
      <c r="G459" s="210"/>
      <c r="H459" s="210"/>
      <c r="I459" s="210"/>
      <c r="J459" s="210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  <c r="AA459" s="210"/>
      <c r="AB459" s="210"/>
      <c r="AC459" s="210"/>
      <c r="AD459" s="210"/>
      <c r="AE459" s="210"/>
      <c r="AF459" s="210"/>
      <c r="AG459" s="210"/>
      <c r="AH459" s="219"/>
      <c r="AI459" s="219"/>
      <c r="AJ459" s="210"/>
      <c r="AK459" s="210"/>
      <c r="AL459" s="210"/>
      <c r="AM459" s="210"/>
      <c r="AN459" s="210"/>
      <c r="AO459" s="210"/>
      <c r="AP459" s="210"/>
      <c r="AQ459" s="210"/>
      <c r="AR459" s="210"/>
      <c r="AS459" s="210"/>
    </row>
    <row r="460" spans="1:45" ht="13.5" customHeight="1">
      <c r="A460" s="210"/>
      <c r="B460" s="210"/>
      <c r="C460" s="210"/>
      <c r="D460" s="210"/>
      <c r="E460" s="210"/>
      <c r="F460" s="210"/>
      <c r="G460" s="210"/>
      <c r="H460" s="210"/>
      <c r="I460" s="210"/>
      <c r="J460" s="210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  <c r="AA460" s="210"/>
      <c r="AB460" s="210"/>
      <c r="AC460" s="210"/>
      <c r="AD460" s="210"/>
      <c r="AE460" s="210"/>
      <c r="AF460" s="210"/>
      <c r="AG460" s="210"/>
      <c r="AH460" s="219"/>
      <c r="AI460" s="219"/>
      <c r="AJ460" s="210"/>
      <c r="AK460" s="210"/>
      <c r="AL460" s="210"/>
      <c r="AM460" s="210"/>
      <c r="AN460" s="210"/>
      <c r="AO460" s="210"/>
      <c r="AP460" s="210"/>
      <c r="AQ460" s="210"/>
      <c r="AR460" s="210"/>
      <c r="AS460" s="210"/>
    </row>
    <row r="461" spans="1:45" ht="13.5" customHeight="1">
      <c r="A461" s="210"/>
      <c r="B461" s="210"/>
      <c r="C461" s="210"/>
      <c r="D461" s="210"/>
      <c r="E461" s="210"/>
      <c r="F461" s="210"/>
      <c r="G461" s="210"/>
      <c r="H461" s="210"/>
      <c r="I461" s="210"/>
      <c r="J461" s="210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  <c r="AA461" s="210"/>
      <c r="AB461" s="210"/>
      <c r="AC461" s="210"/>
      <c r="AD461" s="210"/>
      <c r="AE461" s="210"/>
      <c r="AF461" s="210"/>
      <c r="AG461" s="210"/>
      <c r="AH461" s="219"/>
      <c r="AI461" s="219"/>
      <c r="AJ461" s="210"/>
      <c r="AK461" s="210"/>
      <c r="AL461" s="210"/>
      <c r="AM461" s="210"/>
      <c r="AN461" s="210"/>
      <c r="AO461" s="210"/>
      <c r="AP461" s="210"/>
      <c r="AQ461" s="210"/>
      <c r="AR461" s="210"/>
      <c r="AS461" s="210"/>
    </row>
    <row r="462" spans="1:45" ht="13.5" customHeight="1">
      <c r="A462" s="210"/>
      <c r="B462" s="210"/>
      <c r="C462" s="210"/>
      <c r="D462" s="210"/>
      <c r="E462" s="210"/>
      <c r="F462" s="210"/>
      <c r="G462" s="210"/>
      <c r="H462" s="210"/>
      <c r="I462" s="210"/>
      <c r="J462" s="210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  <c r="AA462" s="210"/>
      <c r="AB462" s="210"/>
      <c r="AC462" s="210"/>
      <c r="AD462" s="210"/>
      <c r="AE462" s="210"/>
      <c r="AF462" s="210"/>
      <c r="AG462" s="210"/>
      <c r="AH462" s="219"/>
      <c r="AI462" s="219"/>
      <c r="AJ462" s="210"/>
      <c r="AK462" s="210"/>
      <c r="AL462" s="210"/>
      <c r="AM462" s="210"/>
      <c r="AN462" s="210"/>
      <c r="AO462" s="210"/>
      <c r="AP462" s="210"/>
      <c r="AQ462" s="210"/>
      <c r="AR462" s="210"/>
      <c r="AS462" s="210"/>
    </row>
    <row r="463" spans="1:45" ht="13.5" customHeight="1">
      <c r="A463" s="210"/>
      <c r="B463" s="210"/>
      <c r="C463" s="210"/>
      <c r="D463" s="210"/>
      <c r="E463" s="210"/>
      <c r="F463" s="210"/>
      <c r="G463" s="210"/>
      <c r="H463" s="210"/>
      <c r="I463" s="210"/>
      <c r="J463" s="210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  <c r="AA463" s="210"/>
      <c r="AB463" s="210"/>
      <c r="AC463" s="210"/>
      <c r="AD463" s="210"/>
      <c r="AE463" s="210"/>
      <c r="AF463" s="210"/>
      <c r="AG463" s="210"/>
      <c r="AH463" s="219"/>
      <c r="AI463" s="219"/>
      <c r="AJ463" s="210"/>
      <c r="AK463" s="210"/>
      <c r="AL463" s="210"/>
      <c r="AM463" s="210"/>
      <c r="AN463" s="210"/>
      <c r="AO463" s="210"/>
      <c r="AP463" s="210"/>
      <c r="AQ463" s="210"/>
      <c r="AR463" s="210"/>
      <c r="AS463" s="210"/>
    </row>
    <row r="464" spans="1:45" ht="13.5" customHeight="1">
      <c r="A464" s="210"/>
      <c r="B464" s="210"/>
      <c r="C464" s="210"/>
      <c r="D464" s="210"/>
      <c r="E464" s="210"/>
      <c r="F464" s="210"/>
      <c r="G464" s="210"/>
      <c r="H464" s="210"/>
      <c r="I464" s="210"/>
      <c r="J464" s="210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  <c r="AA464" s="210"/>
      <c r="AB464" s="210"/>
      <c r="AC464" s="210"/>
      <c r="AD464" s="210"/>
      <c r="AE464" s="210"/>
      <c r="AF464" s="210"/>
      <c r="AG464" s="210"/>
      <c r="AH464" s="219"/>
      <c r="AI464" s="219"/>
      <c r="AJ464" s="210"/>
      <c r="AK464" s="210"/>
      <c r="AL464" s="210"/>
      <c r="AM464" s="210"/>
      <c r="AN464" s="210"/>
      <c r="AO464" s="210"/>
      <c r="AP464" s="210"/>
      <c r="AQ464" s="210"/>
      <c r="AR464" s="210"/>
      <c r="AS464" s="210"/>
    </row>
    <row r="465" spans="1:45" ht="13.5" customHeight="1">
      <c r="A465" s="210"/>
      <c r="B465" s="210"/>
      <c r="C465" s="210"/>
      <c r="D465" s="210"/>
      <c r="E465" s="210"/>
      <c r="F465" s="210"/>
      <c r="G465" s="210"/>
      <c r="H465" s="210"/>
      <c r="I465" s="210"/>
      <c r="J465" s="210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  <c r="AA465" s="210"/>
      <c r="AB465" s="210"/>
      <c r="AC465" s="210"/>
      <c r="AD465" s="210"/>
      <c r="AE465" s="210"/>
      <c r="AF465" s="210"/>
      <c r="AG465" s="210"/>
      <c r="AH465" s="219"/>
      <c r="AI465" s="219"/>
      <c r="AJ465" s="210"/>
      <c r="AK465" s="210"/>
      <c r="AL465" s="210"/>
      <c r="AM465" s="210"/>
      <c r="AN465" s="210"/>
      <c r="AO465" s="210"/>
      <c r="AP465" s="210"/>
      <c r="AQ465" s="210"/>
      <c r="AR465" s="210"/>
      <c r="AS465" s="210"/>
    </row>
    <row r="466" spans="1:45" ht="13.5" customHeight="1">
      <c r="A466" s="210"/>
      <c r="B466" s="210"/>
      <c r="C466" s="210"/>
      <c r="D466" s="210"/>
      <c r="E466" s="210"/>
      <c r="F466" s="210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  <c r="AA466" s="210"/>
      <c r="AB466" s="210"/>
      <c r="AC466" s="210"/>
      <c r="AD466" s="210"/>
      <c r="AE466" s="210"/>
      <c r="AF466" s="210"/>
      <c r="AG466" s="210"/>
      <c r="AH466" s="219"/>
      <c r="AI466" s="219"/>
      <c r="AJ466" s="210"/>
      <c r="AK466" s="210"/>
      <c r="AL466" s="210"/>
      <c r="AM466" s="210"/>
      <c r="AN466" s="210"/>
      <c r="AO466" s="210"/>
      <c r="AP466" s="210"/>
      <c r="AQ466" s="210"/>
      <c r="AR466" s="210"/>
      <c r="AS466" s="210"/>
    </row>
    <row r="467" spans="1:45" ht="13.5" customHeight="1">
      <c r="A467" s="210"/>
      <c r="B467" s="210"/>
      <c r="C467" s="210"/>
      <c r="D467" s="210"/>
      <c r="E467" s="210"/>
      <c r="F467" s="210"/>
      <c r="G467" s="210"/>
      <c r="H467" s="210"/>
      <c r="I467" s="210"/>
      <c r="J467" s="210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  <c r="AA467" s="210"/>
      <c r="AB467" s="210"/>
      <c r="AC467" s="210"/>
      <c r="AD467" s="210"/>
      <c r="AE467" s="210"/>
      <c r="AF467" s="210"/>
      <c r="AG467" s="210"/>
      <c r="AH467" s="219"/>
      <c r="AI467" s="219"/>
      <c r="AJ467" s="210"/>
      <c r="AK467" s="210"/>
      <c r="AL467" s="210"/>
      <c r="AM467" s="210"/>
      <c r="AN467" s="210"/>
      <c r="AO467" s="210"/>
      <c r="AP467" s="210"/>
      <c r="AQ467" s="210"/>
      <c r="AR467" s="210"/>
      <c r="AS467" s="210"/>
    </row>
    <row r="468" spans="1:45" ht="13.5" customHeight="1">
      <c r="A468" s="210"/>
      <c r="B468" s="210"/>
      <c r="C468" s="210"/>
      <c r="D468" s="210"/>
      <c r="E468" s="210"/>
      <c r="F468" s="210"/>
      <c r="G468" s="210"/>
      <c r="H468" s="210"/>
      <c r="I468" s="210"/>
      <c r="J468" s="210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  <c r="AA468" s="210"/>
      <c r="AB468" s="210"/>
      <c r="AC468" s="210"/>
      <c r="AD468" s="210"/>
      <c r="AE468" s="210"/>
      <c r="AF468" s="210"/>
      <c r="AG468" s="210"/>
      <c r="AH468" s="219"/>
      <c r="AI468" s="219"/>
      <c r="AJ468" s="210"/>
      <c r="AK468" s="210"/>
      <c r="AL468" s="210"/>
      <c r="AM468" s="210"/>
      <c r="AN468" s="210"/>
      <c r="AO468" s="210"/>
      <c r="AP468" s="210"/>
      <c r="AQ468" s="210"/>
      <c r="AR468" s="210"/>
      <c r="AS468" s="210"/>
    </row>
    <row r="469" spans="1:45" ht="13.5" customHeight="1">
      <c r="A469" s="210"/>
      <c r="B469" s="210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0"/>
      <c r="AG469" s="210"/>
      <c r="AH469" s="219"/>
      <c r="AI469" s="219"/>
      <c r="AJ469" s="210"/>
      <c r="AK469" s="210"/>
      <c r="AL469" s="210"/>
      <c r="AM469" s="210"/>
      <c r="AN469" s="210"/>
      <c r="AO469" s="210"/>
      <c r="AP469" s="210"/>
      <c r="AQ469" s="210"/>
      <c r="AR469" s="210"/>
      <c r="AS469" s="210"/>
    </row>
    <row r="470" spans="1:45" ht="13.5" customHeight="1">
      <c r="A470" s="210"/>
      <c r="B470" s="210"/>
      <c r="C470" s="210"/>
      <c r="D470" s="210"/>
      <c r="E470" s="210"/>
      <c r="F470" s="210"/>
      <c r="G470" s="210"/>
      <c r="H470" s="210"/>
      <c r="I470" s="210"/>
      <c r="J470" s="210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  <c r="AA470" s="210"/>
      <c r="AB470" s="210"/>
      <c r="AC470" s="210"/>
      <c r="AD470" s="210"/>
      <c r="AE470" s="210"/>
      <c r="AF470" s="210"/>
      <c r="AG470" s="210"/>
      <c r="AH470" s="219"/>
      <c r="AI470" s="219"/>
      <c r="AJ470" s="210"/>
      <c r="AK470" s="210"/>
      <c r="AL470" s="210"/>
      <c r="AM470" s="210"/>
      <c r="AN470" s="210"/>
      <c r="AO470" s="210"/>
      <c r="AP470" s="210"/>
      <c r="AQ470" s="210"/>
      <c r="AR470" s="210"/>
      <c r="AS470" s="210"/>
    </row>
    <row r="471" spans="1:45" ht="13.5" customHeight="1">
      <c r="A471" s="210"/>
      <c r="B471" s="210"/>
      <c r="C471" s="210"/>
      <c r="D471" s="210"/>
      <c r="E471" s="210"/>
      <c r="F471" s="210"/>
      <c r="G471" s="210"/>
      <c r="H471" s="210"/>
      <c r="I471" s="210"/>
      <c r="J471" s="210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  <c r="AA471" s="210"/>
      <c r="AB471" s="210"/>
      <c r="AC471" s="210"/>
      <c r="AD471" s="210"/>
      <c r="AE471" s="210"/>
      <c r="AF471" s="210"/>
      <c r="AG471" s="210"/>
      <c r="AH471" s="219"/>
      <c r="AI471" s="219"/>
      <c r="AJ471" s="210"/>
      <c r="AK471" s="210"/>
      <c r="AL471" s="210"/>
      <c r="AM471" s="210"/>
      <c r="AN471" s="210"/>
      <c r="AO471" s="210"/>
      <c r="AP471" s="210"/>
      <c r="AQ471" s="210"/>
      <c r="AR471" s="210"/>
      <c r="AS471" s="210"/>
    </row>
    <row r="472" spans="1:45" ht="13.5" customHeight="1">
      <c r="A472" s="210"/>
      <c r="B472" s="210"/>
      <c r="C472" s="210"/>
      <c r="D472" s="210"/>
      <c r="E472" s="210"/>
      <c r="F472" s="210"/>
      <c r="G472" s="210"/>
      <c r="H472" s="210"/>
      <c r="I472" s="210"/>
      <c r="J472" s="210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  <c r="AA472" s="210"/>
      <c r="AB472" s="210"/>
      <c r="AC472" s="210"/>
      <c r="AD472" s="210"/>
      <c r="AE472" s="210"/>
      <c r="AF472" s="210"/>
      <c r="AG472" s="210"/>
      <c r="AH472" s="219"/>
      <c r="AI472" s="219"/>
      <c r="AJ472" s="210"/>
      <c r="AK472" s="210"/>
      <c r="AL472" s="210"/>
      <c r="AM472" s="210"/>
      <c r="AN472" s="210"/>
      <c r="AO472" s="210"/>
      <c r="AP472" s="210"/>
      <c r="AQ472" s="210"/>
      <c r="AR472" s="210"/>
      <c r="AS472" s="210"/>
    </row>
    <row r="473" spans="1:45" ht="13.5" customHeight="1">
      <c r="A473" s="210"/>
      <c r="B473" s="210"/>
      <c r="C473" s="210"/>
      <c r="D473" s="210"/>
      <c r="E473" s="210"/>
      <c r="F473" s="210"/>
      <c r="G473" s="210"/>
      <c r="H473" s="210"/>
      <c r="I473" s="210"/>
      <c r="J473" s="210"/>
      <c r="K473" s="210"/>
      <c r="L473" s="210"/>
      <c r="M473" s="210"/>
      <c r="N473" s="210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  <c r="AA473" s="210"/>
      <c r="AB473" s="210"/>
      <c r="AC473" s="210"/>
      <c r="AD473" s="210"/>
      <c r="AE473" s="210"/>
      <c r="AF473" s="210"/>
      <c r="AG473" s="210"/>
      <c r="AH473" s="219"/>
      <c r="AI473" s="219"/>
      <c r="AJ473" s="210"/>
      <c r="AK473" s="210"/>
      <c r="AL473" s="210"/>
      <c r="AM473" s="210"/>
      <c r="AN473" s="210"/>
      <c r="AO473" s="210"/>
      <c r="AP473" s="210"/>
      <c r="AQ473" s="210"/>
      <c r="AR473" s="210"/>
      <c r="AS473" s="210"/>
    </row>
    <row r="474" spans="1:45" ht="13.5" customHeight="1">
      <c r="A474" s="210"/>
      <c r="B474" s="210"/>
      <c r="C474" s="210"/>
      <c r="D474" s="210"/>
      <c r="E474" s="210"/>
      <c r="F474" s="210"/>
      <c r="G474" s="210"/>
      <c r="H474" s="210"/>
      <c r="I474" s="210"/>
      <c r="J474" s="210"/>
      <c r="K474" s="210"/>
      <c r="L474" s="210"/>
      <c r="M474" s="210"/>
      <c r="N474" s="210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  <c r="AA474" s="210"/>
      <c r="AB474" s="210"/>
      <c r="AC474" s="210"/>
      <c r="AD474" s="210"/>
      <c r="AE474" s="210"/>
      <c r="AF474" s="210"/>
      <c r="AG474" s="210"/>
      <c r="AH474" s="219"/>
      <c r="AI474" s="219"/>
      <c r="AJ474" s="210"/>
      <c r="AK474" s="210"/>
      <c r="AL474" s="210"/>
      <c r="AM474" s="210"/>
      <c r="AN474" s="210"/>
      <c r="AO474" s="210"/>
      <c r="AP474" s="210"/>
      <c r="AQ474" s="210"/>
      <c r="AR474" s="210"/>
      <c r="AS474" s="210"/>
    </row>
    <row r="475" spans="1:45" ht="13.5" customHeight="1">
      <c r="A475" s="210"/>
      <c r="B475" s="210"/>
      <c r="C475" s="210"/>
      <c r="D475" s="210"/>
      <c r="E475" s="210"/>
      <c r="F475" s="210"/>
      <c r="G475" s="210"/>
      <c r="H475" s="210"/>
      <c r="I475" s="210"/>
      <c r="J475" s="210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  <c r="AA475" s="210"/>
      <c r="AB475" s="210"/>
      <c r="AC475" s="210"/>
      <c r="AD475" s="210"/>
      <c r="AE475" s="210"/>
      <c r="AF475" s="210"/>
      <c r="AG475" s="210"/>
      <c r="AH475" s="219"/>
      <c r="AI475" s="219"/>
      <c r="AJ475" s="210"/>
      <c r="AK475" s="210"/>
      <c r="AL475" s="210"/>
      <c r="AM475" s="210"/>
      <c r="AN475" s="210"/>
      <c r="AO475" s="210"/>
      <c r="AP475" s="210"/>
      <c r="AQ475" s="210"/>
      <c r="AR475" s="210"/>
      <c r="AS475" s="210"/>
    </row>
    <row r="476" spans="1:45" ht="13.5" customHeight="1">
      <c r="A476" s="210"/>
      <c r="B476" s="210"/>
      <c r="C476" s="210"/>
      <c r="D476" s="210"/>
      <c r="E476" s="210"/>
      <c r="F476" s="210"/>
      <c r="G476" s="210"/>
      <c r="H476" s="210"/>
      <c r="I476" s="210"/>
      <c r="J476" s="210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  <c r="AA476" s="210"/>
      <c r="AB476" s="210"/>
      <c r="AC476" s="210"/>
      <c r="AD476" s="210"/>
      <c r="AE476" s="210"/>
      <c r="AF476" s="210"/>
      <c r="AG476" s="210"/>
      <c r="AH476" s="219"/>
      <c r="AI476" s="219"/>
      <c r="AJ476" s="210"/>
      <c r="AK476" s="210"/>
      <c r="AL476" s="210"/>
      <c r="AM476" s="210"/>
      <c r="AN476" s="210"/>
      <c r="AO476" s="210"/>
      <c r="AP476" s="210"/>
      <c r="AQ476" s="210"/>
      <c r="AR476" s="210"/>
      <c r="AS476" s="210"/>
    </row>
    <row r="477" spans="1:45" ht="13.5" customHeight="1">
      <c r="A477" s="210"/>
      <c r="B477" s="210"/>
      <c r="C477" s="210"/>
      <c r="D477" s="210"/>
      <c r="E477" s="210"/>
      <c r="F477" s="210"/>
      <c r="G477" s="210"/>
      <c r="H477" s="210"/>
      <c r="I477" s="210"/>
      <c r="J477" s="210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  <c r="AA477" s="210"/>
      <c r="AB477" s="210"/>
      <c r="AC477" s="210"/>
      <c r="AD477" s="210"/>
      <c r="AE477" s="210"/>
      <c r="AF477" s="210"/>
      <c r="AG477" s="210"/>
      <c r="AH477" s="219"/>
      <c r="AI477" s="219"/>
      <c r="AJ477" s="210"/>
      <c r="AK477" s="210"/>
      <c r="AL477" s="210"/>
      <c r="AM477" s="210"/>
      <c r="AN477" s="210"/>
      <c r="AO477" s="210"/>
      <c r="AP477" s="210"/>
      <c r="AQ477" s="210"/>
      <c r="AR477" s="210"/>
      <c r="AS477" s="210"/>
    </row>
    <row r="478" spans="1:45" ht="13.5" customHeight="1">
      <c r="A478" s="210"/>
      <c r="B478" s="210"/>
      <c r="C478" s="210"/>
      <c r="D478" s="210"/>
      <c r="E478" s="210"/>
      <c r="F478" s="210"/>
      <c r="G478" s="210"/>
      <c r="H478" s="210"/>
      <c r="I478" s="210"/>
      <c r="J478" s="210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  <c r="AA478" s="210"/>
      <c r="AB478" s="210"/>
      <c r="AC478" s="210"/>
      <c r="AD478" s="210"/>
      <c r="AE478" s="210"/>
      <c r="AF478" s="210"/>
      <c r="AG478" s="210"/>
      <c r="AH478" s="219"/>
      <c r="AI478" s="219"/>
      <c r="AJ478" s="210"/>
      <c r="AK478" s="210"/>
      <c r="AL478" s="210"/>
      <c r="AM478" s="210"/>
      <c r="AN478" s="210"/>
      <c r="AO478" s="210"/>
      <c r="AP478" s="210"/>
      <c r="AQ478" s="210"/>
      <c r="AR478" s="210"/>
      <c r="AS478" s="210"/>
    </row>
    <row r="479" spans="1:45" ht="13.5" customHeight="1">
      <c r="A479" s="210"/>
      <c r="B479" s="210"/>
      <c r="C479" s="210"/>
      <c r="D479" s="210"/>
      <c r="E479" s="210"/>
      <c r="F479" s="210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  <c r="AA479" s="210"/>
      <c r="AB479" s="210"/>
      <c r="AC479" s="210"/>
      <c r="AD479" s="210"/>
      <c r="AE479" s="210"/>
      <c r="AF479" s="210"/>
      <c r="AG479" s="210"/>
      <c r="AH479" s="219"/>
      <c r="AI479" s="219"/>
      <c r="AJ479" s="210"/>
      <c r="AK479" s="210"/>
      <c r="AL479" s="210"/>
      <c r="AM479" s="210"/>
      <c r="AN479" s="210"/>
      <c r="AO479" s="210"/>
      <c r="AP479" s="210"/>
      <c r="AQ479" s="210"/>
      <c r="AR479" s="210"/>
      <c r="AS479" s="210"/>
    </row>
    <row r="480" spans="1:45" ht="13.5" customHeight="1">
      <c r="A480" s="210"/>
      <c r="B480" s="210"/>
      <c r="C480" s="210"/>
      <c r="D480" s="210"/>
      <c r="E480" s="210"/>
      <c r="F480" s="210"/>
      <c r="G480" s="210"/>
      <c r="H480" s="210"/>
      <c r="I480" s="210"/>
      <c r="J480" s="210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  <c r="AA480" s="210"/>
      <c r="AB480" s="210"/>
      <c r="AC480" s="210"/>
      <c r="AD480" s="210"/>
      <c r="AE480" s="210"/>
      <c r="AF480" s="210"/>
      <c r="AG480" s="210"/>
      <c r="AH480" s="219"/>
      <c r="AI480" s="219"/>
      <c r="AJ480" s="210"/>
      <c r="AK480" s="210"/>
      <c r="AL480" s="210"/>
      <c r="AM480" s="210"/>
      <c r="AN480" s="210"/>
      <c r="AO480" s="210"/>
      <c r="AP480" s="210"/>
      <c r="AQ480" s="210"/>
      <c r="AR480" s="210"/>
      <c r="AS480" s="210"/>
    </row>
    <row r="481" spans="1:45" ht="13.5" customHeight="1">
      <c r="A481" s="210"/>
      <c r="B481" s="210"/>
      <c r="C481" s="210"/>
      <c r="D481" s="210"/>
      <c r="E481" s="210"/>
      <c r="F481" s="210"/>
      <c r="G481" s="210"/>
      <c r="H481" s="210"/>
      <c r="I481" s="210"/>
      <c r="J481" s="210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  <c r="AA481" s="210"/>
      <c r="AB481" s="210"/>
      <c r="AC481" s="210"/>
      <c r="AD481" s="210"/>
      <c r="AE481" s="210"/>
      <c r="AF481" s="210"/>
      <c r="AG481" s="210"/>
      <c r="AH481" s="219"/>
      <c r="AI481" s="219"/>
      <c r="AJ481" s="210"/>
      <c r="AK481" s="210"/>
      <c r="AL481" s="210"/>
      <c r="AM481" s="210"/>
      <c r="AN481" s="210"/>
      <c r="AO481" s="210"/>
      <c r="AP481" s="210"/>
      <c r="AQ481" s="210"/>
      <c r="AR481" s="210"/>
      <c r="AS481" s="210"/>
    </row>
    <row r="482" spans="1:45" ht="13.5" customHeight="1">
      <c r="A482" s="210"/>
      <c r="B482" s="210"/>
      <c r="C482" s="210"/>
      <c r="D482" s="210"/>
      <c r="E482" s="210"/>
      <c r="F482" s="210"/>
      <c r="G482" s="210"/>
      <c r="H482" s="210"/>
      <c r="I482" s="210"/>
      <c r="J482" s="210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  <c r="AA482" s="210"/>
      <c r="AB482" s="210"/>
      <c r="AC482" s="210"/>
      <c r="AD482" s="210"/>
      <c r="AE482" s="210"/>
      <c r="AF482" s="210"/>
      <c r="AG482" s="210"/>
      <c r="AH482" s="219"/>
      <c r="AI482" s="219"/>
      <c r="AJ482" s="210"/>
      <c r="AK482" s="210"/>
      <c r="AL482" s="210"/>
      <c r="AM482" s="210"/>
      <c r="AN482" s="210"/>
      <c r="AO482" s="210"/>
      <c r="AP482" s="210"/>
      <c r="AQ482" s="210"/>
      <c r="AR482" s="210"/>
      <c r="AS482" s="210"/>
    </row>
    <row r="483" spans="1:45" ht="13.5" customHeight="1">
      <c r="A483" s="210"/>
      <c r="B483" s="210"/>
      <c r="C483" s="210"/>
      <c r="D483" s="210"/>
      <c r="E483" s="210"/>
      <c r="F483" s="210"/>
      <c r="G483" s="210"/>
      <c r="H483" s="210"/>
      <c r="I483" s="210"/>
      <c r="J483" s="210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  <c r="AA483" s="210"/>
      <c r="AB483" s="210"/>
      <c r="AC483" s="210"/>
      <c r="AD483" s="210"/>
      <c r="AE483" s="210"/>
      <c r="AF483" s="210"/>
      <c r="AG483" s="210"/>
      <c r="AH483" s="219"/>
      <c r="AI483" s="219"/>
      <c r="AJ483" s="210"/>
      <c r="AK483" s="210"/>
      <c r="AL483" s="210"/>
      <c r="AM483" s="210"/>
      <c r="AN483" s="210"/>
      <c r="AO483" s="210"/>
      <c r="AP483" s="210"/>
      <c r="AQ483" s="210"/>
      <c r="AR483" s="210"/>
      <c r="AS483" s="210"/>
    </row>
    <row r="484" spans="1:45" ht="13.5" customHeight="1">
      <c r="A484" s="210"/>
      <c r="B484" s="210"/>
      <c r="C484" s="210"/>
      <c r="D484" s="210"/>
      <c r="E484" s="210"/>
      <c r="F484" s="210"/>
      <c r="G484" s="210"/>
      <c r="H484" s="210"/>
      <c r="I484" s="210"/>
      <c r="J484" s="210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  <c r="AA484" s="210"/>
      <c r="AB484" s="210"/>
      <c r="AC484" s="210"/>
      <c r="AD484" s="210"/>
      <c r="AE484" s="210"/>
      <c r="AF484" s="210"/>
      <c r="AG484" s="210"/>
      <c r="AH484" s="219"/>
      <c r="AI484" s="219"/>
      <c r="AJ484" s="210"/>
      <c r="AK484" s="210"/>
      <c r="AL484" s="210"/>
      <c r="AM484" s="210"/>
      <c r="AN484" s="210"/>
      <c r="AO484" s="210"/>
      <c r="AP484" s="210"/>
      <c r="AQ484" s="210"/>
      <c r="AR484" s="210"/>
      <c r="AS484" s="210"/>
    </row>
    <row r="485" spans="1:45" ht="13.5" customHeight="1">
      <c r="A485" s="210"/>
      <c r="B485" s="210"/>
      <c r="C485" s="210"/>
      <c r="D485" s="210"/>
      <c r="E485" s="210"/>
      <c r="F485" s="210"/>
      <c r="G485" s="210"/>
      <c r="H485" s="210"/>
      <c r="I485" s="210"/>
      <c r="J485" s="210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  <c r="AA485" s="210"/>
      <c r="AB485" s="210"/>
      <c r="AC485" s="210"/>
      <c r="AD485" s="210"/>
      <c r="AE485" s="210"/>
      <c r="AF485" s="210"/>
      <c r="AG485" s="210"/>
      <c r="AH485" s="219"/>
      <c r="AI485" s="219"/>
      <c r="AJ485" s="210"/>
      <c r="AK485" s="210"/>
      <c r="AL485" s="210"/>
      <c r="AM485" s="210"/>
      <c r="AN485" s="210"/>
      <c r="AO485" s="210"/>
      <c r="AP485" s="210"/>
      <c r="AQ485" s="210"/>
      <c r="AR485" s="210"/>
      <c r="AS485" s="210"/>
    </row>
    <row r="486" spans="1:45" ht="13.5" customHeight="1">
      <c r="A486" s="210"/>
      <c r="B486" s="210"/>
      <c r="C486" s="210"/>
      <c r="D486" s="210"/>
      <c r="E486" s="210"/>
      <c r="F486" s="210"/>
      <c r="G486" s="210"/>
      <c r="H486" s="210"/>
      <c r="I486" s="210"/>
      <c r="J486" s="210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  <c r="AA486" s="210"/>
      <c r="AB486" s="210"/>
      <c r="AC486" s="210"/>
      <c r="AD486" s="210"/>
      <c r="AE486" s="210"/>
      <c r="AF486" s="210"/>
      <c r="AG486" s="210"/>
      <c r="AH486" s="219"/>
      <c r="AI486" s="219"/>
      <c r="AJ486" s="210"/>
      <c r="AK486" s="210"/>
      <c r="AL486" s="210"/>
      <c r="AM486" s="210"/>
      <c r="AN486" s="210"/>
      <c r="AO486" s="210"/>
      <c r="AP486" s="210"/>
      <c r="AQ486" s="210"/>
      <c r="AR486" s="210"/>
      <c r="AS486" s="210"/>
    </row>
    <row r="487" spans="1:45" ht="13.5" customHeight="1">
      <c r="A487" s="210"/>
      <c r="B487" s="210"/>
      <c r="C487" s="210"/>
      <c r="D487" s="210"/>
      <c r="E487" s="210"/>
      <c r="F487" s="210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  <c r="AA487" s="210"/>
      <c r="AB487" s="210"/>
      <c r="AC487" s="210"/>
      <c r="AD487" s="210"/>
      <c r="AE487" s="210"/>
      <c r="AF487" s="210"/>
      <c r="AG487" s="210"/>
      <c r="AH487" s="219"/>
      <c r="AI487" s="219"/>
      <c r="AJ487" s="210"/>
      <c r="AK487" s="210"/>
      <c r="AL487" s="210"/>
      <c r="AM487" s="210"/>
      <c r="AN487" s="210"/>
      <c r="AO487" s="210"/>
      <c r="AP487" s="210"/>
      <c r="AQ487" s="210"/>
      <c r="AR487" s="210"/>
      <c r="AS487" s="210"/>
    </row>
    <row r="488" spans="1:45" ht="13.5" customHeight="1">
      <c r="A488" s="210"/>
      <c r="B488" s="210"/>
      <c r="C488" s="210"/>
      <c r="D488" s="210"/>
      <c r="E488" s="210"/>
      <c r="F488" s="210"/>
      <c r="G488" s="210"/>
      <c r="H488" s="210"/>
      <c r="I488" s="210"/>
      <c r="J488" s="210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  <c r="AA488" s="210"/>
      <c r="AB488" s="210"/>
      <c r="AC488" s="210"/>
      <c r="AD488" s="210"/>
      <c r="AE488" s="210"/>
      <c r="AF488" s="210"/>
      <c r="AG488" s="210"/>
      <c r="AH488" s="219"/>
      <c r="AI488" s="219"/>
      <c r="AJ488" s="210"/>
      <c r="AK488" s="210"/>
      <c r="AL488" s="210"/>
      <c r="AM488" s="210"/>
      <c r="AN488" s="210"/>
      <c r="AO488" s="210"/>
      <c r="AP488" s="210"/>
      <c r="AQ488" s="210"/>
      <c r="AR488" s="210"/>
      <c r="AS488" s="210"/>
    </row>
    <row r="489" spans="1:45" ht="13.5" customHeight="1">
      <c r="A489" s="210"/>
      <c r="B489" s="210"/>
      <c r="C489" s="210"/>
      <c r="D489" s="210"/>
      <c r="E489" s="210"/>
      <c r="F489" s="210"/>
      <c r="G489" s="210"/>
      <c r="H489" s="210"/>
      <c r="I489" s="210"/>
      <c r="J489" s="210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  <c r="AA489" s="210"/>
      <c r="AB489" s="210"/>
      <c r="AC489" s="210"/>
      <c r="AD489" s="210"/>
      <c r="AE489" s="210"/>
      <c r="AF489" s="210"/>
      <c r="AG489" s="210"/>
      <c r="AH489" s="219"/>
      <c r="AI489" s="219"/>
      <c r="AJ489" s="210"/>
      <c r="AK489" s="210"/>
      <c r="AL489" s="210"/>
      <c r="AM489" s="210"/>
      <c r="AN489" s="210"/>
      <c r="AO489" s="210"/>
      <c r="AP489" s="210"/>
      <c r="AQ489" s="210"/>
      <c r="AR489" s="210"/>
      <c r="AS489" s="210"/>
    </row>
    <row r="490" spans="1:45" ht="13.5" customHeight="1">
      <c r="A490" s="210"/>
      <c r="B490" s="210"/>
      <c r="C490" s="210"/>
      <c r="D490" s="210"/>
      <c r="E490" s="210"/>
      <c r="F490" s="210"/>
      <c r="G490" s="210"/>
      <c r="H490" s="210"/>
      <c r="I490" s="210"/>
      <c r="J490" s="210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  <c r="AA490" s="210"/>
      <c r="AB490" s="210"/>
      <c r="AC490" s="210"/>
      <c r="AD490" s="210"/>
      <c r="AE490" s="210"/>
      <c r="AF490" s="210"/>
      <c r="AG490" s="210"/>
      <c r="AH490" s="219"/>
      <c r="AI490" s="219"/>
      <c r="AJ490" s="210"/>
      <c r="AK490" s="210"/>
      <c r="AL490" s="210"/>
      <c r="AM490" s="210"/>
      <c r="AN490" s="210"/>
      <c r="AO490" s="210"/>
      <c r="AP490" s="210"/>
      <c r="AQ490" s="210"/>
      <c r="AR490" s="210"/>
      <c r="AS490" s="210"/>
    </row>
    <row r="491" spans="1:45" ht="13.5" customHeight="1">
      <c r="A491" s="210"/>
      <c r="B491" s="210"/>
      <c r="C491" s="210"/>
      <c r="D491" s="210"/>
      <c r="E491" s="210"/>
      <c r="F491" s="210"/>
      <c r="G491" s="210"/>
      <c r="H491" s="210"/>
      <c r="I491" s="210"/>
      <c r="J491" s="210"/>
      <c r="K491" s="210"/>
      <c r="L491" s="210"/>
      <c r="M491" s="210"/>
      <c r="N491" s="210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  <c r="AA491" s="210"/>
      <c r="AB491" s="210"/>
      <c r="AC491" s="210"/>
      <c r="AD491" s="210"/>
      <c r="AE491" s="210"/>
      <c r="AF491" s="210"/>
      <c r="AG491" s="210"/>
      <c r="AH491" s="219"/>
      <c r="AI491" s="219"/>
      <c r="AJ491" s="210"/>
      <c r="AK491" s="210"/>
      <c r="AL491" s="210"/>
      <c r="AM491" s="210"/>
      <c r="AN491" s="210"/>
      <c r="AO491" s="210"/>
      <c r="AP491" s="210"/>
      <c r="AQ491" s="210"/>
      <c r="AR491" s="210"/>
      <c r="AS491" s="210"/>
    </row>
    <row r="492" spans="1:45" ht="13.5" customHeight="1">
      <c r="A492" s="210"/>
      <c r="B492" s="210"/>
      <c r="C492" s="210"/>
      <c r="D492" s="210"/>
      <c r="E492" s="210"/>
      <c r="F492" s="210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  <c r="AA492" s="210"/>
      <c r="AB492" s="210"/>
      <c r="AC492" s="210"/>
      <c r="AD492" s="210"/>
      <c r="AE492" s="210"/>
      <c r="AF492" s="210"/>
      <c r="AG492" s="210"/>
      <c r="AH492" s="219"/>
      <c r="AI492" s="219"/>
      <c r="AJ492" s="210"/>
      <c r="AK492" s="210"/>
      <c r="AL492" s="210"/>
      <c r="AM492" s="210"/>
      <c r="AN492" s="210"/>
      <c r="AO492" s="210"/>
      <c r="AP492" s="210"/>
      <c r="AQ492" s="210"/>
      <c r="AR492" s="210"/>
      <c r="AS492" s="210"/>
    </row>
    <row r="493" spans="1:45" ht="13.5" customHeight="1">
      <c r="A493" s="210"/>
      <c r="B493" s="210"/>
      <c r="C493" s="210"/>
      <c r="D493" s="210"/>
      <c r="E493" s="210"/>
      <c r="F493" s="210"/>
      <c r="G493" s="210"/>
      <c r="H493" s="210"/>
      <c r="I493" s="210"/>
      <c r="J493" s="210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  <c r="AA493" s="210"/>
      <c r="AB493" s="210"/>
      <c r="AC493" s="210"/>
      <c r="AD493" s="210"/>
      <c r="AE493" s="210"/>
      <c r="AF493" s="210"/>
      <c r="AG493" s="210"/>
      <c r="AH493" s="219"/>
      <c r="AI493" s="219"/>
      <c r="AJ493" s="210"/>
      <c r="AK493" s="210"/>
      <c r="AL493" s="210"/>
      <c r="AM493" s="210"/>
      <c r="AN493" s="210"/>
      <c r="AO493" s="210"/>
      <c r="AP493" s="210"/>
      <c r="AQ493" s="210"/>
      <c r="AR493" s="210"/>
      <c r="AS493" s="210"/>
    </row>
    <row r="494" spans="1:45" ht="13.5" customHeight="1">
      <c r="A494" s="210"/>
      <c r="B494" s="210"/>
      <c r="C494" s="210"/>
      <c r="D494" s="210"/>
      <c r="E494" s="210"/>
      <c r="F494" s="210"/>
      <c r="G494" s="210"/>
      <c r="H494" s="210"/>
      <c r="I494" s="210"/>
      <c r="J494" s="210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  <c r="AA494" s="210"/>
      <c r="AB494" s="210"/>
      <c r="AC494" s="210"/>
      <c r="AD494" s="210"/>
      <c r="AE494" s="210"/>
      <c r="AF494" s="210"/>
      <c r="AG494" s="210"/>
      <c r="AH494" s="219"/>
      <c r="AI494" s="219"/>
      <c r="AJ494" s="210"/>
      <c r="AK494" s="210"/>
      <c r="AL494" s="210"/>
      <c r="AM494" s="210"/>
      <c r="AN494" s="210"/>
      <c r="AO494" s="210"/>
      <c r="AP494" s="210"/>
      <c r="AQ494" s="210"/>
      <c r="AR494" s="210"/>
      <c r="AS494" s="210"/>
    </row>
    <row r="495" spans="1:45" ht="13.5" customHeight="1">
      <c r="A495" s="210"/>
      <c r="B495" s="210"/>
      <c r="C495" s="210"/>
      <c r="D495" s="210"/>
      <c r="E495" s="210"/>
      <c r="F495" s="210"/>
      <c r="G495" s="210"/>
      <c r="H495" s="210"/>
      <c r="I495" s="210"/>
      <c r="J495" s="210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  <c r="AA495" s="210"/>
      <c r="AB495" s="210"/>
      <c r="AC495" s="210"/>
      <c r="AD495" s="210"/>
      <c r="AE495" s="210"/>
      <c r="AF495" s="210"/>
      <c r="AG495" s="210"/>
      <c r="AH495" s="219"/>
      <c r="AI495" s="219"/>
      <c r="AJ495" s="210"/>
      <c r="AK495" s="210"/>
      <c r="AL495" s="210"/>
      <c r="AM495" s="210"/>
      <c r="AN495" s="210"/>
      <c r="AO495" s="210"/>
      <c r="AP495" s="210"/>
      <c r="AQ495" s="210"/>
      <c r="AR495" s="210"/>
      <c r="AS495" s="210"/>
    </row>
    <row r="496" spans="1:45" ht="13.5" customHeight="1">
      <c r="A496" s="210"/>
      <c r="B496" s="210"/>
      <c r="C496" s="210"/>
      <c r="D496" s="210"/>
      <c r="E496" s="210"/>
      <c r="F496" s="210"/>
      <c r="G496" s="210"/>
      <c r="H496" s="210"/>
      <c r="I496" s="210"/>
      <c r="J496" s="210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  <c r="AA496" s="210"/>
      <c r="AB496" s="210"/>
      <c r="AC496" s="210"/>
      <c r="AD496" s="210"/>
      <c r="AE496" s="210"/>
      <c r="AF496" s="210"/>
      <c r="AG496" s="210"/>
      <c r="AH496" s="219"/>
      <c r="AI496" s="219"/>
      <c r="AJ496" s="210"/>
      <c r="AK496" s="210"/>
      <c r="AL496" s="210"/>
      <c r="AM496" s="210"/>
      <c r="AN496" s="210"/>
      <c r="AO496" s="210"/>
      <c r="AP496" s="210"/>
      <c r="AQ496" s="210"/>
      <c r="AR496" s="210"/>
      <c r="AS496" s="210"/>
    </row>
    <row r="497" spans="1:45" ht="13.5" customHeight="1">
      <c r="A497" s="210"/>
      <c r="B497" s="210"/>
      <c r="C497" s="210"/>
      <c r="D497" s="210"/>
      <c r="E497" s="210"/>
      <c r="F497" s="210"/>
      <c r="G497" s="210"/>
      <c r="H497" s="210"/>
      <c r="I497" s="210"/>
      <c r="J497" s="210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  <c r="AA497" s="210"/>
      <c r="AB497" s="210"/>
      <c r="AC497" s="210"/>
      <c r="AD497" s="210"/>
      <c r="AE497" s="210"/>
      <c r="AF497" s="210"/>
      <c r="AG497" s="210"/>
      <c r="AH497" s="219"/>
      <c r="AI497" s="219"/>
      <c r="AJ497" s="210"/>
      <c r="AK497" s="210"/>
      <c r="AL497" s="210"/>
      <c r="AM497" s="210"/>
      <c r="AN497" s="210"/>
      <c r="AO497" s="210"/>
      <c r="AP497" s="210"/>
      <c r="AQ497" s="210"/>
      <c r="AR497" s="210"/>
      <c r="AS497" s="210"/>
    </row>
    <row r="498" spans="1:45" ht="13.5" customHeight="1">
      <c r="A498" s="210"/>
      <c r="B498" s="210"/>
      <c r="C498" s="210"/>
      <c r="D498" s="210"/>
      <c r="E498" s="210"/>
      <c r="F498" s="210"/>
      <c r="G498" s="210"/>
      <c r="H498" s="210"/>
      <c r="I498" s="210"/>
      <c r="J498" s="210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  <c r="AA498" s="210"/>
      <c r="AB498" s="210"/>
      <c r="AC498" s="210"/>
      <c r="AD498" s="210"/>
      <c r="AE498" s="210"/>
      <c r="AF498" s="210"/>
      <c r="AG498" s="210"/>
      <c r="AH498" s="219"/>
      <c r="AI498" s="219"/>
      <c r="AJ498" s="210"/>
      <c r="AK498" s="210"/>
      <c r="AL498" s="210"/>
      <c r="AM498" s="210"/>
      <c r="AN498" s="210"/>
      <c r="AO498" s="210"/>
      <c r="AP498" s="210"/>
      <c r="AQ498" s="210"/>
      <c r="AR498" s="210"/>
      <c r="AS498" s="210"/>
    </row>
    <row r="499" spans="1:45" ht="13.5" customHeight="1">
      <c r="A499" s="210"/>
      <c r="B499" s="210"/>
      <c r="C499" s="210"/>
      <c r="D499" s="210"/>
      <c r="E499" s="210"/>
      <c r="F499" s="210"/>
      <c r="G499" s="210"/>
      <c r="H499" s="210"/>
      <c r="I499" s="210"/>
      <c r="J499" s="210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  <c r="AA499" s="210"/>
      <c r="AB499" s="210"/>
      <c r="AC499" s="210"/>
      <c r="AD499" s="210"/>
      <c r="AE499" s="210"/>
      <c r="AF499" s="210"/>
      <c r="AG499" s="210"/>
      <c r="AH499" s="219"/>
      <c r="AI499" s="219"/>
      <c r="AJ499" s="210"/>
      <c r="AK499" s="210"/>
      <c r="AL499" s="210"/>
      <c r="AM499" s="210"/>
      <c r="AN499" s="210"/>
      <c r="AO499" s="210"/>
      <c r="AP499" s="210"/>
      <c r="AQ499" s="210"/>
      <c r="AR499" s="210"/>
      <c r="AS499" s="210"/>
    </row>
    <row r="500" spans="1:45" ht="13.5" customHeight="1">
      <c r="A500" s="210"/>
      <c r="B500" s="210"/>
      <c r="C500" s="210"/>
      <c r="D500" s="210"/>
      <c r="E500" s="210"/>
      <c r="F500" s="210"/>
      <c r="G500" s="210"/>
      <c r="H500" s="210"/>
      <c r="I500" s="210"/>
      <c r="J500" s="210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  <c r="AA500" s="210"/>
      <c r="AB500" s="210"/>
      <c r="AC500" s="210"/>
      <c r="AD500" s="210"/>
      <c r="AE500" s="210"/>
      <c r="AF500" s="210"/>
      <c r="AG500" s="210"/>
      <c r="AH500" s="219"/>
      <c r="AI500" s="219"/>
      <c r="AJ500" s="210"/>
      <c r="AK500" s="210"/>
      <c r="AL500" s="210"/>
      <c r="AM500" s="210"/>
      <c r="AN500" s="210"/>
      <c r="AO500" s="210"/>
      <c r="AP500" s="210"/>
      <c r="AQ500" s="210"/>
      <c r="AR500" s="210"/>
      <c r="AS500" s="210"/>
    </row>
    <row r="501" spans="1:45" ht="13.5" customHeight="1">
      <c r="A501" s="210"/>
      <c r="B501" s="210"/>
      <c r="C501" s="210"/>
      <c r="D501" s="210"/>
      <c r="E501" s="210"/>
      <c r="F501" s="210"/>
      <c r="G501" s="210"/>
      <c r="H501" s="210"/>
      <c r="I501" s="210"/>
      <c r="J501" s="210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  <c r="AA501" s="210"/>
      <c r="AB501" s="210"/>
      <c r="AC501" s="210"/>
      <c r="AD501" s="210"/>
      <c r="AE501" s="210"/>
      <c r="AF501" s="210"/>
      <c r="AG501" s="210"/>
      <c r="AH501" s="219"/>
      <c r="AI501" s="219"/>
      <c r="AJ501" s="210"/>
      <c r="AK501" s="210"/>
      <c r="AL501" s="210"/>
      <c r="AM501" s="210"/>
      <c r="AN501" s="210"/>
      <c r="AO501" s="210"/>
      <c r="AP501" s="210"/>
      <c r="AQ501" s="210"/>
      <c r="AR501" s="210"/>
      <c r="AS501" s="210"/>
    </row>
    <row r="502" spans="1:45" ht="13.5" customHeight="1">
      <c r="A502" s="210"/>
      <c r="B502" s="210"/>
      <c r="C502" s="210"/>
      <c r="D502" s="210"/>
      <c r="E502" s="210"/>
      <c r="F502" s="210"/>
      <c r="G502" s="210"/>
      <c r="H502" s="210"/>
      <c r="I502" s="210"/>
      <c r="J502" s="210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  <c r="AA502" s="210"/>
      <c r="AB502" s="210"/>
      <c r="AC502" s="210"/>
      <c r="AD502" s="210"/>
      <c r="AE502" s="210"/>
      <c r="AF502" s="210"/>
      <c r="AG502" s="210"/>
      <c r="AH502" s="219"/>
      <c r="AI502" s="219"/>
      <c r="AJ502" s="210"/>
      <c r="AK502" s="210"/>
      <c r="AL502" s="210"/>
      <c r="AM502" s="210"/>
      <c r="AN502" s="210"/>
      <c r="AO502" s="210"/>
      <c r="AP502" s="210"/>
      <c r="AQ502" s="210"/>
      <c r="AR502" s="210"/>
      <c r="AS502" s="210"/>
    </row>
    <row r="503" spans="1:45" ht="13.5" customHeight="1">
      <c r="A503" s="210"/>
      <c r="B503" s="210"/>
      <c r="C503" s="210"/>
      <c r="D503" s="210"/>
      <c r="E503" s="210"/>
      <c r="F503" s="210"/>
      <c r="G503" s="210"/>
      <c r="H503" s="210"/>
      <c r="I503" s="210"/>
      <c r="J503" s="210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  <c r="AA503" s="210"/>
      <c r="AB503" s="210"/>
      <c r="AC503" s="210"/>
      <c r="AD503" s="210"/>
      <c r="AE503" s="210"/>
      <c r="AF503" s="210"/>
      <c r="AG503" s="210"/>
      <c r="AH503" s="219"/>
      <c r="AI503" s="219"/>
      <c r="AJ503" s="210"/>
      <c r="AK503" s="210"/>
      <c r="AL503" s="210"/>
      <c r="AM503" s="210"/>
      <c r="AN503" s="210"/>
      <c r="AO503" s="210"/>
      <c r="AP503" s="210"/>
      <c r="AQ503" s="210"/>
      <c r="AR503" s="210"/>
      <c r="AS503" s="210"/>
    </row>
    <row r="504" spans="1:45" ht="13.5" customHeight="1">
      <c r="A504" s="210"/>
      <c r="B504" s="210"/>
      <c r="C504" s="210"/>
      <c r="D504" s="210"/>
      <c r="E504" s="210"/>
      <c r="F504" s="210"/>
      <c r="G504" s="210"/>
      <c r="H504" s="210"/>
      <c r="I504" s="210"/>
      <c r="J504" s="210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  <c r="AA504" s="210"/>
      <c r="AB504" s="210"/>
      <c r="AC504" s="210"/>
      <c r="AD504" s="210"/>
      <c r="AE504" s="210"/>
      <c r="AF504" s="210"/>
      <c r="AG504" s="210"/>
      <c r="AH504" s="219"/>
      <c r="AI504" s="219"/>
      <c r="AJ504" s="210"/>
      <c r="AK504" s="210"/>
      <c r="AL504" s="210"/>
      <c r="AM504" s="210"/>
      <c r="AN504" s="210"/>
      <c r="AO504" s="210"/>
      <c r="AP504" s="210"/>
      <c r="AQ504" s="210"/>
      <c r="AR504" s="210"/>
      <c r="AS504" s="210"/>
    </row>
    <row r="505" spans="1:45" ht="13.5" customHeight="1">
      <c r="A505" s="210"/>
      <c r="B505" s="210"/>
      <c r="C505" s="210"/>
      <c r="D505" s="210"/>
      <c r="E505" s="210"/>
      <c r="F505" s="210"/>
      <c r="G505" s="210"/>
      <c r="H505" s="210"/>
      <c r="I505" s="210"/>
      <c r="J505" s="210"/>
      <c r="K505" s="210"/>
      <c r="L505" s="210"/>
      <c r="M505" s="210"/>
      <c r="N505" s="210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  <c r="AA505" s="210"/>
      <c r="AB505" s="210"/>
      <c r="AC505" s="210"/>
      <c r="AD505" s="210"/>
      <c r="AE505" s="210"/>
      <c r="AF505" s="210"/>
      <c r="AG505" s="210"/>
      <c r="AH505" s="219"/>
      <c r="AI505" s="219"/>
      <c r="AJ505" s="210"/>
      <c r="AK505" s="210"/>
      <c r="AL505" s="210"/>
      <c r="AM505" s="210"/>
      <c r="AN505" s="210"/>
      <c r="AO505" s="210"/>
      <c r="AP505" s="210"/>
      <c r="AQ505" s="210"/>
      <c r="AR505" s="210"/>
      <c r="AS505" s="210"/>
    </row>
    <row r="506" spans="1:45" ht="13.5" customHeight="1">
      <c r="A506" s="210"/>
      <c r="B506" s="210"/>
      <c r="C506" s="210"/>
      <c r="D506" s="210"/>
      <c r="E506" s="210"/>
      <c r="F506" s="210"/>
      <c r="G506" s="210"/>
      <c r="H506" s="210"/>
      <c r="I506" s="210"/>
      <c r="J506" s="210"/>
      <c r="K506" s="210"/>
      <c r="L506" s="210"/>
      <c r="M506" s="210"/>
      <c r="N506" s="210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  <c r="AA506" s="210"/>
      <c r="AB506" s="210"/>
      <c r="AC506" s="210"/>
      <c r="AD506" s="210"/>
      <c r="AE506" s="210"/>
      <c r="AF506" s="210"/>
      <c r="AG506" s="210"/>
      <c r="AH506" s="219"/>
      <c r="AI506" s="219"/>
      <c r="AJ506" s="210"/>
      <c r="AK506" s="210"/>
      <c r="AL506" s="210"/>
      <c r="AM506" s="210"/>
      <c r="AN506" s="210"/>
      <c r="AO506" s="210"/>
      <c r="AP506" s="210"/>
      <c r="AQ506" s="210"/>
      <c r="AR506" s="210"/>
      <c r="AS506" s="210"/>
    </row>
    <row r="507" spans="1:45" ht="13.5" customHeight="1">
      <c r="A507" s="210"/>
      <c r="B507" s="210"/>
      <c r="C507" s="210"/>
      <c r="D507" s="210"/>
      <c r="E507" s="210"/>
      <c r="F507" s="210"/>
      <c r="G507" s="210"/>
      <c r="H507" s="210"/>
      <c r="I507" s="210"/>
      <c r="J507" s="210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  <c r="AA507" s="210"/>
      <c r="AB507" s="210"/>
      <c r="AC507" s="210"/>
      <c r="AD507" s="210"/>
      <c r="AE507" s="210"/>
      <c r="AF507" s="210"/>
      <c r="AG507" s="210"/>
      <c r="AH507" s="219"/>
      <c r="AI507" s="219"/>
      <c r="AJ507" s="210"/>
      <c r="AK507" s="210"/>
      <c r="AL507" s="210"/>
      <c r="AM507" s="210"/>
      <c r="AN507" s="210"/>
      <c r="AO507" s="210"/>
      <c r="AP507" s="210"/>
      <c r="AQ507" s="210"/>
      <c r="AR507" s="210"/>
      <c r="AS507" s="210"/>
    </row>
    <row r="508" spans="1:45" ht="13.5" customHeight="1">
      <c r="A508" s="210"/>
      <c r="B508" s="210"/>
      <c r="C508" s="210"/>
      <c r="D508" s="210"/>
      <c r="E508" s="210"/>
      <c r="F508" s="210"/>
      <c r="G508" s="210"/>
      <c r="H508" s="210"/>
      <c r="I508" s="210"/>
      <c r="J508" s="210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  <c r="AA508" s="210"/>
      <c r="AB508" s="210"/>
      <c r="AC508" s="210"/>
      <c r="AD508" s="210"/>
      <c r="AE508" s="210"/>
      <c r="AF508" s="210"/>
      <c r="AG508" s="210"/>
      <c r="AH508" s="219"/>
      <c r="AI508" s="219"/>
      <c r="AJ508" s="210"/>
      <c r="AK508" s="210"/>
      <c r="AL508" s="210"/>
      <c r="AM508" s="210"/>
      <c r="AN508" s="210"/>
      <c r="AO508" s="210"/>
      <c r="AP508" s="210"/>
      <c r="AQ508" s="210"/>
      <c r="AR508" s="210"/>
      <c r="AS508" s="210"/>
    </row>
    <row r="509" spans="1:45" ht="13.5" customHeight="1">
      <c r="A509" s="210"/>
      <c r="B509" s="210"/>
      <c r="C509" s="210"/>
      <c r="D509" s="210"/>
      <c r="E509" s="210"/>
      <c r="F509" s="210"/>
      <c r="G509" s="210"/>
      <c r="H509" s="210"/>
      <c r="I509" s="210"/>
      <c r="J509" s="210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  <c r="AA509" s="210"/>
      <c r="AB509" s="210"/>
      <c r="AC509" s="210"/>
      <c r="AD509" s="210"/>
      <c r="AE509" s="210"/>
      <c r="AF509" s="210"/>
      <c r="AG509" s="210"/>
      <c r="AH509" s="219"/>
      <c r="AI509" s="219"/>
      <c r="AJ509" s="210"/>
      <c r="AK509" s="210"/>
      <c r="AL509" s="210"/>
      <c r="AM509" s="210"/>
      <c r="AN509" s="210"/>
      <c r="AO509" s="210"/>
      <c r="AP509" s="210"/>
      <c r="AQ509" s="210"/>
      <c r="AR509" s="210"/>
      <c r="AS509" s="210"/>
    </row>
    <row r="510" spans="1:45" ht="13.5" customHeight="1">
      <c r="A510" s="210"/>
      <c r="B510" s="210"/>
      <c r="C510" s="210"/>
      <c r="D510" s="210"/>
      <c r="E510" s="210"/>
      <c r="F510" s="210"/>
      <c r="G510" s="210"/>
      <c r="H510" s="210"/>
      <c r="I510" s="210"/>
      <c r="J510" s="210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  <c r="AA510" s="210"/>
      <c r="AB510" s="210"/>
      <c r="AC510" s="210"/>
      <c r="AD510" s="210"/>
      <c r="AE510" s="210"/>
      <c r="AF510" s="210"/>
      <c r="AG510" s="210"/>
      <c r="AH510" s="219"/>
      <c r="AI510" s="219"/>
      <c r="AJ510" s="210"/>
      <c r="AK510" s="210"/>
      <c r="AL510" s="210"/>
      <c r="AM510" s="210"/>
      <c r="AN510" s="210"/>
      <c r="AO510" s="210"/>
      <c r="AP510" s="210"/>
      <c r="AQ510" s="210"/>
      <c r="AR510" s="210"/>
      <c r="AS510" s="210"/>
    </row>
    <row r="511" spans="1:45" ht="13.5" customHeight="1">
      <c r="A511" s="210"/>
      <c r="B511" s="210"/>
      <c r="C511" s="210"/>
      <c r="D511" s="210"/>
      <c r="E511" s="210"/>
      <c r="F511" s="210"/>
      <c r="G511" s="210"/>
      <c r="H511" s="210"/>
      <c r="I511" s="210"/>
      <c r="J511" s="210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  <c r="AA511" s="210"/>
      <c r="AB511" s="210"/>
      <c r="AC511" s="210"/>
      <c r="AD511" s="210"/>
      <c r="AE511" s="210"/>
      <c r="AF511" s="210"/>
      <c r="AG511" s="210"/>
      <c r="AH511" s="219"/>
      <c r="AI511" s="219"/>
      <c r="AJ511" s="210"/>
      <c r="AK511" s="210"/>
      <c r="AL511" s="210"/>
      <c r="AM511" s="210"/>
      <c r="AN511" s="210"/>
      <c r="AO511" s="210"/>
      <c r="AP511" s="210"/>
      <c r="AQ511" s="210"/>
      <c r="AR511" s="210"/>
      <c r="AS511" s="210"/>
    </row>
    <row r="512" spans="1:45" ht="13.5" customHeight="1">
      <c r="A512" s="210"/>
      <c r="B512" s="210"/>
      <c r="C512" s="210"/>
      <c r="D512" s="210"/>
      <c r="E512" s="210"/>
      <c r="F512" s="210"/>
      <c r="G512" s="210"/>
      <c r="H512" s="210"/>
      <c r="I512" s="210"/>
      <c r="J512" s="210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  <c r="AA512" s="210"/>
      <c r="AB512" s="210"/>
      <c r="AC512" s="210"/>
      <c r="AD512" s="210"/>
      <c r="AE512" s="210"/>
      <c r="AF512" s="210"/>
      <c r="AG512" s="210"/>
      <c r="AH512" s="219"/>
      <c r="AI512" s="219"/>
      <c r="AJ512" s="210"/>
      <c r="AK512" s="210"/>
      <c r="AL512" s="210"/>
      <c r="AM512" s="210"/>
      <c r="AN512" s="210"/>
      <c r="AO512" s="210"/>
      <c r="AP512" s="210"/>
      <c r="AQ512" s="210"/>
      <c r="AR512" s="210"/>
      <c r="AS512" s="210"/>
    </row>
    <row r="513" spans="1:45" ht="13.5" customHeight="1">
      <c r="A513" s="210"/>
      <c r="B513" s="210"/>
      <c r="C513" s="210"/>
      <c r="D513" s="210"/>
      <c r="E513" s="210"/>
      <c r="F513" s="210"/>
      <c r="G513" s="210"/>
      <c r="H513" s="210"/>
      <c r="I513" s="210"/>
      <c r="J513" s="210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  <c r="AA513" s="210"/>
      <c r="AB513" s="210"/>
      <c r="AC513" s="210"/>
      <c r="AD513" s="210"/>
      <c r="AE513" s="210"/>
      <c r="AF513" s="210"/>
      <c r="AG513" s="210"/>
      <c r="AH513" s="219"/>
      <c r="AI513" s="219"/>
      <c r="AJ513" s="210"/>
      <c r="AK513" s="210"/>
      <c r="AL513" s="210"/>
      <c r="AM513" s="210"/>
      <c r="AN513" s="210"/>
      <c r="AO513" s="210"/>
      <c r="AP513" s="210"/>
      <c r="AQ513" s="210"/>
      <c r="AR513" s="210"/>
      <c r="AS513" s="210"/>
    </row>
    <row r="514" spans="1:45" ht="13.5" customHeight="1">
      <c r="A514" s="210"/>
      <c r="B514" s="210"/>
      <c r="C514" s="210"/>
      <c r="D514" s="210"/>
      <c r="E514" s="210"/>
      <c r="F514" s="210"/>
      <c r="G514" s="210"/>
      <c r="H514" s="210"/>
      <c r="I514" s="210"/>
      <c r="J514" s="210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  <c r="AA514" s="210"/>
      <c r="AB514" s="210"/>
      <c r="AC514" s="210"/>
      <c r="AD514" s="210"/>
      <c r="AE514" s="210"/>
      <c r="AF514" s="210"/>
      <c r="AG514" s="210"/>
      <c r="AH514" s="219"/>
      <c r="AI514" s="219"/>
      <c r="AJ514" s="210"/>
      <c r="AK514" s="210"/>
      <c r="AL514" s="210"/>
      <c r="AM514" s="210"/>
      <c r="AN514" s="210"/>
      <c r="AO514" s="210"/>
      <c r="AP514" s="210"/>
      <c r="AQ514" s="210"/>
      <c r="AR514" s="210"/>
      <c r="AS514" s="210"/>
    </row>
    <row r="515" spans="1:45" ht="13.5" customHeight="1">
      <c r="A515" s="210"/>
      <c r="B515" s="210"/>
      <c r="C515" s="210"/>
      <c r="D515" s="210"/>
      <c r="E515" s="210"/>
      <c r="F515" s="210"/>
      <c r="G515" s="210"/>
      <c r="H515" s="210"/>
      <c r="I515" s="210"/>
      <c r="J515" s="210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  <c r="AA515" s="210"/>
      <c r="AB515" s="210"/>
      <c r="AC515" s="210"/>
      <c r="AD515" s="210"/>
      <c r="AE515" s="210"/>
      <c r="AF515" s="210"/>
      <c r="AG515" s="210"/>
      <c r="AH515" s="219"/>
      <c r="AI515" s="219"/>
      <c r="AJ515" s="210"/>
      <c r="AK515" s="210"/>
      <c r="AL515" s="210"/>
      <c r="AM515" s="210"/>
      <c r="AN515" s="210"/>
      <c r="AO515" s="210"/>
      <c r="AP515" s="210"/>
      <c r="AQ515" s="210"/>
      <c r="AR515" s="210"/>
      <c r="AS515" s="210"/>
    </row>
    <row r="516" spans="1:45" ht="13.5" customHeight="1">
      <c r="A516" s="210"/>
      <c r="B516" s="210"/>
      <c r="C516" s="210"/>
      <c r="D516" s="210"/>
      <c r="E516" s="210"/>
      <c r="F516" s="210"/>
      <c r="G516" s="210"/>
      <c r="H516" s="210"/>
      <c r="I516" s="210"/>
      <c r="J516" s="210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  <c r="AA516" s="210"/>
      <c r="AB516" s="210"/>
      <c r="AC516" s="210"/>
      <c r="AD516" s="210"/>
      <c r="AE516" s="210"/>
      <c r="AF516" s="210"/>
      <c r="AG516" s="210"/>
      <c r="AH516" s="219"/>
      <c r="AI516" s="219"/>
      <c r="AJ516" s="210"/>
      <c r="AK516" s="210"/>
      <c r="AL516" s="210"/>
      <c r="AM516" s="210"/>
      <c r="AN516" s="210"/>
      <c r="AO516" s="210"/>
      <c r="AP516" s="210"/>
      <c r="AQ516" s="210"/>
      <c r="AR516" s="210"/>
      <c r="AS516" s="210"/>
    </row>
    <row r="517" spans="1:45" ht="13.5" customHeight="1">
      <c r="A517" s="210"/>
      <c r="B517" s="210"/>
      <c r="C517" s="210"/>
      <c r="D517" s="210"/>
      <c r="E517" s="210"/>
      <c r="F517" s="210"/>
      <c r="G517" s="210"/>
      <c r="H517" s="210"/>
      <c r="I517" s="210"/>
      <c r="J517" s="210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  <c r="AA517" s="210"/>
      <c r="AB517" s="210"/>
      <c r="AC517" s="210"/>
      <c r="AD517" s="210"/>
      <c r="AE517" s="210"/>
      <c r="AF517" s="210"/>
      <c r="AG517" s="210"/>
      <c r="AH517" s="219"/>
      <c r="AI517" s="219"/>
      <c r="AJ517" s="210"/>
      <c r="AK517" s="210"/>
      <c r="AL517" s="210"/>
      <c r="AM517" s="210"/>
      <c r="AN517" s="210"/>
      <c r="AO517" s="210"/>
      <c r="AP517" s="210"/>
      <c r="AQ517" s="210"/>
      <c r="AR517" s="210"/>
      <c r="AS517" s="210"/>
    </row>
    <row r="518" spans="1:45" ht="13.5" customHeight="1">
      <c r="A518" s="210"/>
      <c r="B518" s="210"/>
      <c r="C518" s="210"/>
      <c r="D518" s="210"/>
      <c r="E518" s="210"/>
      <c r="F518" s="210"/>
      <c r="G518" s="210"/>
      <c r="H518" s="210"/>
      <c r="I518" s="210"/>
      <c r="J518" s="210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  <c r="AA518" s="210"/>
      <c r="AB518" s="210"/>
      <c r="AC518" s="210"/>
      <c r="AD518" s="210"/>
      <c r="AE518" s="210"/>
      <c r="AF518" s="210"/>
      <c r="AG518" s="210"/>
      <c r="AH518" s="219"/>
      <c r="AI518" s="219"/>
      <c r="AJ518" s="210"/>
      <c r="AK518" s="210"/>
      <c r="AL518" s="210"/>
      <c r="AM518" s="210"/>
      <c r="AN518" s="210"/>
      <c r="AO518" s="210"/>
      <c r="AP518" s="210"/>
      <c r="AQ518" s="210"/>
      <c r="AR518" s="210"/>
      <c r="AS518" s="210"/>
    </row>
    <row r="519" spans="1:45" ht="13.5" customHeight="1">
      <c r="A519" s="210"/>
      <c r="B519" s="210"/>
      <c r="C519" s="210"/>
      <c r="D519" s="210"/>
      <c r="E519" s="210"/>
      <c r="F519" s="210"/>
      <c r="G519" s="210"/>
      <c r="H519" s="210"/>
      <c r="I519" s="210"/>
      <c r="J519" s="210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  <c r="AA519" s="210"/>
      <c r="AB519" s="210"/>
      <c r="AC519" s="210"/>
      <c r="AD519" s="210"/>
      <c r="AE519" s="210"/>
      <c r="AF519" s="210"/>
      <c r="AG519" s="210"/>
      <c r="AH519" s="219"/>
      <c r="AI519" s="219"/>
      <c r="AJ519" s="210"/>
      <c r="AK519" s="210"/>
      <c r="AL519" s="210"/>
      <c r="AM519" s="210"/>
      <c r="AN519" s="210"/>
      <c r="AO519" s="210"/>
      <c r="AP519" s="210"/>
      <c r="AQ519" s="210"/>
      <c r="AR519" s="210"/>
      <c r="AS519" s="210"/>
    </row>
    <row r="520" spans="1:45" ht="13.5" customHeight="1">
      <c r="A520" s="210"/>
      <c r="B520" s="210"/>
      <c r="C520" s="210"/>
      <c r="D520" s="210"/>
      <c r="E520" s="210"/>
      <c r="F520" s="210"/>
      <c r="G520" s="210"/>
      <c r="H520" s="210"/>
      <c r="I520" s="210"/>
      <c r="J520" s="210"/>
      <c r="K520" s="210"/>
      <c r="L520" s="210"/>
      <c r="M520" s="210"/>
      <c r="N520" s="210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  <c r="AA520" s="210"/>
      <c r="AB520" s="210"/>
      <c r="AC520" s="210"/>
      <c r="AD520" s="210"/>
      <c r="AE520" s="210"/>
      <c r="AF520" s="210"/>
      <c r="AG520" s="210"/>
      <c r="AH520" s="219"/>
      <c r="AI520" s="219"/>
      <c r="AJ520" s="210"/>
      <c r="AK520" s="210"/>
      <c r="AL520" s="210"/>
      <c r="AM520" s="210"/>
      <c r="AN520" s="210"/>
      <c r="AO520" s="210"/>
      <c r="AP520" s="210"/>
      <c r="AQ520" s="210"/>
      <c r="AR520" s="210"/>
      <c r="AS520" s="210"/>
    </row>
    <row r="521" spans="1:45" ht="13.5" customHeight="1">
      <c r="A521" s="210"/>
      <c r="B521" s="210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0"/>
      <c r="AG521" s="210"/>
      <c r="AH521" s="219"/>
      <c r="AI521" s="219"/>
      <c r="AJ521" s="210"/>
      <c r="AK521" s="210"/>
      <c r="AL521" s="210"/>
      <c r="AM521" s="210"/>
      <c r="AN521" s="210"/>
      <c r="AO521" s="210"/>
      <c r="AP521" s="210"/>
      <c r="AQ521" s="210"/>
      <c r="AR521" s="210"/>
      <c r="AS521" s="210"/>
    </row>
    <row r="522" spans="1:45" ht="13.5" customHeight="1">
      <c r="A522" s="210"/>
      <c r="B522" s="210"/>
      <c r="C522" s="210"/>
      <c r="D522" s="210"/>
      <c r="E522" s="210"/>
      <c r="F522" s="210"/>
      <c r="G522" s="210"/>
      <c r="H522" s="210"/>
      <c r="I522" s="210"/>
      <c r="J522" s="210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  <c r="AA522" s="210"/>
      <c r="AB522" s="210"/>
      <c r="AC522" s="210"/>
      <c r="AD522" s="210"/>
      <c r="AE522" s="210"/>
      <c r="AF522" s="210"/>
      <c r="AG522" s="210"/>
      <c r="AH522" s="219"/>
      <c r="AI522" s="219"/>
      <c r="AJ522" s="210"/>
      <c r="AK522" s="210"/>
      <c r="AL522" s="210"/>
      <c r="AM522" s="210"/>
      <c r="AN522" s="210"/>
      <c r="AO522" s="210"/>
      <c r="AP522" s="210"/>
      <c r="AQ522" s="210"/>
      <c r="AR522" s="210"/>
      <c r="AS522" s="210"/>
    </row>
    <row r="523" spans="1:45" ht="13.5" customHeight="1">
      <c r="A523" s="210"/>
      <c r="B523" s="210"/>
      <c r="C523" s="210"/>
      <c r="D523" s="210"/>
      <c r="E523" s="210"/>
      <c r="F523" s="210"/>
      <c r="G523" s="210"/>
      <c r="H523" s="210"/>
      <c r="I523" s="210"/>
      <c r="J523" s="210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  <c r="AA523" s="210"/>
      <c r="AB523" s="210"/>
      <c r="AC523" s="210"/>
      <c r="AD523" s="210"/>
      <c r="AE523" s="210"/>
      <c r="AF523" s="210"/>
      <c r="AG523" s="210"/>
      <c r="AH523" s="219"/>
      <c r="AI523" s="219"/>
      <c r="AJ523" s="210"/>
      <c r="AK523" s="210"/>
      <c r="AL523" s="210"/>
      <c r="AM523" s="210"/>
      <c r="AN523" s="210"/>
      <c r="AO523" s="210"/>
      <c r="AP523" s="210"/>
      <c r="AQ523" s="210"/>
      <c r="AR523" s="210"/>
      <c r="AS523" s="210"/>
    </row>
    <row r="524" spans="1:45" ht="13.5" customHeight="1">
      <c r="A524" s="210"/>
      <c r="B524" s="210"/>
      <c r="C524" s="210"/>
      <c r="D524" s="210"/>
      <c r="E524" s="210"/>
      <c r="F524" s="210"/>
      <c r="G524" s="210"/>
      <c r="H524" s="210"/>
      <c r="I524" s="210"/>
      <c r="J524" s="210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  <c r="AA524" s="210"/>
      <c r="AB524" s="210"/>
      <c r="AC524" s="210"/>
      <c r="AD524" s="210"/>
      <c r="AE524" s="210"/>
      <c r="AF524" s="210"/>
      <c r="AG524" s="210"/>
      <c r="AH524" s="219"/>
      <c r="AI524" s="219"/>
      <c r="AJ524" s="210"/>
      <c r="AK524" s="210"/>
      <c r="AL524" s="210"/>
      <c r="AM524" s="210"/>
      <c r="AN524" s="210"/>
      <c r="AO524" s="210"/>
      <c r="AP524" s="210"/>
      <c r="AQ524" s="210"/>
      <c r="AR524" s="210"/>
      <c r="AS524" s="210"/>
    </row>
    <row r="525" spans="1:45" ht="13.5" customHeight="1">
      <c r="A525" s="210"/>
      <c r="B525" s="210"/>
      <c r="C525" s="210"/>
      <c r="D525" s="210"/>
      <c r="E525" s="210"/>
      <c r="F525" s="210"/>
      <c r="G525" s="210"/>
      <c r="H525" s="210"/>
      <c r="I525" s="210"/>
      <c r="J525" s="210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  <c r="AA525" s="210"/>
      <c r="AB525" s="210"/>
      <c r="AC525" s="210"/>
      <c r="AD525" s="210"/>
      <c r="AE525" s="210"/>
      <c r="AF525" s="210"/>
      <c r="AG525" s="210"/>
      <c r="AH525" s="219"/>
      <c r="AI525" s="219"/>
      <c r="AJ525" s="210"/>
      <c r="AK525" s="210"/>
      <c r="AL525" s="210"/>
      <c r="AM525" s="210"/>
      <c r="AN525" s="210"/>
      <c r="AO525" s="210"/>
      <c r="AP525" s="210"/>
      <c r="AQ525" s="210"/>
      <c r="AR525" s="210"/>
      <c r="AS525" s="210"/>
    </row>
    <row r="526" spans="1:45" ht="13.5" customHeight="1">
      <c r="A526" s="210"/>
      <c r="B526" s="210"/>
      <c r="C526" s="210"/>
      <c r="D526" s="210"/>
      <c r="E526" s="210"/>
      <c r="F526" s="210"/>
      <c r="G526" s="210"/>
      <c r="H526" s="210"/>
      <c r="I526" s="210"/>
      <c r="J526" s="210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  <c r="AA526" s="210"/>
      <c r="AB526" s="210"/>
      <c r="AC526" s="210"/>
      <c r="AD526" s="210"/>
      <c r="AE526" s="210"/>
      <c r="AF526" s="210"/>
      <c r="AG526" s="210"/>
      <c r="AH526" s="219"/>
      <c r="AI526" s="219"/>
      <c r="AJ526" s="210"/>
      <c r="AK526" s="210"/>
      <c r="AL526" s="210"/>
      <c r="AM526" s="210"/>
      <c r="AN526" s="210"/>
      <c r="AO526" s="210"/>
      <c r="AP526" s="210"/>
      <c r="AQ526" s="210"/>
      <c r="AR526" s="210"/>
      <c r="AS526" s="210"/>
    </row>
    <row r="527" spans="1:45" ht="13.5" customHeight="1">
      <c r="A527" s="210"/>
      <c r="B527" s="210"/>
      <c r="C527" s="210"/>
      <c r="D527" s="210"/>
      <c r="E527" s="210"/>
      <c r="F527" s="210"/>
      <c r="G527" s="210"/>
      <c r="H527" s="210"/>
      <c r="I527" s="210"/>
      <c r="J527" s="210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  <c r="AA527" s="210"/>
      <c r="AB527" s="210"/>
      <c r="AC527" s="210"/>
      <c r="AD527" s="210"/>
      <c r="AE527" s="210"/>
      <c r="AF527" s="210"/>
      <c r="AG527" s="210"/>
      <c r="AH527" s="219"/>
      <c r="AI527" s="219"/>
      <c r="AJ527" s="210"/>
      <c r="AK527" s="210"/>
      <c r="AL527" s="210"/>
      <c r="AM527" s="210"/>
      <c r="AN527" s="210"/>
      <c r="AO527" s="210"/>
      <c r="AP527" s="210"/>
      <c r="AQ527" s="210"/>
      <c r="AR527" s="210"/>
      <c r="AS527" s="210"/>
    </row>
    <row r="528" spans="1:45" ht="13.5" customHeight="1">
      <c r="A528" s="210"/>
      <c r="B528" s="210"/>
      <c r="C528" s="210"/>
      <c r="D528" s="210"/>
      <c r="E528" s="210"/>
      <c r="F528" s="210"/>
      <c r="G528" s="210"/>
      <c r="H528" s="210"/>
      <c r="I528" s="210"/>
      <c r="J528" s="210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  <c r="AA528" s="210"/>
      <c r="AB528" s="210"/>
      <c r="AC528" s="210"/>
      <c r="AD528" s="210"/>
      <c r="AE528" s="210"/>
      <c r="AF528" s="210"/>
      <c r="AG528" s="210"/>
      <c r="AH528" s="219"/>
      <c r="AI528" s="219"/>
      <c r="AJ528" s="210"/>
      <c r="AK528" s="210"/>
      <c r="AL528" s="210"/>
      <c r="AM528" s="210"/>
      <c r="AN528" s="210"/>
      <c r="AO528" s="210"/>
      <c r="AP528" s="210"/>
      <c r="AQ528" s="210"/>
      <c r="AR528" s="210"/>
      <c r="AS528" s="210"/>
    </row>
    <row r="529" spans="1:45" ht="13.5" customHeight="1">
      <c r="A529" s="210"/>
      <c r="B529" s="210"/>
      <c r="C529" s="210"/>
      <c r="D529" s="210"/>
      <c r="E529" s="210"/>
      <c r="F529" s="210"/>
      <c r="G529" s="210"/>
      <c r="H529" s="210"/>
      <c r="I529" s="210"/>
      <c r="J529" s="210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  <c r="AA529" s="210"/>
      <c r="AB529" s="210"/>
      <c r="AC529" s="210"/>
      <c r="AD529" s="210"/>
      <c r="AE529" s="210"/>
      <c r="AF529" s="210"/>
      <c r="AG529" s="210"/>
      <c r="AH529" s="219"/>
      <c r="AI529" s="219"/>
      <c r="AJ529" s="210"/>
      <c r="AK529" s="210"/>
      <c r="AL529" s="210"/>
      <c r="AM529" s="210"/>
      <c r="AN529" s="210"/>
      <c r="AO529" s="210"/>
      <c r="AP529" s="210"/>
      <c r="AQ529" s="210"/>
      <c r="AR529" s="210"/>
      <c r="AS529" s="210"/>
    </row>
    <row r="530" spans="1:45" ht="13.5" customHeight="1">
      <c r="A530" s="210"/>
      <c r="B530" s="210"/>
      <c r="C530" s="210"/>
      <c r="D530" s="210"/>
      <c r="E530" s="210"/>
      <c r="F530" s="210"/>
      <c r="G530" s="210"/>
      <c r="H530" s="210"/>
      <c r="I530" s="210"/>
      <c r="J530" s="210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  <c r="AA530" s="210"/>
      <c r="AB530" s="210"/>
      <c r="AC530" s="210"/>
      <c r="AD530" s="210"/>
      <c r="AE530" s="210"/>
      <c r="AF530" s="210"/>
      <c r="AG530" s="210"/>
      <c r="AH530" s="219"/>
      <c r="AI530" s="219"/>
      <c r="AJ530" s="210"/>
      <c r="AK530" s="210"/>
      <c r="AL530" s="210"/>
      <c r="AM530" s="210"/>
      <c r="AN530" s="210"/>
      <c r="AO530" s="210"/>
      <c r="AP530" s="210"/>
      <c r="AQ530" s="210"/>
      <c r="AR530" s="210"/>
      <c r="AS530" s="210"/>
    </row>
    <row r="531" spans="1:45" ht="13.5" customHeight="1">
      <c r="A531" s="210"/>
      <c r="B531" s="210"/>
      <c r="C531" s="210"/>
      <c r="D531" s="210"/>
      <c r="E531" s="210"/>
      <c r="F531" s="210"/>
      <c r="G531" s="210"/>
      <c r="H531" s="210"/>
      <c r="I531" s="210"/>
      <c r="J531" s="210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  <c r="AA531" s="210"/>
      <c r="AB531" s="210"/>
      <c r="AC531" s="210"/>
      <c r="AD531" s="210"/>
      <c r="AE531" s="210"/>
      <c r="AF531" s="210"/>
      <c r="AG531" s="210"/>
      <c r="AH531" s="219"/>
      <c r="AI531" s="219"/>
      <c r="AJ531" s="210"/>
      <c r="AK531" s="210"/>
      <c r="AL531" s="210"/>
      <c r="AM531" s="210"/>
      <c r="AN531" s="210"/>
      <c r="AO531" s="210"/>
      <c r="AP531" s="210"/>
      <c r="AQ531" s="210"/>
      <c r="AR531" s="210"/>
      <c r="AS531" s="210"/>
    </row>
    <row r="532" spans="1:45" ht="13.5" customHeight="1">
      <c r="A532" s="210"/>
      <c r="B532" s="210"/>
      <c r="C532" s="210"/>
      <c r="D532" s="210"/>
      <c r="E532" s="210"/>
      <c r="F532" s="210"/>
      <c r="G532" s="210"/>
      <c r="H532" s="210"/>
      <c r="I532" s="210"/>
      <c r="J532" s="210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  <c r="AA532" s="210"/>
      <c r="AB532" s="210"/>
      <c r="AC532" s="210"/>
      <c r="AD532" s="210"/>
      <c r="AE532" s="210"/>
      <c r="AF532" s="210"/>
      <c r="AG532" s="210"/>
      <c r="AH532" s="219"/>
      <c r="AI532" s="219"/>
      <c r="AJ532" s="210"/>
      <c r="AK532" s="210"/>
      <c r="AL532" s="210"/>
      <c r="AM532" s="210"/>
      <c r="AN532" s="210"/>
      <c r="AO532" s="210"/>
      <c r="AP532" s="210"/>
      <c r="AQ532" s="210"/>
      <c r="AR532" s="210"/>
      <c r="AS532" s="210"/>
    </row>
    <row r="533" spans="1:45" ht="13.5" customHeight="1">
      <c r="A533" s="210"/>
      <c r="B533" s="210"/>
      <c r="C533" s="210"/>
      <c r="D533" s="210"/>
      <c r="E533" s="210"/>
      <c r="F533" s="210"/>
      <c r="G533" s="210"/>
      <c r="H533" s="210"/>
      <c r="I533" s="210"/>
      <c r="J533" s="210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  <c r="AA533" s="210"/>
      <c r="AB533" s="210"/>
      <c r="AC533" s="210"/>
      <c r="AD533" s="210"/>
      <c r="AE533" s="210"/>
      <c r="AF533" s="210"/>
      <c r="AG533" s="210"/>
      <c r="AH533" s="219"/>
      <c r="AI533" s="219"/>
      <c r="AJ533" s="210"/>
      <c r="AK533" s="210"/>
      <c r="AL533" s="210"/>
      <c r="AM533" s="210"/>
      <c r="AN533" s="210"/>
      <c r="AO533" s="210"/>
      <c r="AP533" s="210"/>
      <c r="AQ533" s="210"/>
      <c r="AR533" s="210"/>
      <c r="AS533" s="210"/>
    </row>
    <row r="534" spans="1:45" ht="13.5" customHeight="1">
      <c r="A534" s="210"/>
      <c r="B534" s="210"/>
      <c r="C534" s="210"/>
      <c r="D534" s="210"/>
      <c r="E534" s="210"/>
      <c r="F534" s="210"/>
      <c r="G534" s="210"/>
      <c r="H534" s="210"/>
      <c r="I534" s="210"/>
      <c r="J534" s="210"/>
      <c r="K534" s="210"/>
      <c r="L534" s="210"/>
      <c r="M534" s="210"/>
      <c r="N534" s="210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  <c r="AA534" s="210"/>
      <c r="AB534" s="210"/>
      <c r="AC534" s="210"/>
      <c r="AD534" s="210"/>
      <c r="AE534" s="210"/>
      <c r="AF534" s="210"/>
      <c r="AG534" s="210"/>
      <c r="AH534" s="219"/>
      <c r="AI534" s="219"/>
      <c r="AJ534" s="210"/>
      <c r="AK534" s="210"/>
      <c r="AL534" s="210"/>
      <c r="AM534" s="210"/>
      <c r="AN534" s="210"/>
      <c r="AO534" s="210"/>
      <c r="AP534" s="210"/>
      <c r="AQ534" s="210"/>
      <c r="AR534" s="210"/>
      <c r="AS534" s="210"/>
    </row>
    <row r="535" spans="1:45" ht="13.5" customHeight="1">
      <c r="A535" s="210"/>
      <c r="B535" s="210"/>
      <c r="C535" s="210"/>
      <c r="D535" s="210"/>
      <c r="E535" s="210"/>
      <c r="F535" s="210"/>
      <c r="G535" s="210"/>
      <c r="H535" s="210"/>
      <c r="I535" s="210"/>
      <c r="J535" s="210"/>
      <c r="K535" s="210"/>
      <c r="L535" s="210"/>
      <c r="M535" s="210"/>
      <c r="N535" s="210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  <c r="AA535" s="210"/>
      <c r="AB535" s="210"/>
      <c r="AC535" s="210"/>
      <c r="AD535" s="210"/>
      <c r="AE535" s="210"/>
      <c r="AF535" s="210"/>
      <c r="AG535" s="210"/>
      <c r="AH535" s="219"/>
      <c r="AI535" s="219"/>
      <c r="AJ535" s="210"/>
      <c r="AK535" s="210"/>
      <c r="AL535" s="210"/>
      <c r="AM535" s="210"/>
      <c r="AN535" s="210"/>
      <c r="AO535" s="210"/>
      <c r="AP535" s="210"/>
      <c r="AQ535" s="210"/>
      <c r="AR535" s="210"/>
      <c r="AS535" s="210"/>
    </row>
    <row r="536" spans="1:45" ht="13.5" customHeight="1">
      <c r="A536" s="210"/>
      <c r="B536" s="210"/>
      <c r="C536" s="210"/>
      <c r="D536" s="210"/>
      <c r="E536" s="210"/>
      <c r="F536" s="210"/>
      <c r="G536" s="210"/>
      <c r="H536" s="210"/>
      <c r="I536" s="210"/>
      <c r="J536" s="210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  <c r="AA536" s="210"/>
      <c r="AB536" s="210"/>
      <c r="AC536" s="210"/>
      <c r="AD536" s="210"/>
      <c r="AE536" s="210"/>
      <c r="AF536" s="210"/>
      <c r="AG536" s="210"/>
      <c r="AH536" s="219"/>
      <c r="AI536" s="219"/>
      <c r="AJ536" s="210"/>
      <c r="AK536" s="210"/>
      <c r="AL536" s="210"/>
      <c r="AM536" s="210"/>
      <c r="AN536" s="210"/>
      <c r="AO536" s="210"/>
      <c r="AP536" s="210"/>
      <c r="AQ536" s="210"/>
      <c r="AR536" s="210"/>
      <c r="AS536" s="210"/>
    </row>
    <row r="537" spans="1:45" ht="13.5" customHeight="1">
      <c r="A537" s="210"/>
      <c r="B537" s="210"/>
      <c r="C537" s="210"/>
      <c r="D537" s="210"/>
      <c r="E537" s="210"/>
      <c r="F537" s="210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  <c r="AA537" s="210"/>
      <c r="AB537" s="210"/>
      <c r="AC537" s="210"/>
      <c r="AD537" s="210"/>
      <c r="AE537" s="210"/>
      <c r="AF537" s="210"/>
      <c r="AG537" s="210"/>
      <c r="AH537" s="219"/>
      <c r="AI537" s="219"/>
      <c r="AJ537" s="210"/>
      <c r="AK537" s="210"/>
      <c r="AL537" s="210"/>
      <c r="AM537" s="210"/>
      <c r="AN537" s="210"/>
      <c r="AO537" s="210"/>
      <c r="AP537" s="210"/>
      <c r="AQ537" s="210"/>
      <c r="AR537" s="210"/>
      <c r="AS537" s="210"/>
    </row>
    <row r="538" spans="1:45" ht="13.5" customHeight="1">
      <c r="A538" s="210"/>
      <c r="B538" s="210"/>
      <c r="C538" s="210"/>
      <c r="D538" s="210"/>
      <c r="E538" s="210"/>
      <c r="F538" s="210"/>
      <c r="G538" s="210"/>
      <c r="H538" s="210"/>
      <c r="I538" s="210"/>
      <c r="J538" s="210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  <c r="AA538" s="210"/>
      <c r="AB538" s="210"/>
      <c r="AC538" s="210"/>
      <c r="AD538" s="210"/>
      <c r="AE538" s="210"/>
      <c r="AF538" s="210"/>
      <c r="AG538" s="210"/>
      <c r="AH538" s="219"/>
      <c r="AI538" s="219"/>
      <c r="AJ538" s="210"/>
      <c r="AK538" s="210"/>
      <c r="AL538" s="210"/>
      <c r="AM538" s="210"/>
      <c r="AN538" s="210"/>
      <c r="AO538" s="210"/>
      <c r="AP538" s="210"/>
      <c r="AQ538" s="210"/>
      <c r="AR538" s="210"/>
      <c r="AS538" s="210"/>
    </row>
    <row r="539" spans="1:45" ht="13.5" customHeight="1">
      <c r="A539" s="210"/>
      <c r="B539" s="210"/>
      <c r="C539" s="210"/>
      <c r="D539" s="210"/>
      <c r="E539" s="210"/>
      <c r="F539" s="210"/>
      <c r="G539" s="210"/>
      <c r="H539" s="210"/>
      <c r="I539" s="210"/>
      <c r="J539" s="210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  <c r="AA539" s="210"/>
      <c r="AB539" s="210"/>
      <c r="AC539" s="210"/>
      <c r="AD539" s="210"/>
      <c r="AE539" s="210"/>
      <c r="AF539" s="210"/>
      <c r="AG539" s="210"/>
      <c r="AH539" s="219"/>
      <c r="AI539" s="219"/>
      <c r="AJ539" s="210"/>
      <c r="AK539" s="210"/>
      <c r="AL539" s="210"/>
      <c r="AM539" s="210"/>
      <c r="AN539" s="210"/>
      <c r="AO539" s="210"/>
      <c r="AP539" s="210"/>
      <c r="AQ539" s="210"/>
      <c r="AR539" s="210"/>
      <c r="AS539" s="210"/>
    </row>
    <row r="540" spans="1:45" ht="13.5" customHeight="1">
      <c r="A540" s="210"/>
      <c r="B540" s="210"/>
      <c r="C540" s="210"/>
      <c r="D540" s="210"/>
      <c r="E540" s="210"/>
      <c r="F540" s="210"/>
      <c r="G540" s="210"/>
      <c r="H540" s="210"/>
      <c r="I540" s="210"/>
      <c r="J540" s="210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  <c r="AA540" s="210"/>
      <c r="AB540" s="210"/>
      <c r="AC540" s="210"/>
      <c r="AD540" s="210"/>
      <c r="AE540" s="210"/>
      <c r="AF540" s="210"/>
      <c r="AG540" s="210"/>
      <c r="AH540" s="219"/>
      <c r="AI540" s="219"/>
      <c r="AJ540" s="210"/>
      <c r="AK540" s="210"/>
      <c r="AL540" s="210"/>
      <c r="AM540" s="210"/>
      <c r="AN540" s="210"/>
      <c r="AO540" s="210"/>
      <c r="AP540" s="210"/>
      <c r="AQ540" s="210"/>
      <c r="AR540" s="210"/>
      <c r="AS540" s="210"/>
    </row>
    <row r="541" spans="1:45" ht="13.5" customHeight="1">
      <c r="A541" s="210"/>
      <c r="B541" s="210"/>
      <c r="C541" s="210"/>
      <c r="D541" s="210"/>
      <c r="E541" s="210"/>
      <c r="F541" s="210"/>
      <c r="G541" s="210"/>
      <c r="H541" s="210"/>
      <c r="I541" s="210"/>
      <c r="J541" s="210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  <c r="AA541" s="210"/>
      <c r="AB541" s="210"/>
      <c r="AC541" s="210"/>
      <c r="AD541" s="210"/>
      <c r="AE541" s="210"/>
      <c r="AF541" s="210"/>
      <c r="AG541" s="210"/>
      <c r="AH541" s="219"/>
      <c r="AI541" s="219"/>
      <c r="AJ541" s="210"/>
      <c r="AK541" s="210"/>
      <c r="AL541" s="210"/>
      <c r="AM541" s="210"/>
      <c r="AN541" s="210"/>
      <c r="AO541" s="210"/>
      <c r="AP541" s="210"/>
      <c r="AQ541" s="210"/>
      <c r="AR541" s="210"/>
      <c r="AS541" s="210"/>
    </row>
    <row r="542" spans="1:45" ht="13.5" customHeight="1">
      <c r="A542" s="210"/>
      <c r="B542" s="210"/>
      <c r="C542" s="210"/>
      <c r="D542" s="210"/>
      <c r="E542" s="210"/>
      <c r="F542" s="210"/>
      <c r="G542" s="210"/>
      <c r="H542" s="210"/>
      <c r="I542" s="210"/>
      <c r="J542" s="210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  <c r="AA542" s="210"/>
      <c r="AB542" s="210"/>
      <c r="AC542" s="210"/>
      <c r="AD542" s="210"/>
      <c r="AE542" s="210"/>
      <c r="AF542" s="210"/>
      <c r="AG542" s="210"/>
      <c r="AH542" s="219"/>
      <c r="AI542" s="219"/>
      <c r="AJ542" s="210"/>
      <c r="AK542" s="210"/>
      <c r="AL542" s="210"/>
      <c r="AM542" s="210"/>
      <c r="AN542" s="210"/>
      <c r="AO542" s="210"/>
      <c r="AP542" s="210"/>
      <c r="AQ542" s="210"/>
      <c r="AR542" s="210"/>
      <c r="AS542" s="210"/>
    </row>
    <row r="543" spans="1:45" ht="13.5" customHeight="1">
      <c r="A543" s="210"/>
      <c r="B543" s="210"/>
      <c r="C543" s="210"/>
      <c r="D543" s="210"/>
      <c r="E543" s="210"/>
      <c r="F543" s="210"/>
      <c r="G543" s="210"/>
      <c r="H543" s="210"/>
      <c r="I543" s="210"/>
      <c r="J543" s="210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  <c r="AA543" s="210"/>
      <c r="AB543" s="210"/>
      <c r="AC543" s="210"/>
      <c r="AD543" s="210"/>
      <c r="AE543" s="210"/>
      <c r="AF543" s="210"/>
      <c r="AG543" s="210"/>
      <c r="AH543" s="219"/>
      <c r="AI543" s="219"/>
      <c r="AJ543" s="210"/>
      <c r="AK543" s="210"/>
      <c r="AL543" s="210"/>
      <c r="AM543" s="210"/>
      <c r="AN543" s="210"/>
      <c r="AO543" s="210"/>
      <c r="AP543" s="210"/>
      <c r="AQ543" s="210"/>
      <c r="AR543" s="210"/>
      <c r="AS543" s="210"/>
    </row>
    <row r="544" spans="1:45" ht="13.5" customHeight="1">
      <c r="A544" s="210"/>
      <c r="B544" s="210"/>
      <c r="C544" s="210"/>
      <c r="D544" s="210"/>
      <c r="E544" s="210"/>
      <c r="F544" s="210"/>
      <c r="G544" s="210"/>
      <c r="H544" s="210"/>
      <c r="I544" s="210"/>
      <c r="J544" s="210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  <c r="AA544" s="210"/>
      <c r="AB544" s="210"/>
      <c r="AC544" s="210"/>
      <c r="AD544" s="210"/>
      <c r="AE544" s="210"/>
      <c r="AF544" s="210"/>
      <c r="AG544" s="210"/>
      <c r="AH544" s="219"/>
      <c r="AI544" s="219"/>
      <c r="AJ544" s="210"/>
      <c r="AK544" s="210"/>
      <c r="AL544" s="210"/>
      <c r="AM544" s="210"/>
      <c r="AN544" s="210"/>
      <c r="AO544" s="210"/>
      <c r="AP544" s="210"/>
      <c r="AQ544" s="210"/>
      <c r="AR544" s="210"/>
      <c r="AS544" s="210"/>
    </row>
    <row r="545" spans="1:45" ht="13.5" customHeight="1">
      <c r="A545" s="210"/>
      <c r="B545" s="210"/>
      <c r="C545" s="210"/>
      <c r="D545" s="210"/>
      <c r="E545" s="210"/>
      <c r="F545" s="210"/>
      <c r="G545" s="210"/>
      <c r="H545" s="210"/>
      <c r="I545" s="210"/>
      <c r="J545" s="210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  <c r="AA545" s="210"/>
      <c r="AB545" s="210"/>
      <c r="AC545" s="210"/>
      <c r="AD545" s="210"/>
      <c r="AE545" s="210"/>
      <c r="AF545" s="210"/>
      <c r="AG545" s="210"/>
      <c r="AH545" s="219"/>
      <c r="AI545" s="219"/>
      <c r="AJ545" s="210"/>
      <c r="AK545" s="210"/>
      <c r="AL545" s="210"/>
      <c r="AM545" s="210"/>
      <c r="AN545" s="210"/>
      <c r="AO545" s="210"/>
      <c r="AP545" s="210"/>
      <c r="AQ545" s="210"/>
      <c r="AR545" s="210"/>
      <c r="AS545" s="210"/>
    </row>
    <row r="546" spans="1:45" ht="13.5" customHeight="1">
      <c r="A546" s="210"/>
      <c r="B546" s="210"/>
      <c r="C546" s="210"/>
      <c r="D546" s="210"/>
      <c r="E546" s="210"/>
      <c r="F546" s="210"/>
      <c r="G546" s="210"/>
      <c r="H546" s="210"/>
      <c r="I546" s="210"/>
      <c r="J546" s="210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  <c r="AA546" s="210"/>
      <c r="AB546" s="210"/>
      <c r="AC546" s="210"/>
      <c r="AD546" s="210"/>
      <c r="AE546" s="210"/>
      <c r="AF546" s="210"/>
      <c r="AG546" s="210"/>
      <c r="AH546" s="219"/>
      <c r="AI546" s="219"/>
      <c r="AJ546" s="210"/>
      <c r="AK546" s="210"/>
      <c r="AL546" s="210"/>
      <c r="AM546" s="210"/>
      <c r="AN546" s="210"/>
      <c r="AO546" s="210"/>
      <c r="AP546" s="210"/>
      <c r="AQ546" s="210"/>
      <c r="AR546" s="210"/>
      <c r="AS546" s="210"/>
    </row>
    <row r="547" spans="1:45" ht="13.5" customHeight="1">
      <c r="A547" s="210"/>
      <c r="B547" s="210"/>
      <c r="C547" s="210"/>
      <c r="D547" s="210"/>
      <c r="E547" s="210"/>
      <c r="F547" s="210"/>
      <c r="G547" s="210"/>
      <c r="H547" s="210"/>
      <c r="I547" s="210"/>
      <c r="J547" s="210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  <c r="AA547" s="210"/>
      <c r="AB547" s="210"/>
      <c r="AC547" s="210"/>
      <c r="AD547" s="210"/>
      <c r="AE547" s="210"/>
      <c r="AF547" s="210"/>
      <c r="AG547" s="210"/>
      <c r="AH547" s="219"/>
      <c r="AI547" s="219"/>
      <c r="AJ547" s="210"/>
      <c r="AK547" s="210"/>
      <c r="AL547" s="210"/>
      <c r="AM547" s="210"/>
      <c r="AN547" s="210"/>
      <c r="AO547" s="210"/>
      <c r="AP547" s="210"/>
      <c r="AQ547" s="210"/>
      <c r="AR547" s="210"/>
      <c r="AS547" s="210"/>
    </row>
    <row r="548" spans="1:45" ht="13.5" customHeight="1">
      <c r="A548" s="210"/>
      <c r="B548" s="210"/>
      <c r="C548" s="210"/>
      <c r="D548" s="210"/>
      <c r="E548" s="210"/>
      <c r="F548" s="210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  <c r="AA548" s="210"/>
      <c r="AB548" s="210"/>
      <c r="AC548" s="210"/>
      <c r="AD548" s="210"/>
      <c r="AE548" s="210"/>
      <c r="AF548" s="210"/>
      <c r="AG548" s="210"/>
      <c r="AH548" s="219"/>
      <c r="AI548" s="219"/>
      <c r="AJ548" s="210"/>
      <c r="AK548" s="210"/>
      <c r="AL548" s="210"/>
      <c r="AM548" s="210"/>
      <c r="AN548" s="210"/>
      <c r="AO548" s="210"/>
      <c r="AP548" s="210"/>
      <c r="AQ548" s="210"/>
      <c r="AR548" s="210"/>
      <c r="AS548" s="210"/>
    </row>
    <row r="549" spans="1:45" ht="13.5" customHeight="1">
      <c r="A549" s="210"/>
      <c r="B549" s="210"/>
      <c r="C549" s="210"/>
      <c r="D549" s="210"/>
      <c r="E549" s="210"/>
      <c r="F549" s="210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  <c r="AA549" s="210"/>
      <c r="AB549" s="210"/>
      <c r="AC549" s="210"/>
      <c r="AD549" s="210"/>
      <c r="AE549" s="210"/>
      <c r="AF549" s="210"/>
      <c r="AG549" s="210"/>
      <c r="AH549" s="219"/>
      <c r="AI549" s="219"/>
      <c r="AJ549" s="210"/>
      <c r="AK549" s="210"/>
      <c r="AL549" s="210"/>
      <c r="AM549" s="210"/>
      <c r="AN549" s="210"/>
      <c r="AO549" s="210"/>
      <c r="AP549" s="210"/>
      <c r="AQ549" s="210"/>
      <c r="AR549" s="210"/>
      <c r="AS549" s="210"/>
    </row>
    <row r="550" spans="1:45" ht="13.5" customHeight="1">
      <c r="A550" s="210"/>
      <c r="B550" s="210"/>
      <c r="C550" s="210"/>
      <c r="D550" s="210"/>
      <c r="E550" s="210"/>
      <c r="F550" s="210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  <c r="AA550" s="210"/>
      <c r="AB550" s="210"/>
      <c r="AC550" s="210"/>
      <c r="AD550" s="210"/>
      <c r="AE550" s="210"/>
      <c r="AF550" s="210"/>
      <c r="AG550" s="210"/>
      <c r="AH550" s="219"/>
      <c r="AI550" s="219"/>
      <c r="AJ550" s="210"/>
      <c r="AK550" s="210"/>
      <c r="AL550" s="210"/>
      <c r="AM550" s="210"/>
      <c r="AN550" s="210"/>
      <c r="AO550" s="210"/>
      <c r="AP550" s="210"/>
      <c r="AQ550" s="210"/>
      <c r="AR550" s="210"/>
      <c r="AS550" s="210"/>
    </row>
    <row r="551" spans="1:45" ht="13.5" customHeight="1">
      <c r="A551" s="210"/>
      <c r="B551" s="210"/>
      <c r="C551" s="210"/>
      <c r="D551" s="210"/>
      <c r="E551" s="210"/>
      <c r="F551" s="210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  <c r="AA551" s="210"/>
      <c r="AB551" s="210"/>
      <c r="AC551" s="210"/>
      <c r="AD551" s="210"/>
      <c r="AE551" s="210"/>
      <c r="AF551" s="210"/>
      <c r="AG551" s="210"/>
      <c r="AH551" s="219"/>
      <c r="AI551" s="219"/>
      <c r="AJ551" s="210"/>
      <c r="AK551" s="210"/>
      <c r="AL551" s="210"/>
      <c r="AM551" s="210"/>
      <c r="AN551" s="210"/>
      <c r="AO551" s="210"/>
      <c r="AP551" s="210"/>
      <c r="AQ551" s="210"/>
      <c r="AR551" s="210"/>
      <c r="AS551" s="210"/>
    </row>
    <row r="552" spans="1:45" ht="13.5" customHeight="1">
      <c r="A552" s="210"/>
      <c r="B552" s="210"/>
      <c r="C552" s="210"/>
      <c r="D552" s="210"/>
      <c r="E552" s="210"/>
      <c r="F552" s="210"/>
      <c r="G552" s="210"/>
      <c r="H552" s="210"/>
      <c r="I552" s="210"/>
      <c r="J552" s="210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  <c r="AA552" s="210"/>
      <c r="AB552" s="210"/>
      <c r="AC552" s="210"/>
      <c r="AD552" s="210"/>
      <c r="AE552" s="210"/>
      <c r="AF552" s="210"/>
      <c r="AG552" s="210"/>
      <c r="AH552" s="219"/>
      <c r="AI552" s="219"/>
      <c r="AJ552" s="210"/>
      <c r="AK552" s="210"/>
      <c r="AL552" s="210"/>
      <c r="AM552" s="210"/>
      <c r="AN552" s="210"/>
      <c r="AO552" s="210"/>
      <c r="AP552" s="210"/>
      <c r="AQ552" s="210"/>
      <c r="AR552" s="210"/>
      <c r="AS552" s="210"/>
    </row>
    <row r="553" spans="1:45" ht="13.5" customHeight="1">
      <c r="A553" s="210"/>
      <c r="B553" s="210"/>
      <c r="C553" s="210"/>
      <c r="D553" s="210"/>
      <c r="E553" s="210"/>
      <c r="F553" s="210"/>
      <c r="G553" s="210"/>
      <c r="H553" s="210"/>
      <c r="I553" s="210"/>
      <c r="J553" s="210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  <c r="AA553" s="210"/>
      <c r="AB553" s="210"/>
      <c r="AC553" s="210"/>
      <c r="AD553" s="210"/>
      <c r="AE553" s="210"/>
      <c r="AF553" s="210"/>
      <c r="AG553" s="210"/>
      <c r="AH553" s="219"/>
      <c r="AI553" s="219"/>
      <c r="AJ553" s="210"/>
      <c r="AK553" s="210"/>
      <c r="AL553" s="210"/>
      <c r="AM553" s="210"/>
      <c r="AN553" s="210"/>
      <c r="AO553" s="210"/>
      <c r="AP553" s="210"/>
      <c r="AQ553" s="210"/>
      <c r="AR553" s="210"/>
      <c r="AS553" s="210"/>
    </row>
    <row r="554" spans="1:45" ht="13.5" customHeight="1">
      <c r="A554" s="210"/>
      <c r="B554" s="210"/>
      <c r="C554" s="210"/>
      <c r="D554" s="210"/>
      <c r="E554" s="210"/>
      <c r="F554" s="210"/>
      <c r="G554" s="210"/>
      <c r="H554" s="210"/>
      <c r="I554" s="210"/>
      <c r="J554" s="210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  <c r="AA554" s="210"/>
      <c r="AB554" s="210"/>
      <c r="AC554" s="210"/>
      <c r="AD554" s="210"/>
      <c r="AE554" s="210"/>
      <c r="AF554" s="210"/>
      <c r="AG554" s="210"/>
      <c r="AH554" s="219"/>
      <c r="AI554" s="219"/>
      <c r="AJ554" s="210"/>
      <c r="AK554" s="210"/>
      <c r="AL554" s="210"/>
      <c r="AM554" s="210"/>
      <c r="AN554" s="210"/>
      <c r="AO554" s="210"/>
      <c r="AP554" s="210"/>
      <c r="AQ554" s="210"/>
      <c r="AR554" s="210"/>
      <c r="AS554" s="210"/>
    </row>
    <row r="555" spans="1:45" ht="13.5" customHeight="1">
      <c r="A555" s="210"/>
      <c r="B555" s="210"/>
      <c r="C555" s="210"/>
      <c r="D555" s="210"/>
      <c r="E555" s="210"/>
      <c r="F555" s="210"/>
      <c r="G555" s="210"/>
      <c r="H555" s="210"/>
      <c r="I555" s="210"/>
      <c r="J555" s="210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  <c r="AA555" s="210"/>
      <c r="AB555" s="210"/>
      <c r="AC555" s="210"/>
      <c r="AD555" s="210"/>
      <c r="AE555" s="210"/>
      <c r="AF555" s="210"/>
      <c r="AG555" s="210"/>
      <c r="AH555" s="219"/>
      <c r="AI555" s="219"/>
      <c r="AJ555" s="210"/>
      <c r="AK555" s="210"/>
      <c r="AL555" s="210"/>
      <c r="AM555" s="210"/>
      <c r="AN555" s="210"/>
      <c r="AO555" s="210"/>
      <c r="AP555" s="210"/>
      <c r="AQ555" s="210"/>
      <c r="AR555" s="210"/>
      <c r="AS555" s="210"/>
    </row>
    <row r="556" spans="1:45" ht="13.5" customHeight="1">
      <c r="A556" s="210"/>
      <c r="B556" s="210"/>
      <c r="C556" s="210"/>
      <c r="D556" s="210"/>
      <c r="E556" s="210"/>
      <c r="F556" s="210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  <c r="AA556" s="210"/>
      <c r="AB556" s="210"/>
      <c r="AC556" s="210"/>
      <c r="AD556" s="210"/>
      <c r="AE556" s="210"/>
      <c r="AF556" s="210"/>
      <c r="AG556" s="210"/>
      <c r="AH556" s="219"/>
      <c r="AI556" s="219"/>
      <c r="AJ556" s="210"/>
      <c r="AK556" s="210"/>
      <c r="AL556" s="210"/>
      <c r="AM556" s="210"/>
      <c r="AN556" s="210"/>
      <c r="AO556" s="210"/>
      <c r="AP556" s="210"/>
      <c r="AQ556" s="210"/>
      <c r="AR556" s="210"/>
      <c r="AS556" s="210"/>
    </row>
    <row r="557" spans="1:45" ht="13.5" customHeight="1">
      <c r="A557" s="210"/>
      <c r="B557" s="210"/>
      <c r="C557" s="210"/>
      <c r="D557" s="210"/>
      <c r="E557" s="210"/>
      <c r="F557" s="210"/>
      <c r="G557" s="210"/>
      <c r="H557" s="210"/>
      <c r="I557" s="210"/>
      <c r="J557" s="210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  <c r="AA557" s="210"/>
      <c r="AB557" s="210"/>
      <c r="AC557" s="210"/>
      <c r="AD557" s="210"/>
      <c r="AE557" s="210"/>
      <c r="AF557" s="210"/>
      <c r="AG557" s="210"/>
      <c r="AH557" s="219"/>
      <c r="AI557" s="219"/>
      <c r="AJ557" s="210"/>
      <c r="AK557" s="210"/>
      <c r="AL557" s="210"/>
      <c r="AM557" s="210"/>
      <c r="AN557" s="210"/>
      <c r="AO557" s="210"/>
      <c r="AP557" s="210"/>
      <c r="AQ557" s="210"/>
      <c r="AR557" s="210"/>
      <c r="AS557" s="210"/>
    </row>
    <row r="558" spans="1:45" ht="13.5" customHeight="1">
      <c r="A558" s="210"/>
      <c r="B558" s="210"/>
      <c r="C558" s="210"/>
      <c r="D558" s="210"/>
      <c r="E558" s="210"/>
      <c r="F558" s="210"/>
      <c r="G558" s="210"/>
      <c r="H558" s="210"/>
      <c r="I558" s="210"/>
      <c r="J558" s="210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  <c r="AA558" s="210"/>
      <c r="AB558" s="210"/>
      <c r="AC558" s="210"/>
      <c r="AD558" s="210"/>
      <c r="AE558" s="210"/>
      <c r="AF558" s="210"/>
      <c r="AG558" s="210"/>
      <c r="AH558" s="219"/>
      <c r="AI558" s="219"/>
      <c r="AJ558" s="210"/>
      <c r="AK558" s="210"/>
      <c r="AL558" s="210"/>
      <c r="AM558" s="210"/>
      <c r="AN558" s="210"/>
      <c r="AO558" s="210"/>
      <c r="AP558" s="210"/>
      <c r="AQ558" s="210"/>
      <c r="AR558" s="210"/>
      <c r="AS558" s="210"/>
    </row>
    <row r="559" spans="1:45" ht="13.5" customHeight="1">
      <c r="A559" s="210"/>
      <c r="B559" s="210"/>
      <c r="C559" s="210"/>
      <c r="D559" s="210"/>
      <c r="E559" s="210"/>
      <c r="F559" s="210"/>
      <c r="G559" s="210"/>
      <c r="H559" s="210"/>
      <c r="I559" s="210"/>
      <c r="J559" s="210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  <c r="AA559" s="210"/>
      <c r="AB559" s="210"/>
      <c r="AC559" s="210"/>
      <c r="AD559" s="210"/>
      <c r="AE559" s="210"/>
      <c r="AF559" s="210"/>
      <c r="AG559" s="210"/>
      <c r="AH559" s="219"/>
      <c r="AI559" s="219"/>
      <c r="AJ559" s="210"/>
      <c r="AK559" s="210"/>
      <c r="AL559" s="210"/>
      <c r="AM559" s="210"/>
      <c r="AN559" s="210"/>
      <c r="AO559" s="210"/>
      <c r="AP559" s="210"/>
      <c r="AQ559" s="210"/>
      <c r="AR559" s="210"/>
      <c r="AS559" s="210"/>
    </row>
    <row r="560" spans="1:45" ht="13.5" customHeight="1">
      <c r="A560" s="210"/>
      <c r="B560" s="210"/>
      <c r="C560" s="210"/>
      <c r="D560" s="210"/>
      <c r="E560" s="210"/>
      <c r="F560" s="210"/>
      <c r="G560" s="210"/>
      <c r="H560" s="210"/>
      <c r="I560" s="210"/>
      <c r="J560" s="210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  <c r="AA560" s="210"/>
      <c r="AB560" s="210"/>
      <c r="AC560" s="210"/>
      <c r="AD560" s="210"/>
      <c r="AE560" s="210"/>
      <c r="AF560" s="210"/>
      <c r="AG560" s="210"/>
      <c r="AH560" s="219"/>
      <c r="AI560" s="219"/>
      <c r="AJ560" s="210"/>
      <c r="AK560" s="210"/>
      <c r="AL560" s="210"/>
      <c r="AM560" s="210"/>
      <c r="AN560" s="210"/>
      <c r="AO560" s="210"/>
      <c r="AP560" s="210"/>
      <c r="AQ560" s="210"/>
      <c r="AR560" s="210"/>
      <c r="AS560" s="210"/>
    </row>
    <row r="561" spans="1:45" ht="13.5" customHeight="1">
      <c r="A561" s="210"/>
      <c r="B561" s="210"/>
      <c r="C561" s="210"/>
      <c r="D561" s="210"/>
      <c r="E561" s="210"/>
      <c r="F561" s="210"/>
      <c r="G561" s="210"/>
      <c r="H561" s="210"/>
      <c r="I561" s="210"/>
      <c r="J561" s="210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  <c r="AA561" s="210"/>
      <c r="AB561" s="210"/>
      <c r="AC561" s="210"/>
      <c r="AD561" s="210"/>
      <c r="AE561" s="210"/>
      <c r="AF561" s="210"/>
      <c r="AG561" s="210"/>
      <c r="AH561" s="219"/>
      <c r="AI561" s="219"/>
      <c r="AJ561" s="210"/>
      <c r="AK561" s="210"/>
      <c r="AL561" s="210"/>
      <c r="AM561" s="210"/>
      <c r="AN561" s="210"/>
      <c r="AO561" s="210"/>
      <c r="AP561" s="210"/>
      <c r="AQ561" s="210"/>
      <c r="AR561" s="210"/>
      <c r="AS561" s="210"/>
    </row>
    <row r="562" spans="1:45" ht="13.5" customHeight="1">
      <c r="A562" s="210"/>
      <c r="B562" s="210"/>
      <c r="C562" s="210"/>
      <c r="D562" s="210"/>
      <c r="E562" s="210"/>
      <c r="F562" s="210"/>
      <c r="G562" s="210"/>
      <c r="H562" s="210"/>
      <c r="I562" s="210"/>
      <c r="J562" s="210"/>
      <c r="K562" s="210"/>
      <c r="L562" s="210"/>
      <c r="M562" s="210"/>
      <c r="N562" s="210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  <c r="AA562" s="210"/>
      <c r="AB562" s="210"/>
      <c r="AC562" s="210"/>
      <c r="AD562" s="210"/>
      <c r="AE562" s="210"/>
      <c r="AF562" s="210"/>
      <c r="AG562" s="210"/>
      <c r="AH562" s="219"/>
      <c r="AI562" s="219"/>
      <c r="AJ562" s="210"/>
      <c r="AK562" s="210"/>
      <c r="AL562" s="210"/>
      <c r="AM562" s="210"/>
      <c r="AN562" s="210"/>
      <c r="AO562" s="210"/>
      <c r="AP562" s="210"/>
      <c r="AQ562" s="210"/>
      <c r="AR562" s="210"/>
      <c r="AS562" s="210"/>
    </row>
    <row r="563" spans="1:45" ht="13.5" customHeight="1">
      <c r="A563" s="219"/>
      <c r="B563" s="210"/>
      <c r="C563" s="210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  <c r="AB563" s="221"/>
      <c r="AC563" s="221"/>
      <c r="AD563" s="221"/>
      <c r="AE563" s="221"/>
      <c r="AF563" s="221"/>
      <c r="AG563" s="221"/>
      <c r="AH563" s="219"/>
      <c r="AI563" s="219"/>
      <c r="AJ563" s="210"/>
      <c r="AK563" s="210"/>
      <c r="AL563" s="210"/>
      <c r="AM563" s="210"/>
      <c r="AN563" s="210"/>
      <c r="AO563" s="210"/>
      <c r="AP563" s="210"/>
      <c r="AQ563" s="210"/>
      <c r="AR563" s="210"/>
      <c r="AS563" s="210"/>
    </row>
    <row r="564" spans="1:45" ht="13.5" customHeight="1">
      <c r="A564" s="219"/>
      <c r="B564" s="210"/>
      <c r="C564" s="210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  <c r="AB564" s="221"/>
      <c r="AC564" s="221"/>
      <c r="AD564" s="221"/>
      <c r="AE564" s="221"/>
      <c r="AF564" s="221"/>
      <c r="AG564" s="221"/>
      <c r="AH564" s="219"/>
      <c r="AI564" s="219"/>
      <c r="AJ564" s="210"/>
      <c r="AK564" s="210"/>
      <c r="AL564" s="210"/>
      <c r="AM564" s="210"/>
      <c r="AN564" s="210"/>
      <c r="AO564" s="210"/>
      <c r="AP564" s="210"/>
      <c r="AQ564" s="210"/>
      <c r="AR564" s="210"/>
      <c r="AS564" s="210"/>
    </row>
    <row r="565" spans="1:45" ht="13.5" customHeight="1">
      <c r="A565" s="219"/>
      <c r="B565" s="210"/>
      <c r="C565" s="210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  <c r="AB565" s="221"/>
      <c r="AC565" s="221"/>
      <c r="AD565" s="221"/>
      <c r="AE565" s="221"/>
      <c r="AF565" s="221"/>
      <c r="AG565" s="221"/>
      <c r="AH565" s="219"/>
      <c r="AI565" s="219"/>
      <c r="AJ565" s="210"/>
      <c r="AK565" s="210"/>
      <c r="AL565" s="210"/>
      <c r="AM565" s="210"/>
      <c r="AN565" s="210"/>
      <c r="AO565" s="210"/>
      <c r="AP565" s="210"/>
      <c r="AQ565" s="210"/>
      <c r="AR565" s="210"/>
      <c r="AS565" s="210"/>
    </row>
    <row r="566" spans="1:45" ht="13.5" customHeight="1">
      <c r="A566" s="219"/>
      <c r="B566" s="210"/>
      <c r="C566" s="210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  <c r="AB566" s="221"/>
      <c r="AC566" s="221"/>
      <c r="AD566" s="221"/>
      <c r="AE566" s="221"/>
      <c r="AF566" s="221"/>
      <c r="AG566" s="221"/>
      <c r="AH566" s="219"/>
      <c r="AI566" s="219"/>
      <c r="AJ566" s="210"/>
      <c r="AK566" s="210"/>
      <c r="AL566" s="210"/>
      <c r="AM566" s="210"/>
      <c r="AN566" s="210"/>
      <c r="AO566" s="210"/>
      <c r="AP566" s="210"/>
      <c r="AQ566" s="210"/>
      <c r="AR566" s="210"/>
      <c r="AS566" s="210"/>
    </row>
    <row r="567" spans="1:45" ht="13.5" customHeight="1">
      <c r="A567" s="219"/>
      <c r="B567" s="210"/>
      <c r="C567" s="210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  <c r="AB567" s="221"/>
      <c r="AC567" s="221"/>
      <c r="AD567" s="221"/>
      <c r="AE567" s="221"/>
      <c r="AF567" s="221"/>
      <c r="AG567" s="221"/>
      <c r="AH567" s="219"/>
      <c r="AI567" s="219"/>
      <c r="AJ567" s="210"/>
      <c r="AK567" s="210"/>
      <c r="AL567" s="210"/>
      <c r="AM567" s="210"/>
      <c r="AN567" s="210"/>
      <c r="AO567" s="210"/>
      <c r="AP567" s="210"/>
      <c r="AQ567" s="210"/>
      <c r="AR567" s="210"/>
      <c r="AS567" s="210"/>
    </row>
    <row r="568" spans="1:45" ht="13.5" customHeight="1">
      <c r="A568" s="219"/>
      <c r="B568" s="210"/>
      <c r="C568" s="210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  <c r="AB568" s="221"/>
      <c r="AC568" s="221"/>
      <c r="AD568" s="221"/>
      <c r="AE568" s="221"/>
      <c r="AF568" s="221"/>
      <c r="AG568" s="221"/>
      <c r="AH568" s="219"/>
      <c r="AI568" s="219"/>
      <c r="AJ568" s="210"/>
      <c r="AK568" s="210"/>
      <c r="AL568" s="210"/>
      <c r="AM568" s="210"/>
      <c r="AN568" s="210"/>
      <c r="AO568" s="210"/>
      <c r="AP568" s="210"/>
      <c r="AQ568" s="210"/>
      <c r="AR568" s="210"/>
      <c r="AS568" s="210"/>
    </row>
    <row r="569" spans="1:45" ht="13.5" customHeight="1">
      <c r="A569" s="219"/>
      <c r="B569" s="210"/>
      <c r="C569" s="210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  <c r="AB569" s="221"/>
      <c r="AC569" s="221"/>
      <c r="AD569" s="221"/>
      <c r="AE569" s="221"/>
      <c r="AF569" s="221"/>
      <c r="AG569" s="221"/>
      <c r="AH569" s="219"/>
      <c r="AI569" s="219"/>
      <c r="AJ569" s="210"/>
      <c r="AK569" s="210"/>
      <c r="AL569" s="210"/>
      <c r="AM569" s="210"/>
      <c r="AN569" s="210"/>
      <c r="AO569" s="210"/>
      <c r="AP569" s="210"/>
      <c r="AQ569" s="210"/>
      <c r="AR569" s="210"/>
      <c r="AS569" s="210"/>
    </row>
    <row r="570" spans="1:45" ht="13.5" customHeight="1">
      <c r="A570" s="219"/>
      <c r="B570" s="210"/>
      <c r="C570" s="210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  <c r="AB570" s="221"/>
      <c r="AC570" s="221"/>
      <c r="AD570" s="221"/>
      <c r="AE570" s="221"/>
      <c r="AF570" s="221"/>
      <c r="AG570" s="221"/>
      <c r="AH570" s="219"/>
      <c r="AI570" s="219"/>
      <c r="AJ570" s="210"/>
      <c r="AK570" s="210"/>
      <c r="AL570" s="210"/>
      <c r="AM570" s="210"/>
      <c r="AN570" s="210"/>
      <c r="AO570" s="210"/>
      <c r="AP570" s="210"/>
      <c r="AQ570" s="210"/>
      <c r="AR570" s="210"/>
      <c r="AS570" s="210"/>
    </row>
    <row r="571" spans="1:45" ht="13.5" customHeight="1">
      <c r="A571" s="219"/>
      <c r="B571" s="210"/>
      <c r="C571" s="210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  <c r="AB571" s="221"/>
      <c r="AC571" s="221"/>
      <c r="AD571" s="221"/>
      <c r="AE571" s="221"/>
      <c r="AF571" s="221"/>
      <c r="AG571" s="221"/>
      <c r="AH571" s="219"/>
      <c r="AI571" s="219"/>
      <c r="AJ571" s="210"/>
      <c r="AK571" s="210"/>
      <c r="AL571" s="210"/>
      <c r="AM571" s="210"/>
      <c r="AN571" s="210"/>
      <c r="AO571" s="210"/>
      <c r="AP571" s="210"/>
      <c r="AQ571" s="210"/>
      <c r="AR571" s="210"/>
      <c r="AS571" s="210"/>
    </row>
    <row r="572" spans="1:45" ht="13.5" customHeight="1">
      <c r="A572" s="219"/>
      <c r="B572" s="210"/>
      <c r="C572" s="210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  <c r="AB572" s="221"/>
      <c r="AC572" s="221"/>
      <c r="AD572" s="221"/>
      <c r="AE572" s="221"/>
      <c r="AF572" s="221"/>
      <c r="AG572" s="221"/>
      <c r="AH572" s="219"/>
      <c r="AI572" s="219"/>
      <c r="AJ572" s="210"/>
      <c r="AK572" s="210"/>
      <c r="AL572" s="210"/>
      <c r="AM572" s="210"/>
      <c r="AN572" s="210"/>
      <c r="AO572" s="210"/>
      <c r="AP572" s="210"/>
      <c r="AQ572" s="210"/>
      <c r="AR572" s="210"/>
      <c r="AS572" s="210"/>
    </row>
    <row r="573" spans="1:45" ht="13.5" customHeight="1">
      <c r="A573" s="219"/>
      <c r="B573" s="210"/>
      <c r="C573" s="210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  <c r="AB573" s="221"/>
      <c r="AC573" s="221"/>
      <c r="AD573" s="221"/>
      <c r="AE573" s="221"/>
      <c r="AF573" s="221"/>
      <c r="AG573" s="221"/>
      <c r="AH573" s="219"/>
      <c r="AI573" s="219"/>
      <c r="AJ573" s="210"/>
      <c r="AK573" s="210"/>
      <c r="AL573" s="210"/>
      <c r="AM573" s="210"/>
      <c r="AN573" s="210"/>
      <c r="AO573" s="210"/>
      <c r="AP573" s="210"/>
      <c r="AQ573" s="210"/>
      <c r="AR573" s="210"/>
      <c r="AS573" s="210"/>
    </row>
    <row r="574" spans="1:45" ht="13.5" customHeight="1">
      <c r="A574" s="219"/>
      <c r="B574" s="210"/>
      <c r="C574" s="210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  <c r="AB574" s="221"/>
      <c r="AC574" s="221"/>
      <c r="AD574" s="221"/>
      <c r="AE574" s="221"/>
      <c r="AF574" s="221"/>
      <c r="AG574" s="221"/>
      <c r="AH574" s="219"/>
      <c r="AI574" s="219"/>
      <c r="AJ574" s="210"/>
      <c r="AK574" s="210"/>
      <c r="AL574" s="210"/>
      <c r="AM574" s="210"/>
      <c r="AN574" s="210"/>
      <c r="AO574" s="210"/>
      <c r="AP574" s="210"/>
      <c r="AQ574" s="210"/>
      <c r="AR574" s="210"/>
      <c r="AS574" s="210"/>
    </row>
    <row r="575" spans="1:45" ht="13.5" customHeight="1">
      <c r="A575" s="219"/>
      <c r="B575" s="210"/>
      <c r="C575" s="210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  <c r="AB575" s="221"/>
      <c r="AC575" s="221"/>
      <c r="AD575" s="221"/>
      <c r="AE575" s="221"/>
      <c r="AF575" s="221"/>
      <c r="AG575" s="221"/>
      <c r="AH575" s="219"/>
      <c r="AI575" s="219"/>
      <c r="AJ575" s="210"/>
      <c r="AK575" s="210"/>
      <c r="AL575" s="210"/>
      <c r="AM575" s="210"/>
      <c r="AN575" s="210"/>
      <c r="AO575" s="210"/>
      <c r="AP575" s="210"/>
      <c r="AQ575" s="210"/>
      <c r="AR575" s="210"/>
      <c r="AS575" s="210"/>
    </row>
    <row r="576" spans="1:45" ht="13.5" customHeight="1">
      <c r="A576" s="219"/>
      <c r="B576" s="210"/>
      <c r="C576" s="210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  <c r="AB576" s="221"/>
      <c r="AC576" s="221"/>
      <c r="AD576" s="221"/>
      <c r="AE576" s="221"/>
      <c r="AF576" s="221"/>
      <c r="AG576" s="221"/>
      <c r="AH576" s="219"/>
      <c r="AI576" s="219"/>
      <c r="AJ576" s="210"/>
      <c r="AK576" s="210"/>
      <c r="AL576" s="210"/>
      <c r="AM576" s="210"/>
      <c r="AN576" s="210"/>
      <c r="AO576" s="210"/>
      <c r="AP576" s="210"/>
      <c r="AQ576" s="210"/>
      <c r="AR576" s="210"/>
      <c r="AS576" s="210"/>
    </row>
    <row r="577" spans="1:45" ht="13.5" customHeight="1">
      <c r="A577" s="219"/>
      <c r="B577" s="210"/>
      <c r="C577" s="210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  <c r="AB577" s="221"/>
      <c r="AC577" s="221"/>
      <c r="AD577" s="221"/>
      <c r="AE577" s="221"/>
      <c r="AF577" s="221"/>
      <c r="AG577" s="221"/>
      <c r="AH577" s="219"/>
      <c r="AI577" s="219"/>
      <c r="AJ577" s="210"/>
      <c r="AK577" s="210"/>
      <c r="AL577" s="210"/>
      <c r="AM577" s="210"/>
      <c r="AN577" s="210"/>
      <c r="AO577" s="210"/>
      <c r="AP577" s="210"/>
      <c r="AQ577" s="210"/>
      <c r="AR577" s="210"/>
      <c r="AS577" s="210"/>
    </row>
    <row r="578" spans="1:45" ht="13.5" customHeight="1">
      <c r="A578" s="219"/>
      <c r="B578" s="210"/>
      <c r="C578" s="210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  <c r="AB578" s="221"/>
      <c r="AC578" s="221"/>
      <c r="AD578" s="221"/>
      <c r="AE578" s="221"/>
      <c r="AF578" s="221"/>
      <c r="AG578" s="221"/>
      <c r="AH578" s="219"/>
      <c r="AI578" s="219"/>
      <c r="AJ578" s="210"/>
      <c r="AK578" s="210"/>
      <c r="AL578" s="210"/>
      <c r="AM578" s="210"/>
      <c r="AN578" s="210"/>
      <c r="AO578" s="210"/>
      <c r="AP578" s="210"/>
      <c r="AQ578" s="210"/>
      <c r="AR578" s="210"/>
      <c r="AS578" s="210"/>
    </row>
    <row r="579" spans="1:45" ht="13.5" customHeight="1">
      <c r="A579" s="219"/>
      <c r="B579" s="210"/>
      <c r="C579" s="210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  <c r="AB579" s="221"/>
      <c r="AC579" s="221"/>
      <c r="AD579" s="221"/>
      <c r="AE579" s="221"/>
      <c r="AF579" s="221"/>
      <c r="AG579" s="221"/>
      <c r="AH579" s="219"/>
      <c r="AI579" s="219"/>
      <c r="AJ579" s="210"/>
      <c r="AK579" s="210"/>
      <c r="AL579" s="210"/>
      <c r="AM579" s="210"/>
      <c r="AN579" s="210"/>
      <c r="AO579" s="210"/>
      <c r="AP579" s="210"/>
      <c r="AQ579" s="210"/>
      <c r="AR579" s="210"/>
      <c r="AS579" s="210"/>
    </row>
    <row r="580" spans="1:45" ht="13.5" customHeight="1">
      <c r="A580" s="219"/>
      <c r="B580" s="210"/>
      <c r="C580" s="210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  <c r="AB580" s="221"/>
      <c r="AC580" s="221"/>
      <c r="AD580" s="221"/>
      <c r="AE580" s="221"/>
      <c r="AF580" s="221"/>
      <c r="AG580" s="221"/>
      <c r="AH580" s="219"/>
      <c r="AI580" s="219"/>
      <c r="AJ580" s="210"/>
      <c r="AK580" s="210"/>
      <c r="AL580" s="210"/>
      <c r="AM580" s="210"/>
      <c r="AN580" s="210"/>
      <c r="AO580" s="210"/>
      <c r="AP580" s="210"/>
      <c r="AQ580" s="210"/>
      <c r="AR580" s="210"/>
      <c r="AS580" s="210"/>
    </row>
    <row r="581" spans="1:45" ht="13.5" customHeight="1">
      <c r="A581" s="219"/>
      <c r="B581" s="210"/>
      <c r="C581" s="210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  <c r="AB581" s="221"/>
      <c r="AC581" s="221"/>
      <c r="AD581" s="221"/>
      <c r="AE581" s="221"/>
      <c r="AF581" s="221"/>
      <c r="AG581" s="221"/>
      <c r="AH581" s="219"/>
      <c r="AI581" s="219"/>
      <c r="AJ581" s="210"/>
      <c r="AK581" s="210"/>
      <c r="AL581" s="210"/>
      <c r="AM581" s="210"/>
      <c r="AN581" s="210"/>
      <c r="AO581" s="210"/>
      <c r="AP581" s="210"/>
      <c r="AQ581" s="210"/>
      <c r="AR581" s="210"/>
      <c r="AS581" s="210"/>
    </row>
    <row r="582" spans="1:45" ht="13.5" customHeight="1">
      <c r="A582" s="219"/>
      <c r="B582" s="210"/>
      <c r="C582" s="210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  <c r="AB582" s="221"/>
      <c r="AC582" s="221"/>
      <c r="AD582" s="221"/>
      <c r="AE582" s="221"/>
      <c r="AF582" s="221"/>
      <c r="AG582" s="221"/>
      <c r="AH582" s="219"/>
      <c r="AI582" s="219"/>
      <c r="AJ582" s="210"/>
      <c r="AK582" s="210"/>
      <c r="AL582" s="210"/>
      <c r="AM582" s="210"/>
      <c r="AN582" s="210"/>
      <c r="AO582" s="210"/>
      <c r="AP582" s="210"/>
      <c r="AQ582" s="210"/>
      <c r="AR582" s="210"/>
      <c r="AS582" s="210"/>
    </row>
    <row r="583" spans="1:45" ht="13.5" customHeight="1">
      <c r="A583" s="219"/>
      <c r="B583" s="210"/>
      <c r="C583" s="210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  <c r="AB583" s="221"/>
      <c r="AC583" s="221"/>
      <c r="AD583" s="221"/>
      <c r="AE583" s="221"/>
      <c r="AF583" s="221"/>
      <c r="AG583" s="221"/>
      <c r="AH583" s="219"/>
      <c r="AI583" s="219"/>
      <c r="AJ583" s="210"/>
      <c r="AK583" s="210"/>
      <c r="AL583" s="210"/>
      <c r="AM583" s="210"/>
      <c r="AN583" s="210"/>
      <c r="AO583" s="210"/>
      <c r="AP583" s="210"/>
      <c r="AQ583" s="210"/>
      <c r="AR583" s="210"/>
      <c r="AS583" s="210"/>
    </row>
    <row r="584" spans="1:45" ht="13.5" customHeight="1">
      <c r="A584" s="219"/>
      <c r="B584" s="210"/>
      <c r="C584" s="210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  <c r="AB584" s="221"/>
      <c r="AC584" s="221"/>
      <c r="AD584" s="221"/>
      <c r="AE584" s="221"/>
      <c r="AF584" s="221"/>
      <c r="AG584" s="221"/>
      <c r="AH584" s="219"/>
      <c r="AI584" s="219"/>
      <c r="AJ584" s="210"/>
      <c r="AK584" s="210"/>
      <c r="AL584" s="210"/>
      <c r="AM584" s="210"/>
      <c r="AN584" s="210"/>
      <c r="AO584" s="210"/>
      <c r="AP584" s="210"/>
      <c r="AQ584" s="210"/>
      <c r="AR584" s="210"/>
      <c r="AS584" s="210"/>
    </row>
    <row r="585" spans="1:45" ht="13.5" customHeight="1">
      <c r="A585" s="219"/>
      <c r="B585" s="210"/>
      <c r="C585" s="210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  <c r="AB585" s="221"/>
      <c r="AC585" s="221"/>
      <c r="AD585" s="221"/>
      <c r="AE585" s="221"/>
      <c r="AF585" s="221"/>
      <c r="AG585" s="221"/>
      <c r="AH585" s="219"/>
      <c r="AI585" s="219"/>
      <c r="AJ585" s="210"/>
      <c r="AK585" s="210"/>
      <c r="AL585" s="210"/>
      <c r="AM585" s="210"/>
      <c r="AN585" s="210"/>
      <c r="AO585" s="210"/>
      <c r="AP585" s="210"/>
      <c r="AQ585" s="210"/>
      <c r="AR585" s="210"/>
      <c r="AS585" s="210"/>
    </row>
    <row r="586" spans="1:45" ht="13.5" customHeight="1">
      <c r="A586" s="219"/>
      <c r="B586" s="210"/>
      <c r="C586" s="210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  <c r="AB586" s="221"/>
      <c r="AC586" s="221"/>
      <c r="AD586" s="221"/>
      <c r="AE586" s="221"/>
      <c r="AF586" s="221"/>
      <c r="AG586" s="221"/>
      <c r="AH586" s="219"/>
      <c r="AI586" s="219"/>
      <c r="AJ586" s="210"/>
      <c r="AK586" s="210"/>
      <c r="AL586" s="210"/>
      <c r="AM586" s="210"/>
      <c r="AN586" s="210"/>
      <c r="AO586" s="210"/>
      <c r="AP586" s="210"/>
      <c r="AQ586" s="210"/>
      <c r="AR586" s="210"/>
      <c r="AS586" s="210"/>
    </row>
    <row r="587" spans="1:45" ht="13.5" customHeight="1">
      <c r="A587" s="219"/>
      <c r="B587" s="210"/>
      <c r="C587" s="210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  <c r="AB587" s="221"/>
      <c r="AC587" s="221"/>
      <c r="AD587" s="221"/>
      <c r="AE587" s="221"/>
      <c r="AF587" s="221"/>
      <c r="AG587" s="221"/>
      <c r="AH587" s="219"/>
      <c r="AI587" s="219"/>
      <c r="AJ587" s="210"/>
      <c r="AK587" s="210"/>
      <c r="AL587" s="210"/>
      <c r="AM587" s="210"/>
      <c r="AN587" s="210"/>
      <c r="AO587" s="210"/>
      <c r="AP587" s="210"/>
      <c r="AQ587" s="210"/>
      <c r="AR587" s="210"/>
      <c r="AS587" s="210"/>
    </row>
    <row r="588" spans="1:45" ht="13.5" customHeight="1">
      <c r="A588" s="219"/>
      <c r="B588" s="210"/>
      <c r="C588" s="210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  <c r="AB588" s="221"/>
      <c r="AC588" s="221"/>
      <c r="AD588" s="221"/>
      <c r="AE588" s="221"/>
      <c r="AF588" s="221"/>
      <c r="AG588" s="221"/>
      <c r="AH588" s="219"/>
      <c r="AI588" s="219"/>
      <c r="AJ588" s="210"/>
      <c r="AK588" s="210"/>
      <c r="AL588" s="210"/>
      <c r="AM588" s="210"/>
      <c r="AN588" s="210"/>
      <c r="AO588" s="210"/>
      <c r="AP588" s="210"/>
      <c r="AQ588" s="210"/>
      <c r="AR588" s="210"/>
      <c r="AS588" s="210"/>
    </row>
    <row r="589" spans="1:45" ht="13.5" customHeight="1">
      <c r="A589" s="219"/>
      <c r="B589" s="210"/>
      <c r="C589" s="210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  <c r="AB589" s="221"/>
      <c r="AC589" s="221"/>
      <c r="AD589" s="221"/>
      <c r="AE589" s="221"/>
      <c r="AF589" s="221"/>
      <c r="AG589" s="221"/>
      <c r="AH589" s="219"/>
      <c r="AI589" s="219"/>
      <c r="AJ589" s="210"/>
      <c r="AK589" s="210"/>
      <c r="AL589" s="210"/>
      <c r="AM589" s="210"/>
      <c r="AN589" s="210"/>
      <c r="AO589" s="210"/>
      <c r="AP589" s="210"/>
      <c r="AQ589" s="210"/>
      <c r="AR589" s="210"/>
      <c r="AS589" s="210"/>
    </row>
    <row r="590" spans="1:45" ht="13.5" customHeight="1">
      <c r="A590" s="219"/>
      <c r="B590" s="210"/>
      <c r="C590" s="210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  <c r="AB590" s="221"/>
      <c r="AC590" s="221"/>
      <c r="AD590" s="221"/>
      <c r="AE590" s="221"/>
      <c r="AF590" s="221"/>
      <c r="AG590" s="221"/>
      <c r="AH590" s="219"/>
      <c r="AI590" s="219"/>
      <c r="AJ590" s="210"/>
      <c r="AK590" s="210"/>
      <c r="AL590" s="210"/>
      <c r="AM590" s="210"/>
      <c r="AN590" s="210"/>
      <c r="AO590" s="210"/>
      <c r="AP590" s="210"/>
      <c r="AQ590" s="210"/>
      <c r="AR590" s="210"/>
      <c r="AS590" s="210"/>
    </row>
    <row r="591" spans="1:45" ht="13.5" customHeight="1">
      <c r="A591" s="219"/>
      <c r="B591" s="210"/>
      <c r="C591" s="210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  <c r="AB591" s="221"/>
      <c r="AC591" s="221"/>
      <c r="AD591" s="221"/>
      <c r="AE591" s="221"/>
      <c r="AF591" s="221"/>
      <c r="AG591" s="221"/>
      <c r="AH591" s="219"/>
      <c r="AI591" s="219"/>
      <c r="AJ591" s="210"/>
      <c r="AK591" s="210"/>
      <c r="AL591" s="210"/>
      <c r="AM591" s="210"/>
      <c r="AN591" s="210"/>
      <c r="AO591" s="210"/>
      <c r="AP591" s="210"/>
      <c r="AQ591" s="210"/>
      <c r="AR591" s="210"/>
      <c r="AS591" s="210"/>
    </row>
    <row r="592" spans="1:45" ht="13.5" customHeight="1">
      <c r="A592" s="219"/>
      <c r="B592" s="210"/>
      <c r="C592" s="210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  <c r="AB592" s="221"/>
      <c r="AC592" s="221"/>
      <c r="AD592" s="221"/>
      <c r="AE592" s="221"/>
      <c r="AF592" s="221"/>
      <c r="AG592" s="221"/>
      <c r="AH592" s="219"/>
      <c r="AI592" s="219"/>
      <c r="AJ592" s="210"/>
      <c r="AK592" s="210"/>
      <c r="AL592" s="210"/>
      <c r="AM592" s="210"/>
      <c r="AN592" s="210"/>
      <c r="AO592" s="210"/>
      <c r="AP592" s="210"/>
      <c r="AQ592" s="210"/>
      <c r="AR592" s="210"/>
      <c r="AS592" s="210"/>
    </row>
    <row r="593" spans="1:45" ht="13.5" customHeight="1">
      <c r="A593" s="219"/>
      <c r="B593" s="210"/>
      <c r="C593" s="210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  <c r="AB593" s="221"/>
      <c r="AC593" s="221"/>
      <c r="AD593" s="221"/>
      <c r="AE593" s="221"/>
      <c r="AF593" s="221"/>
      <c r="AG593" s="221"/>
      <c r="AH593" s="219"/>
      <c r="AI593" s="219"/>
      <c r="AJ593" s="210"/>
      <c r="AK593" s="210"/>
      <c r="AL593" s="210"/>
      <c r="AM593" s="210"/>
      <c r="AN593" s="210"/>
      <c r="AO593" s="210"/>
      <c r="AP593" s="210"/>
      <c r="AQ593" s="210"/>
      <c r="AR593" s="210"/>
      <c r="AS593" s="210"/>
    </row>
    <row r="594" spans="1:45" ht="13.5" customHeight="1">
      <c r="A594" s="219"/>
      <c r="B594" s="210"/>
      <c r="C594" s="210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  <c r="AB594" s="221"/>
      <c r="AC594" s="221"/>
      <c r="AD594" s="221"/>
      <c r="AE594" s="221"/>
      <c r="AF594" s="221"/>
      <c r="AG594" s="221"/>
      <c r="AH594" s="219"/>
      <c r="AI594" s="219"/>
      <c r="AJ594" s="210"/>
      <c r="AK594" s="210"/>
      <c r="AL594" s="210"/>
      <c r="AM594" s="210"/>
      <c r="AN594" s="210"/>
      <c r="AO594" s="210"/>
      <c r="AP594" s="210"/>
      <c r="AQ594" s="210"/>
      <c r="AR594" s="210"/>
      <c r="AS594" s="210"/>
    </row>
    <row r="595" spans="1:45" ht="13.5" customHeight="1">
      <c r="A595" s="219"/>
      <c r="B595" s="210"/>
      <c r="C595" s="210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  <c r="AB595" s="221"/>
      <c r="AC595" s="221"/>
      <c r="AD595" s="221"/>
      <c r="AE595" s="221"/>
      <c r="AF595" s="221"/>
      <c r="AG595" s="221"/>
      <c r="AH595" s="219"/>
      <c r="AI595" s="219"/>
      <c r="AJ595" s="210"/>
      <c r="AK595" s="210"/>
      <c r="AL595" s="210"/>
      <c r="AM595" s="210"/>
      <c r="AN595" s="210"/>
      <c r="AO595" s="210"/>
      <c r="AP595" s="210"/>
      <c r="AQ595" s="210"/>
      <c r="AR595" s="210"/>
      <c r="AS595" s="210"/>
    </row>
    <row r="596" spans="1:45" ht="13.5" customHeight="1">
      <c r="A596" s="219"/>
      <c r="B596" s="210"/>
      <c r="C596" s="210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  <c r="AB596" s="221"/>
      <c r="AC596" s="221"/>
      <c r="AD596" s="221"/>
      <c r="AE596" s="221"/>
      <c r="AF596" s="221"/>
      <c r="AG596" s="221"/>
      <c r="AH596" s="219"/>
      <c r="AI596" s="219"/>
      <c r="AJ596" s="210"/>
      <c r="AK596" s="210"/>
      <c r="AL596" s="210"/>
      <c r="AM596" s="210"/>
      <c r="AN596" s="210"/>
      <c r="AO596" s="210"/>
      <c r="AP596" s="210"/>
      <c r="AQ596" s="210"/>
      <c r="AR596" s="210"/>
      <c r="AS596" s="210"/>
    </row>
    <row r="597" spans="1:45" ht="13.5" customHeight="1">
      <c r="A597" s="219"/>
      <c r="B597" s="210"/>
      <c r="C597" s="210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  <c r="AB597" s="221"/>
      <c r="AC597" s="221"/>
      <c r="AD597" s="221"/>
      <c r="AE597" s="221"/>
      <c r="AF597" s="221"/>
      <c r="AG597" s="221"/>
      <c r="AH597" s="219"/>
      <c r="AI597" s="219"/>
      <c r="AJ597" s="210"/>
      <c r="AK597" s="210"/>
      <c r="AL597" s="210"/>
      <c r="AM597" s="210"/>
      <c r="AN597" s="210"/>
      <c r="AO597" s="210"/>
      <c r="AP597" s="210"/>
      <c r="AQ597" s="210"/>
      <c r="AR597" s="210"/>
      <c r="AS597" s="210"/>
    </row>
    <row r="598" spans="1:45" ht="13.5" customHeight="1">
      <c r="A598" s="219"/>
      <c r="B598" s="210"/>
      <c r="C598" s="210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  <c r="AB598" s="221"/>
      <c r="AC598" s="221"/>
      <c r="AD598" s="221"/>
      <c r="AE598" s="221"/>
      <c r="AF598" s="221"/>
      <c r="AG598" s="221"/>
      <c r="AH598" s="219"/>
      <c r="AI598" s="219"/>
      <c r="AJ598" s="210"/>
      <c r="AK598" s="210"/>
      <c r="AL598" s="210"/>
      <c r="AM598" s="210"/>
      <c r="AN598" s="210"/>
      <c r="AO598" s="210"/>
      <c r="AP598" s="210"/>
      <c r="AQ598" s="210"/>
      <c r="AR598" s="210"/>
      <c r="AS598" s="210"/>
    </row>
    <row r="599" spans="1:45" ht="13.5" customHeight="1">
      <c r="A599" s="219"/>
      <c r="B599" s="210"/>
      <c r="C599" s="210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  <c r="AB599" s="221"/>
      <c r="AC599" s="221"/>
      <c r="AD599" s="221"/>
      <c r="AE599" s="221"/>
      <c r="AF599" s="221"/>
      <c r="AG599" s="221"/>
      <c r="AH599" s="219"/>
      <c r="AI599" s="219"/>
      <c r="AJ599" s="210"/>
      <c r="AK599" s="210"/>
      <c r="AL599" s="210"/>
      <c r="AM599" s="210"/>
      <c r="AN599" s="210"/>
      <c r="AO599" s="210"/>
      <c r="AP599" s="210"/>
      <c r="AQ599" s="210"/>
      <c r="AR599" s="210"/>
      <c r="AS599" s="210"/>
    </row>
    <row r="600" spans="1:45" ht="13.5" customHeight="1">
      <c r="A600" s="219"/>
      <c r="B600" s="210"/>
      <c r="C600" s="210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  <c r="AB600" s="221"/>
      <c r="AC600" s="221"/>
      <c r="AD600" s="221"/>
      <c r="AE600" s="221"/>
      <c r="AF600" s="221"/>
      <c r="AG600" s="221"/>
      <c r="AH600" s="219"/>
      <c r="AI600" s="219"/>
      <c r="AJ600" s="210"/>
      <c r="AK600" s="210"/>
      <c r="AL600" s="210"/>
      <c r="AM600" s="210"/>
      <c r="AN600" s="210"/>
      <c r="AO600" s="210"/>
      <c r="AP600" s="210"/>
      <c r="AQ600" s="210"/>
      <c r="AR600" s="210"/>
      <c r="AS600" s="210"/>
    </row>
    <row r="601" spans="1:45" ht="13.5" customHeight="1">
      <c r="A601" s="219"/>
      <c r="B601" s="210"/>
      <c r="C601" s="210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  <c r="AB601" s="221"/>
      <c r="AC601" s="221"/>
      <c r="AD601" s="221"/>
      <c r="AE601" s="221"/>
      <c r="AF601" s="221"/>
      <c r="AG601" s="221"/>
      <c r="AH601" s="219"/>
      <c r="AI601" s="219"/>
      <c r="AJ601" s="210"/>
      <c r="AK601" s="210"/>
      <c r="AL601" s="210"/>
      <c r="AM601" s="210"/>
      <c r="AN601" s="210"/>
      <c r="AO601" s="210"/>
      <c r="AP601" s="210"/>
      <c r="AQ601" s="210"/>
      <c r="AR601" s="210"/>
      <c r="AS601" s="210"/>
    </row>
    <row r="602" spans="1:45" ht="13.5" customHeight="1">
      <c r="A602" s="219"/>
      <c r="B602" s="210"/>
      <c r="C602" s="210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  <c r="AB602" s="221"/>
      <c r="AC602" s="221"/>
      <c r="AD602" s="221"/>
      <c r="AE602" s="221"/>
      <c r="AF602" s="221"/>
      <c r="AG602" s="221"/>
      <c r="AH602" s="219"/>
      <c r="AI602" s="219"/>
      <c r="AJ602" s="210"/>
      <c r="AK602" s="210"/>
      <c r="AL602" s="210"/>
      <c r="AM602" s="210"/>
      <c r="AN602" s="210"/>
      <c r="AO602" s="210"/>
      <c r="AP602" s="210"/>
      <c r="AQ602" s="210"/>
      <c r="AR602" s="210"/>
      <c r="AS602" s="210"/>
    </row>
    <row r="603" spans="1:45" ht="13.5" customHeight="1">
      <c r="A603" s="219"/>
      <c r="B603" s="210"/>
      <c r="C603" s="210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  <c r="AB603" s="221"/>
      <c r="AC603" s="221"/>
      <c r="AD603" s="221"/>
      <c r="AE603" s="221"/>
      <c r="AF603" s="221"/>
      <c r="AG603" s="221"/>
      <c r="AH603" s="219"/>
      <c r="AI603" s="219"/>
      <c r="AJ603" s="210"/>
      <c r="AK603" s="210"/>
      <c r="AL603" s="210"/>
      <c r="AM603" s="210"/>
      <c r="AN603" s="210"/>
      <c r="AO603" s="210"/>
      <c r="AP603" s="210"/>
      <c r="AQ603" s="210"/>
      <c r="AR603" s="210"/>
      <c r="AS603" s="210"/>
    </row>
    <row r="604" spans="1:45" ht="13.5" customHeight="1">
      <c r="A604" s="219"/>
      <c r="B604" s="210"/>
      <c r="C604" s="210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  <c r="AB604" s="221"/>
      <c r="AC604" s="221"/>
      <c r="AD604" s="221"/>
      <c r="AE604" s="221"/>
      <c r="AF604" s="221"/>
      <c r="AG604" s="221"/>
      <c r="AH604" s="219"/>
      <c r="AI604" s="219"/>
      <c r="AJ604" s="210"/>
      <c r="AK604" s="210"/>
      <c r="AL604" s="210"/>
      <c r="AM604" s="210"/>
      <c r="AN604" s="210"/>
      <c r="AO604" s="210"/>
      <c r="AP604" s="210"/>
      <c r="AQ604" s="210"/>
      <c r="AR604" s="210"/>
      <c r="AS604" s="210"/>
    </row>
    <row r="605" spans="1:45" ht="13.5" customHeight="1">
      <c r="A605" s="219"/>
      <c r="B605" s="210"/>
      <c r="C605" s="210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  <c r="AB605" s="221"/>
      <c r="AC605" s="221"/>
      <c r="AD605" s="221"/>
      <c r="AE605" s="221"/>
      <c r="AF605" s="221"/>
      <c r="AG605" s="221"/>
      <c r="AH605" s="219"/>
      <c r="AI605" s="219"/>
      <c r="AJ605" s="210"/>
      <c r="AK605" s="210"/>
      <c r="AL605" s="210"/>
      <c r="AM605" s="210"/>
      <c r="AN605" s="210"/>
      <c r="AO605" s="210"/>
      <c r="AP605" s="210"/>
      <c r="AQ605" s="210"/>
      <c r="AR605" s="210"/>
      <c r="AS605" s="210"/>
    </row>
    <row r="606" spans="1:45" ht="13.5" customHeight="1">
      <c r="A606" s="219"/>
      <c r="B606" s="210"/>
      <c r="C606" s="210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  <c r="AB606" s="221"/>
      <c r="AC606" s="221"/>
      <c r="AD606" s="221"/>
      <c r="AE606" s="221"/>
      <c r="AF606" s="221"/>
      <c r="AG606" s="221"/>
      <c r="AH606" s="219"/>
      <c r="AI606" s="219"/>
      <c r="AJ606" s="210"/>
      <c r="AK606" s="210"/>
      <c r="AL606" s="210"/>
      <c r="AM606" s="210"/>
      <c r="AN606" s="210"/>
      <c r="AO606" s="210"/>
      <c r="AP606" s="210"/>
      <c r="AQ606" s="210"/>
      <c r="AR606" s="210"/>
      <c r="AS606" s="210"/>
    </row>
    <row r="607" spans="1:45" ht="13.5" customHeight="1">
      <c r="A607" s="219"/>
      <c r="B607" s="210"/>
      <c r="C607" s="210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  <c r="AB607" s="221"/>
      <c r="AC607" s="221"/>
      <c r="AD607" s="221"/>
      <c r="AE607" s="221"/>
      <c r="AF607" s="221"/>
      <c r="AG607" s="221"/>
      <c r="AH607" s="219"/>
      <c r="AI607" s="219"/>
      <c r="AJ607" s="210"/>
      <c r="AK607" s="210"/>
      <c r="AL607" s="210"/>
      <c r="AM607" s="210"/>
      <c r="AN607" s="210"/>
      <c r="AO607" s="210"/>
      <c r="AP607" s="210"/>
      <c r="AQ607" s="210"/>
      <c r="AR607" s="210"/>
      <c r="AS607" s="210"/>
    </row>
    <row r="608" spans="1:45" ht="13.5" customHeight="1">
      <c r="A608" s="219"/>
      <c r="B608" s="210"/>
      <c r="C608" s="210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  <c r="AB608" s="221"/>
      <c r="AC608" s="221"/>
      <c r="AD608" s="221"/>
      <c r="AE608" s="221"/>
      <c r="AF608" s="221"/>
      <c r="AG608" s="221"/>
      <c r="AH608" s="219"/>
      <c r="AI608" s="219"/>
      <c r="AJ608" s="210"/>
      <c r="AK608" s="210"/>
      <c r="AL608" s="210"/>
      <c r="AM608" s="210"/>
      <c r="AN608" s="210"/>
      <c r="AO608" s="210"/>
      <c r="AP608" s="210"/>
      <c r="AQ608" s="210"/>
      <c r="AR608" s="210"/>
      <c r="AS608" s="210"/>
    </row>
    <row r="609" spans="1:45" ht="13.5" customHeight="1">
      <c r="A609" s="219"/>
      <c r="B609" s="210"/>
      <c r="C609" s="210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  <c r="AB609" s="221"/>
      <c r="AC609" s="221"/>
      <c r="AD609" s="221"/>
      <c r="AE609" s="221"/>
      <c r="AF609" s="221"/>
      <c r="AG609" s="221"/>
      <c r="AH609" s="219"/>
      <c r="AI609" s="219"/>
      <c r="AJ609" s="210"/>
      <c r="AK609" s="210"/>
      <c r="AL609" s="210"/>
      <c r="AM609" s="210"/>
      <c r="AN609" s="210"/>
      <c r="AO609" s="210"/>
      <c r="AP609" s="210"/>
      <c r="AQ609" s="210"/>
      <c r="AR609" s="210"/>
      <c r="AS609" s="210"/>
    </row>
    <row r="610" spans="1:45" ht="13.5" customHeight="1">
      <c r="A610" s="219"/>
      <c r="B610" s="210"/>
      <c r="C610" s="210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  <c r="AB610" s="221"/>
      <c r="AC610" s="221"/>
      <c r="AD610" s="221"/>
      <c r="AE610" s="221"/>
      <c r="AF610" s="221"/>
      <c r="AG610" s="221"/>
      <c r="AH610" s="219"/>
      <c r="AI610" s="219"/>
      <c r="AJ610" s="210"/>
      <c r="AK610" s="210"/>
      <c r="AL610" s="210"/>
      <c r="AM610" s="210"/>
      <c r="AN610" s="210"/>
      <c r="AO610" s="210"/>
      <c r="AP610" s="210"/>
      <c r="AQ610" s="210"/>
      <c r="AR610" s="210"/>
      <c r="AS610" s="210"/>
    </row>
    <row r="611" spans="1:45" ht="13.5" customHeight="1">
      <c r="A611" s="219"/>
      <c r="B611" s="210"/>
      <c r="C611" s="210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  <c r="AB611" s="221"/>
      <c r="AC611" s="221"/>
      <c r="AD611" s="221"/>
      <c r="AE611" s="221"/>
      <c r="AF611" s="221"/>
      <c r="AG611" s="221"/>
      <c r="AH611" s="219"/>
      <c r="AI611" s="219"/>
      <c r="AJ611" s="210"/>
      <c r="AK611" s="210"/>
      <c r="AL611" s="210"/>
      <c r="AM611" s="210"/>
      <c r="AN611" s="210"/>
      <c r="AO611" s="210"/>
      <c r="AP611" s="210"/>
      <c r="AQ611" s="210"/>
      <c r="AR611" s="210"/>
      <c r="AS611" s="210"/>
    </row>
    <row r="612" spans="1:45" ht="13.5" customHeight="1">
      <c r="A612" s="219"/>
      <c r="B612" s="210"/>
      <c r="C612" s="210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  <c r="AB612" s="221"/>
      <c r="AC612" s="221"/>
      <c r="AD612" s="221"/>
      <c r="AE612" s="221"/>
      <c r="AF612" s="221"/>
      <c r="AG612" s="221"/>
      <c r="AH612" s="219"/>
      <c r="AI612" s="219"/>
      <c r="AJ612" s="210"/>
      <c r="AK612" s="210"/>
      <c r="AL612" s="210"/>
      <c r="AM612" s="210"/>
      <c r="AN612" s="210"/>
      <c r="AO612" s="210"/>
      <c r="AP612" s="210"/>
      <c r="AQ612" s="210"/>
      <c r="AR612" s="210"/>
      <c r="AS612" s="210"/>
    </row>
    <row r="613" spans="1:45" ht="13.5" customHeight="1">
      <c r="A613" s="219"/>
      <c r="B613" s="210"/>
      <c r="C613" s="210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  <c r="AB613" s="221"/>
      <c r="AC613" s="221"/>
      <c r="AD613" s="221"/>
      <c r="AE613" s="221"/>
      <c r="AF613" s="221"/>
      <c r="AG613" s="221"/>
      <c r="AH613" s="219"/>
      <c r="AI613" s="219"/>
      <c r="AJ613" s="210"/>
      <c r="AK613" s="210"/>
      <c r="AL613" s="210"/>
      <c r="AM613" s="210"/>
      <c r="AN613" s="210"/>
      <c r="AO613" s="210"/>
      <c r="AP613" s="210"/>
      <c r="AQ613" s="210"/>
      <c r="AR613" s="210"/>
      <c r="AS613" s="210"/>
    </row>
    <row r="614" spans="1:45" ht="13.5" customHeight="1">
      <c r="A614" s="219"/>
      <c r="B614" s="210"/>
      <c r="C614" s="210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  <c r="AB614" s="221"/>
      <c r="AC614" s="221"/>
      <c r="AD614" s="221"/>
      <c r="AE614" s="221"/>
      <c r="AF614" s="221"/>
      <c r="AG614" s="221"/>
      <c r="AH614" s="219"/>
      <c r="AI614" s="219"/>
      <c r="AJ614" s="210"/>
      <c r="AK614" s="210"/>
      <c r="AL614" s="210"/>
      <c r="AM614" s="210"/>
      <c r="AN614" s="210"/>
      <c r="AO614" s="210"/>
      <c r="AP614" s="210"/>
      <c r="AQ614" s="210"/>
      <c r="AR614" s="210"/>
      <c r="AS614" s="210"/>
    </row>
    <row r="615" spans="1:45" ht="13.5" customHeight="1">
      <c r="A615" s="219"/>
      <c r="B615" s="210"/>
      <c r="C615" s="210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  <c r="AB615" s="221"/>
      <c r="AC615" s="221"/>
      <c r="AD615" s="221"/>
      <c r="AE615" s="221"/>
      <c r="AF615" s="221"/>
      <c r="AG615" s="221"/>
      <c r="AH615" s="219"/>
      <c r="AI615" s="219"/>
      <c r="AJ615" s="210"/>
      <c r="AK615" s="210"/>
      <c r="AL615" s="210"/>
      <c r="AM615" s="210"/>
      <c r="AN615" s="210"/>
      <c r="AO615" s="210"/>
      <c r="AP615" s="210"/>
      <c r="AQ615" s="210"/>
      <c r="AR615" s="210"/>
      <c r="AS615" s="210"/>
    </row>
    <row r="616" spans="1:45" ht="13.5" customHeight="1">
      <c r="A616" s="219"/>
      <c r="B616" s="210"/>
      <c r="C616" s="210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  <c r="AB616" s="221"/>
      <c r="AC616" s="221"/>
      <c r="AD616" s="221"/>
      <c r="AE616" s="221"/>
      <c r="AF616" s="221"/>
      <c r="AG616" s="221"/>
      <c r="AH616" s="219"/>
      <c r="AI616" s="219"/>
      <c r="AJ616" s="210"/>
      <c r="AK616" s="210"/>
      <c r="AL616" s="210"/>
      <c r="AM616" s="210"/>
      <c r="AN616" s="210"/>
      <c r="AO616" s="210"/>
      <c r="AP616" s="210"/>
      <c r="AQ616" s="210"/>
      <c r="AR616" s="210"/>
      <c r="AS616" s="210"/>
    </row>
    <row r="617" spans="1:45" ht="13.5" customHeight="1">
      <c r="A617" s="219"/>
      <c r="B617" s="210"/>
      <c r="C617" s="210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  <c r="AB617" s="221"/>
      <c r="AC617" s="221"/>
      <c r="AD617" s="221"/>
      <c r="AE617" s="221"/>
      <c r="AF617" s="221"/>
      <c r="AG617" s="221"/>
      <c r="AH617" s="219"/>
      <c r="AI617" s="219"/>
      <c r="AJ617" s="210"/>
      <c r="AK617" s="210"/>
      <c r="AL617" s="210"/>
      <c r="AM617" s="210"/>
      <c r="AN617" s="210"/>
      <c r="AO617" s="210"/>
      <c r="AP617" s="210"/>
      <c r="AQ617" s="210"/>
      <c r="AR617" s="210"/>
      <c r="AS617" s="210"/>
    </row>
    <row r="618" spans="1:45" ht="13.5" customHeight="1">
      <c r="A618" s="219"/>
      <c r="B618" s="210"/>
      <c r="C618" s="210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  <c r="AB618" s="221"/>
      <c r="AC618" s="221"/>
      <c r="AD618" s="221"/>
      <c r="AE618" s="221"/>
      <c r="AF618" s="221"/>
      <c r="AG618" s="221"/>
      <c r="AH618" s="219"/>
      <c r="AI618" s="219"/>
      <c r="AJ618" s="210"/>
      <c r="AK618" s="210"/>
      <c r="AL618" s="210"/>
      <c r="AM618" s="210"/>
      <c r="AN618" s="210"/>
      <c r="AO618" s="210"/>
      <c r="AP618" s="210"/>
      <c r="AQ618" s="210"/>
      <c r="AR618" s="210"/>
      <c r="AS618" s="210"/>
    </row>
    <row r="619" spans="1:45" ht="13.5" customHeight="1">
      <c r="A619" s="219"/>
      <c r="B619" s="210"/>
      <c r="C619" s="210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  <c r="AB619" s="221"/>
      <c r="AC619" s="221"/>
      <c r="AD619" s="221"/>
      <c r="AE619" s="221"/>
      <c r="AF619" s="221"/>
      <c r="AG619" s="221"/>
      <c r="AH619" s="219"/>
      <c r="AI619" s="219"/>
      <c r="AJ619" s="210"/>
      <c r="AK619" s="210"/>
      <c r="AL619" s="210"/>
      <c r="AM619" s="210"/>
      <c r="AN619" s="210"/>
      <c r="AO619" s="210"/>
      <c r="AP619" s="210"/>
      <c r="AQ619" s="210"/>
      <c r="AR619" s="210"/>
      <c r="AS619" s="210"/>
    </row>
    <row r="620" spans="1:45" ht="13.5" customHeight="1">
      <c r="A620" s="219"/>
      <c r="B620" s="210"/>
      <c r="C620" s="210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  <c r="AB620" s="221"/>
      <c r="AC620" s="221"/>
      <c r="AD620" s="221"/>
      <c r="AE620" s="221"/>
      <c r="AF620" s="221"/>
      <c r="AG620" s="221"/>
      <c r="AH620" s="219"/>
      <c r="AI620" s="219"/>
      <c r="AJ620" s="210"/>
      <c r="AK620" s="210"/>
      <c r="AL620" s="210"/>
      <c r="AM620" s="210"/>
      <c r="AN620" s="210"/>
      <c r="AO620" s="210"/>
      <c r="AP620" s="210"/>
      <c r="AQ620" s="210"/>
      <c r="AR620" s="210"/>
      <c r="AS620" s="210"/>
    </row>
    <row r="621" spans="1:45" ht="13.5" customHeight="1">
      <c r="A621" s="219"/>
      <c r="B621" s="210"/>
      <c r="C621" s="210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  <c r="AB621" s="221"/>
      <c r="AC621" s="221"/>
      <c r="AD621" s="221"/>
      <c r="AE621" s="221"/>
      <c r="AF621" s="221"/>
      <c r="AG621" s="221"/>
      <c r="AH621" s="219"/>
      <c r="AI621" s="219"/>
      <c r="AJ621" s="210"/>
      <c r="AK621" s="210"/>
      <c r="AL621" s="210"/>
      <c r="AM621" s="210"/>
      <c r="AN621" s="210"/>
      <c r="AO621" s="210"/>
      <c r="AP621" s="210"/>
      <c r="AQ621" s="210"/>
      <c r="AR621" s="210"/>
      <c r="AS621" s="210"/>
    </row>
    <row r="622" spans="1:45" ht="13.5" customHeight="1">
      <c r="A622" s="219"/>
      <c r="B622" s="210"/>
      <c r="C622" s="210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  <c r="AB622" s="221"/>
      <c r="AC622" s="221"/>
      <c r="AD622" s="221"/>
      <c r="AE622" s="221"/>
      <c r="AF622" s="221"/>
      <c r="AG622" s="221"/>
      <c r="AH622" s="219"/>
      <c r="AI622" s="219"/>
      <c r="AJ622" s="210"/>
      <c r="AK622" s="210"/>
      <c r="AL622" s="210"/>
      <c r="AM622" s="210"/>
      <c r="AN622" s="210"/>
      <c r="AO622" s="210"/>
      <c r="AP622" s="210"/>
      <c r="AQ622" s="210"/>
      <c r="AR622" s="210"/>
      <c r="AS622" s="210"/>
    </row>
    <row r="623" spans="1:45" ht="13.5" customHeight="1">
      <c r="A623" s="219"/>
      <c r="B623" s="210"/>
      <c r="C623" s="210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  <c r="AB623" s="221"/>
      <c r="AC623" s="221"/>
      <c r="AD623" s="221"/>
      <c r="AE623" s="221"/>
      <c r="AF623" s="221"/>
      <c r="AG623" s="221"/>
      <c r="AH623" s="219"/>
      <c r="AI623" s="219"/>
      <c r="AJ623" s="210"/>
      <c r="AK623" s="210"/>
      <c r="AL623" s="210"/>
      <c r="AM623" s="210"/>
      <c r="AN623" s="210"/>
      <c r="AO623" s="210"/>
      <c r="AP623" s="210"/>
      <c r="AQ623" s="210"/>
      <c r="AR623" s="210"/>
      <c r="AS623" s="210"/>
    </row>
    <row r="624" spans="1:45" ht="13.5" customHeight="1">
      <c r="A624" s="219"/>
      <c r="B624" s="210"/>
      <c r="C624" s="210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  <c r="AB624" s="221"/>
      <c r="AC624" s="221"/>
      <c r="AD624" s="221"/>
      <c r="AE624" s="221"/>
      <c r="AF624" s="221"/>
      <c r="AG624" s="221"/>
      <c r="AH624" s="219"/>
      <c r="AI624" s="219"/>
      <c r="AJ624" s="210"/>
      <c r="AK624" s="210"/>
      <c r="AL624" s="210"/>
      <c r="AM624" s="210"/>
      <c r="AN624" s="210"/>
      <c r="AO624" s="210"/>
      <c r="AP624" s="210"/>
      <c r="AQ624" s="210"/>
      <c r="AR624" s="210"/>
      <c r="AS624" s="210"/>
    </row>
    <row r="625" spans="1:45" ht="13.5" customHeight="1">
      <c r="A625" s="219"/>
      <c r="B625" s="210"/>
      <c r="C625" s="210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  <c r="AB625" s="221"/>
      <c r="AC625" s="221"/>
      <c r="AD625" s="221"/>
      <c r="AE625" s="221"/>
      <c r="AF625" s="221"/>
      <c r="AG625" s="221"/>
      <c r="AH625" s="219"/>
      <c r="AI625" s="219"/>
      <c r="AJ625" s="210"/>
      <c r="AK625" s="210"/>
      <c r="AL625" s="210"/>
      <c r="AM625" s="210"/>
      <c r="AN625" s="210"/>
      <c r="AO625" s="210"/>
      <c r="AP625" s="210"/>
      <c r="AQ625" s="210"/>
      <c r="AR625" s="210"/>
      <c r="AS625" s="210"/>
    </row>
    <row r="626" spans="1:45" ht="13.5" customHeight="1">
      <c r="A626" s="219"/>
      <c r="B626" s="210"/>
      <c r="C626" s="210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  <c r="AB626" s="221"/>
      <c r="AC626" s="221"/>
      <c r="AD626" s="221"/>
      <c r="AE626" s="221"/>
      <c r="AF626" s="221"/>
      <c r="AG626" s="221"/>
      <c r="AH626" s="219"/>
      <c r="AI626" s="219"/>
      <c r="AJ626" s="210"/>
      <c r="AK626" s="210"/>
      <c r="AL626" s="210"/>
      <c r="AM626" s="210"/>
      <c r="AN626" s="210"/>
      <c r="AO626" s="210"/>
      <c r="AP626" s="210"/>
      <c r="AQ626" s="210"/>
      <c r="AR626" s="210"/>
      <c r="AS626" s="210"/>
    </row>
    <row r="627" spans="1:45" ht="13.5" customHeight="1">
      <c r="A627" s="219"/>
      <c r="B627" s="210"/>
      <c r="C627" s="210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  <c r="AB627" s="221"/>
      <c r="AC627" s="221"/>
      <c r="AD627" s="221"/>
      <c r="AE627" s="221"/>
      <c r="AF627" s="221"/>
      <c r="AG627" s="221"/>
      <c r="AH627" s="219"/>
      <c r="AI627" s="219"/>
      <c r="AJ627" s="210"/>
      <c r="AK627" s="210"/>
      <c r="AL627" s="210"/>
      <c r="AM627" s="210"/>
      <c r="AN627" s="210"/>
      <c r="AO627" s="210"/>
      <c r="AP627" s="210"/>
      <c r="AQ627" s="210"/>
      <c r="AR627" s="210"/>
      <c r="AS627" s="210"/>
    </row>
    <row r="628" spans="1:45" ht="13.5" customHeight="1">
      <c r="A628" s="219"/>
      <c r="B628" s="210"/>
      <c r="C628" s="210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  <c r="AB628" s="221"/>
      <c r="AC628" s="221"/>
      <c r="AD628" s="221"/>
      <c r="AE628" s="221"/>
      <c r="AF628" s="221"/>
      <c r="AG628" s="221"/>
      <c r="AH628" s="219"/>
      <c r="AI628" s="219"/>
      <c r="AJ628" s="210"/>
      <c r="AK628" s="210"/>
      <c r="AL628" s="210"/>
      <c r="AM628" s="210"/>
      <c r="AN628" s="210"/>
      <c r="AO628" s="210"/>
      <c r="AP628" s="210"/>
      <c r="AQ628" s="210"/>
      <c r="AR628" s="210"/>
      <c r="AS628" s="210"/>
    </row>
    <row r="629" spans="1:45" ht="13.5" customHeight="1">
      <c r="A629" s="219"/>
      <c r="B629" s="210"/>
      <c r="C629" s="210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  <c r="AB629" s="221"/>
      <c r="AC629" s="221"/>
      <c r="AD629" s="221"/>
      <c r="AE629" s="221"/>
      <c r="AF629" s="221"/>
      <c r="AG629" s="221"/>
      <c r="AH629" s="219"/>
      <c r="AI629" s="219"/>
      <c r="AJ629" s="210"/>
      <c r="AK629" s="210"/>
      <c r="AL629" s="210"/>
      <c r="AM629" s="210"/>
      <c r="AN629" s="210"/>
      <c r="AO629" s="210"/>
      <c r="AP629" s="210"/>
      <c r="AQ629" s="210"/>
      <c r="AR629" s="210"/>
      <c r="AS629" s="210"/>
    </row>
    <row r="630" spans="1:45" ht="13.5" customHeight="1">
      <c r="A630" s="219"/>
      <c r="B630" s="210"/>
      <c r="C630" s="210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  <c r="AB630" s="221"/>
      <c r="AC630" s="221"/>
      <c r="AD630" s="221"/>
      <c r="AE630" s="221"/>
      <c r="AF630" s="221"/>
      <c r="AG630" s="221"/>
      <c r="AH630" s="219"/>
      <c r="AI630" s="219"/>
      <c r="AJ630" s="210"/>
      <c r="AK630" s="210"/>
      <c r="AL630" s="210"/>
      <c r="AM630" s="210"/>
      <c r="AN630" s="210"/>
      <c r="AO630" s="210"/>
      <c r="AP630" s="210"/>
      <c r="AQ630" s="210"/>
      <c r="AR630" s="210"/>
      <c r="AS630" s="210"/>
    </row>
    <row r="631" spans="1:45" ht="13.5" customHeight="1">
      <c r="A631" s="219"/>
      <c r="B631" s="210"/>
      <c r="C631" s="210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  <c r="AB631" s="221"/>
      <c r="AC631" s="221"/>
      <c r="AD631" s="221"/>
      <c r="AE631" s="221"/>
      <c r="AF631" s="221"/>
      <c r="AG631" s="221"/>
      <c r="AH631" s="219"/>
      <c r="AI631" s="219"/>
      <c r="AJ631" s="210"/>
      <c r="AK631" s="210"/>
      <c r="AL631" s="210"/>
      <c r="AM631" s="210"/>
      <c r="AN631" s="210"/>
      <c r="AO631" s="210"/>
      <c r="AP631" s="210"/>
      <c r="AQ631" s="210"/>
      <c r="AR631" s="210"/>
      <c r="AS631" s="210"/>
    </row>
    <row r="632" spans="1:45" ht="13.5" customHeight="1">
      <c r="A632" s="219"/>
      <c r="B632" s="210"/>
      <c r="C632" s="210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  <c r="AB632" s="221"/>
      <c r="AC632" s="221"/>
      <c r="AD632" s="221"/>
      <c r="AE632" s="221"/>
      <c r="AF632" s="221"/>
      <c r="AG632" s="221"/>
      <c r="AH632" s="219"/>
      <c r="AI632" s="219"/>
      <c r="AJ632" s="210"/>
      <c r="AK632" s="210"/>
      <c r="AL632" s="210"/>
      <c r="AM632" s="210"/>
      <c r="AN632" s="210"/>
      <c r="AO632" s="210"/>
      <c r="AP632" s="210"/>
      <c r="AQ632" s="210"/>
      <c r="AR632" s="210"/>
      <c r="AS632" s="210"/>
    </row>
    <row r="633" spans="1:45" ht="13.5" customHeight="1">
      <c r="A633" s="219"/>
      <c r="B633" s="210"/>
      <c r="C633" s="210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  <c r="AB633" s="221"/>
      <c r="AC633" s="221"/>
      <c r="AD633" s="221"/>
      <c r="AE633" s="221"/>
      <c r="AF633" s="221"/>
      <c r="AG633" s="221"/>
      <c r="AH633" s="219"/>
      <c r="AI633" s="219"/>
      <c r="AJ633" s="210"/>
      <c r="AK633" s="210"/>
      <c r="AL633" s="210"/>
      <c r="AM633" s="210"/>
      <c r="AN633" s="210"/>
      <c r="AO633" s="210"/>
      <c r="AP633" s="210"/>
      <c r="AQ633" s="210"/>
      <c r="AR633" s="210"/>
      <c r="AS633" s="210"/>
    </row>
    <row r="634" spans="1:45" ht="13.5" customHeight="1">
      <c r="A634" s="219"/>
      <c r="B634" s="210"/>
      <c r="C634" s="210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  <c r="AB634" s="221"/>
      <c r="AC634" s="221"/>
      <c r="AD634" s="221"/>
      <c r="AE634" s="221"/>
      <c r="AF634" s="221"/>
      <c r="AG634" s="221"/>
      <c r="AH634" s="219"/>
      <c r="AI634" s="219"/>
      <c r="AJ634" s="210"/>
      <c r="AK634" s="210"/>
      <c r="AL634" s="210"/>
      <c r="AM634" s="210"/>
      <c r="AN634" s="210"/>
      <c r="AO634" s="210"/>
      <c r="AP634" s="210"/>
      <c r="AQ634" s="210"/>
      <c r="AR634" s="210"/>
      <c r="AS634" s="210"/>
    </row>
    <row r="635" spans="1:45" ht="13.5" customHeight="1">
      <c r="A635" s="219"/>
      <c r="B635" s="210"/>
      <c r="C635" s="210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  <c r="AB635" s="221"/>
      <c r="AC635" s="221"/>
      <c r="AD635" s="221"/>
      <c r="AE635" s="221"/>
      <c r="AF635" s="221"/>
      <c r="AG635" s="221"/>
      <c r="AH635" s="219"/>
      <c r="AI635" s="219"/>
      <c r="AJ635" s="210"/>
      <c r="AK635" s="210"/>
      <c r="AL635" s="210"/>
      <c r="AM635" s="210"/>
      <c r="AN635" s="210"/>
      <c r="AO635" s="210"/>
      <c r="AP635" s="210"/>
      <c r="AQ635" s="210"/>
      <c r="AR635" s="210"/>
      <c r="AS635" s="210"/>
    </row>
    <row r="636" spans="1:45" ht="13.5" customHeight="1">
      <c r="A636" s="219"/>
      <c r="B636" s="210"/>
      <c r="C636" s="210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  <c r="AB636" s="221"/>
      <c r="AC636" s="221"/>
      <c r="AD636" s="221"/>
      <c r="AE636" s="221"/>
      <c r="AF636" s="221"/>
      <c r="AG636" s="221"/>
      <c r="AH636" s="219"/>
      <c r="AI636" s="219"/>
      <c r="AJ636" s="210"/>
      <c r="AK636" s="210"/>
      <c r="AL636" s="210"/>
      <c r="AM636" s="210"/>
      <c r="AN636" s="210"/>
      <c r="AO636" s="210"/>
      <c r="AP636" s="210"/>
      <c r="AQ636" s="210"/>
      <c r="AR636" s="210"/>
      <c r="AS636" s="210"/>
    </row>
    <row r="637" spans="1:45" ht="13.5" customHeight="1">
      <c r="A637" s="219"/>
      <c r="B637" s="210"/>
      <c r="C637" s="210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  <c r="AB637" s="221"/>
      <c r="AC637" s="221"/>
      <c r="AD637" s="221"/>
      <c r="AE637" s="221"/>
      <c r="AF637" s="221"/>
      <c r="AG637" s="221"/>
      <c r="AH637" s="219"/>
      <c r="AI637" s="219"/>
      <c r="AJ637" s="210"/>
      <c r="AK637" s="210"/>
      <c r="AL637" s="210"/>
      <c r="AM637" s="210"/>
      <c r="AN637" s="210"/>
      <c r="AO637" s="210"/>
      <c r="AP637" s="210"/>
      <c r="AQ637" s="210"/>
      <c r="AR637" s="210"/>
      <c r="AS637" s="210"/>
    </row>
    <row r="638" spans="1:45" ht="13.5" customHeight="1">
      <c r="A638" s="219"/>
      <c r="B638" s="210"/>
      <c r="C638" s="210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  <c r="AB638" s="221"/>
      <c r="AC638" s="221"/>
      <c r="AD638" s="221"/>
      <c r="AE638" s="221"/>
      <c r="AF638" s="221"/>
      <c r="AG638" s="221"/>
      <c r="AH638" s="219"/>
      <c r="AI638" s="219"/>
      <c r="AJ638" s="210"/>
      <c r="AK638" s="210"/>
      <c r="AL638" s="210"/>
      <c r="AM638" s="210"/>
      <c r="AN638" s="210"/>
      <c r="AO638" s="210"/>
      <c r="AP638" s="210"/>
      <c r="AQ638" s="210"/>
      <c r="AR638" s="210"/>
      <c r="AS638" s="210"/>
    </row>
    <row r="639" spans="1:45" ht="13.5" customHeight="1">
      <c r="A639" s="219"/>
      <c r="B639" s="210"/>
      <c r="C639" s="210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  <c r="AB639" s="221"/>
      <c r="AC639" s="221"/>
      <c r="AD639" s="221"/>
      <c r="AE639" s="221"/>
      <c r="AF639" s="221"/>
      <c r="AG639" s="221"/>
      <c r="AH639" s="219"/>
      <c r="AI639" s="219"/>
      <c r="AJ639" s="210"/>
      <c r="AK639" s="210"/>
      <c r="AL639" s="210"/>
      <c r="AM639" s="210"/>
      <c r="AN639" s="210"/>
      <c r="AO639" s="210"/>
      <c r="AP639" s="210"/>
      <c r="AQ639" s="210"/>
      <c r="AR639" s="210"/>
      <c r="AS639" s="210"/>
    </row>
    <row r="640" spans="1:45" ht="13.5" customHeight="1">
      <c r="A640" s="219"/>
      <c r="B640" s="210"/>
      <c r="C640" s="210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  <c r="AB640" s="221"/>
      <c r="AC640" s="221"/>
      <c r="AD640" s="221"/>
      <c r="AE640" s="221"/>
      <c r="AF640" s="221"/>
      <c r="AG640" s="221"/>
      <c r="AH640" s="219"/>
      <c r="AI640" s="219"/>
      <c r="AJ640" s="210"/>
      <c r="AK640" s="210"/>
      <c r="AL640" s="210"/>
      <c r="AM640" s="210"/>
      <c r="AN640" s="210"/>
      <c r="AO640" s="210"/>
      <c r="AP640" s="210"/>
      <c r="AQ640" s="210"/>
      <c r="AR640" s="210"/>
      <c r="AS640" s="210"/>
    </row>
    <row r="641" spans="1:45" ht="13.5" customHeight="1">
      <c r="A641" s="219"/>
      <c r="B641" s="210"/>
      <c r="C641" s="210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  <c r="AB641" s="221"/>
      <c r="AC641" s="221"/>
      <c r="AD641" s="221"/>
      <c r="AE641" s="221"/>
      <c r="AF641" s="221"/>
      <c r="AG641" s="221"/>
      <c r="AH641" s="219"/>
      <c r="AI641" s="219"/>
      <c r="AJ641" s="210"/>
      <c r="AK641" s="210"/>
      <c r="AL641" s="210"/>
      <c r="AM641" s="210"/>
      <c r="AN641" s="210"/>
      <c r="AO641" s="210"/>
      <c r="AP641" s="210"/>
      <c r="AQ641" s="210"/>
      <c r="AR641" s="210"/>
      <c r="AS641" s="210"/>
    </row>
    <row r="642" spans="1:45" ht="13.5" customHeight="1">
      <c r="A642" s="219"/>
      <c r="B642" s="210"/>
      <c r="C642" s="210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  <c r="AB642" s="221"/>
      <c r="AC642" s="221"/>
      <c r="AD642" s="221"/>
      <c r="AE642" s="221"/>
      <c r="AF642" s="221"/>
      <c r="AG642" s="221"/>
      <c r="AH642" s="219"/>
      <c r="AI642" s="219"/>
      <c r="AJ642" s="210"/>
      <c r="AK642" s="210"/>
      <c r="AL642" s="210"/>
      <c r="AM642" s="210"/>
      <c r="AN642" s="210"/>
      <c r="AO642" s="210"/>
      <c r="AP642" s="210"/>
      <c r="AQ642" s="210"/>
      <c r="AR642" s="210"/>
      <c r="AS642" s="210"/>
    </row>
    <row r="643" spans="1:45" ht="13.5" customHeight="1">
      <c r="A643" s="219"/>
      <c r="B643" s="210"/>
      <c r="C643" s="210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  <c r="AB643" s="221"/>
      <c r="AC643" s="221"/>
      <c r="AD643" s="221"/>
      <c r="AE643" s="221"/>
      <c r="AF643" s="221"/>
      <c r="AG643" s="221"/>
      <c r="AH643" s="219"/>
      <c r="AI643" s="219"/>
      <c r="AJ643" s="210"/>
      <c r="AK643" s="210"/>
      <c r="AL643" s="210"/>
      <c r="AM643" s="210"/>
      <c r="AN643" s="210"/>
      <c r="AO643" s="210"/>
      <c r="AP643" s="210"/>
      <c r="AQ643" s="210"/>
      <c r="AR643" s="210"/>
      <c r="AS643" s="210"/>
    </row>
    <row r="644" spans="1:45" ht="13.5" customHeight="1">
      <c r="A644" s="219"/>
      <c r="B644" s="210"/>
      <c r="C644" s="210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  <c r="AB644" s="221"/>
      <c r="AC644" s="221"/>
      <c r="AD644" s="221"/>
      <c r="AE644" s="221"/>
      <c r="AF644" s="221"/>
      <c r="AG644" s="221"/>
      <c r="AH644" s="219"/>
      <c r="AI644" s="219"/>
      <c r="AJ644" s="210"/>
      <c r="AK644" s="210"/>
      <c r="AL644" s="210"/>
      <c r="AM644" s="210"/>
      <c r="AN644" s="210"/>
      <c r="AO644" s="210"/>
      <c r="AP644" s="210"/>
      <c r="AQ644" s="210"/>
      <c r="AR644" s="210"/>
      <c r="AS644" s="210"/>
    </row>
    <row r="645" spans="1:45" ht="13.5" customHeight="1">
      <c r="A645" s="219"/>
      <c r="B645" s="210"/>
      <c r="C645" s="210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  <c r="AB645" s="221"/>
      <c r="AC645" s="221"/>
      <c r="AD645" s="221"/>
      <c r="AE645" s="221"/>
      <c r="AF645" s="221"/>
      <c r="AG645" s="221"/>
      <c r="AH645" s="219"/>
      <c r="AI645" s="219"/>
      <c r="AJ645" s="210"/>
      <c r="AK645" s="210"/>
      <c r="AL645" s="210"/>
      <c r="AM645" s="210"/>
      <c r="AN645" s="210"/>
      <c r="AO645" s="210"/>
      <c r="AP645" s="210"/>
      <c r="AQ645" s="210"/>
      <c r="AR645" s="210"/>
      <c r="AS645" s="210"/>
    </row>
    <row r="646" spans="1:45" ht="13.5" customHeight="1">
      <c r="A646" s="219"/>
      <c r="B646" s="210"/>
      <c r="C646" s="210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  <c r="AB646" s="221"/>
      <c r="AC646" s="221"/>
      <c r="AD646" s="221"/>
      <c r="AE646" s="221"/>
      <c r="AF646" s="221"/>
      <c r="AG646" s="221"/>
      <c r="AH646" s="219"/>
      <c r="AI646" s="219"/>
      <c r="AJ646" s="210"/>
      <c r="AK646" s="210"/>
      <c r="AL646" s="210"/>
      <c r="AM646" s="210"/>
      <c r="AN646" s="210"/>
      <c r="AO646" s="210"/>
      <c r="AP646" s="210"/>
      <c r="AQ646" s="210"/>
      <c r="AR646" s="210"/>
      <c r="AS646" s="210"/>
    </row>
    <row r="647" spans="1:45" ht="13.5" customHeight="1">
      <c r="A647" s="219"/>
      <c r="B647" s="210"/>
      <c r="C647" s="210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  <c r="AB647" s="221"/>
      <c r="AC647" s="221"/>
      <c r="AD647" s="221"/>
      <c r="AE647" s="221"/>
      <c r="AF647" s="221"/>
      <c r="AG647" s="221"/>
      <c r="AH647" s="219"/>
      <c r="AI647" s="219"/>
      <c r="AJ647" s="210"/>
      <c r="AK647" s="210"/>
      <c r="AL647" s="210"/>
      <c r="AM647" s="210"/>
      <c r="AN647" s="210"/>
      <c r="AO647" s="210"/>
      <c r="AP647" s="210"/>
      <c r="AQ647" s="210"/>
      <c r="AR647" s="210"/>
      <c r="AS647" s="210"/>
    </row>
    <row r="648" spans="1:45" ht="13.5" customHeight="1">
      <c r="A648" s="219"/>
      <c r="B648" s="210"/>
      <c r="C648" s="210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  <c r="AB648" s="221"/>
      <c r="AC648" s="221"/>
      <c r="AD648" s="221"/>
      <c r="AE648" s="221"/>
      <c r="AF648" s="221"/>
      <c r="AG648" s="221"/>
      <c r="AH648" s="219"/>
      <c r="AI648" s="219"/>
      <c r="AJ648" s="210"/>
      <c r="AK648" s="210"/>
      <c r="AL648" s="210"/>
      <c r="AM648" s="210"/>
      <c r="AN648" s="210"/>
      <c r="AO648" s="210"/>
      <c r="AP648" s="210"/>
      <c r="AQ648" s="210"/>
      <c r="AR648" s="210"/>
      <c r="AS648" s="210"/>
    </row>
    <row r="649" spans="1:45" ht="13.5" customHeight="1">
      <c r="A649" s="219"/>
      <c r="B649" s="210"/>
      <c r="C649" s="210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  <c r="AB649" s="221"/>
      <c r="AC649" s="221"/>
      <c r="AD649" s="221"/>
      <c r="AE649" s="221"/>
      <c r="AF649" s="221"/>
      <c r="AG649" s="221"/>
      <c r="AH649" s="219"/>
      <c r="AI649" s="219"/>
      <c r="AJ649" s="210"/>
      <c r="AK649" s="210"/>
      <c r="AL649" s="210"/>
      <c r="AM649" s="210"/>
      <c r="AN649" s="210"/>
      <c r="AO649" s="210"/>
      <c r="AP649" s="210"/>
      <c r="AQ649" s="210"/>
      <c r="AR649" s="210"/>
      <c r="AS649" s="210"/>
    </row>
    <row r="650" spans="1:45" ht="13.5" customHeight="1">
      <c r="A650" s="219"/>
      <c r="B650" s="210"/>
      <c r="C650" s="210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  <c r="AB650" s="221"/>
      <c r="AC650" s="221"/>
      <c r="AD650" s="221"/>
      <c r="AE650" s="221"/>
      <c r="AF650" s="221"/>
      <c r="AG650" s="221"/>
      <c r="AH650" s="219"/>
      <c r="AI650" s="219"/>
      <c r="AJ650" s="210"/>
      <c r="AK650" s="210"/>
      <c r="AL650" s="210"/>
      <c r="AM650" s="210"/>
      <c r="AN650" s="210"/>
      <c r="AO650" s="210"/>
      <c r="AP650" s="210"/>
      <c r="AQ650" s="210"/>
      <c r="AR650" s="210"/>
      <c r="AS650" s="210"/>
    </row>
    <row r="651" spans="1:45" ht="13.5" customHeight="1">
      <c r="A651" s="219"/>
      <c r="B651" s="210"/>
      <c r="C651" s="210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  <c r="AB651" s="221"/>
      <c r="AC651" s="221"/>
      <c r="AD651" s="221"/>
      <c r="AE651" s="221"/>
      <c r="AF651" s="221"/>
      <c r="AG651" s="221"/>
      <c r="AH651" s="219"/>
      <c r="AI651" s="219"/>
      <c r="AJ651" s="210"/>
      <c r="AK651" s="210"/>
      <c r="AL651" s="210"/>
      <c r="AM651" s="210"/>
      <c r="AN651" s="210"/>
      <c r="AO651" s="210"/>
      <c r="AP651" s="210"/>
      <c r="AQ651" s="210"/>
      <c r="AR651" s="210"/>
      <c r="AS651" s="210"/>
    </row>
    <row r="652" spans="1:45" ht="13.5" customHeight="1">
      <c r="A652" s="219"/>
      <c r="B652" s="210"/>
      <c r="C652" s="210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  <c r="AB652" s="221"/>
      <c r="AC652" s="221"/>
      <c r="AD652" s="221"/>
      <c r="AE652" s="221"/>
      <c r="AF652" s="221"/>
      <c r="AG652" s="221"/>
      <c r="AH652" s="219"/>
      <c r="AI652" s="219"/>
      <c r="AJ652" s="210"/>
      <c r="AK652" s="210"/>
      <c r="AL652" s="210"/>
      <c r="AM652" s="210"/>
      <c r="AN652" s="210"/>
      <c r="AO652" s="210"/>
      <c r="AP652" s="210"/>
      <c r="AQ652" s="210"/>
      <c r="AR652" s="210"/>
      <c r="AS652" s="210"/>
    </row>
    <row r="653" spans="1:45" ht="13.5" customHeight="1">
      <c r="A653" s="219"/>
      <c r="B653" s="210"/>
      <c r="C653" s="210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  <c r="AB653" s="221"/>
      <c r="AC653" s="221"/>
      <c r="AD653" s="221"/>
      <c r="AE653" s="221"/>
      <c r="AF653" s="221"/>
      <c r="AG653" s="221"/>
      <c r="AH653" s="219"/>
      <c r="AI653" s="219"/>
      <c r="AJ653" s="210"/>
      <c r="AK653" s="210"/>
      <c r="AL653" s="210"/>
      <c r="AM653" s="210"/>
      <c r="AN653" s="210"/>
      <c r="AO653" s="210"/>
      <c r="AP653" s="210"/>
      <c r="AQ653" s="210"/>
      <c r="AR653" s="210"/>
      <c r="AS653" s="210"/>
    </row>
    <row r="654" spans="1:45" ht="13.5" customHeight="1">
      <c r="A654" s="219"/>
      <c r="B654" s="210"/>
      <c r="C654" s="210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  <c r="AB654" s="221"/>
      <c r="AC654" s="221"/>
      <c r="AD654" s="221"/>
      <c r="AE654" s="221"/>
      <c r="AF654" s="221"/>
      <c r="AG654" s="221"/>
      <c r="AH654" s="219"/>
      <c r="AI654" s="219"/>
      <c r="AJ654" s="210"/>
      <c r="AK654" s="210"/>
      <c r="AL654" s="210"/>
      <c r="AM654" s="210"/>
      <c r="AN654" s="210"/>
      <c r="AO654" s="210"/>
      <c r="AP654" s="210"/>
      <c r="AQ654" s="210"/>
      <c r="AR654" s="210"/>
      <c r="AS654" s="210"/>
    </row>
    <row r="655" spans="1:45" ht="13.5" customHeight="1">
      <c r="A655" s="219"/>
      <c r="B655" s="210"/>
      <c r="C655" s="210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  <c r="AB655" s="221"/>
      <c r="AC655" s="221"/>
      <c r="AD655" s="221"/>
      <c r="AE655" s="221"/>
      <c r="AF655" s="221"/>
      <c r="AG655" s="221"/>
      <c r="AH655" s="219"/>
      <c r="AI655" s="219"/>
      <c r="AJ655" s="210"/>
      <c r="AK655" s="210"/>
      <c r="AL655" s="210"/>
      <c r="AM655" s="210"/>
      <c r="AN655" s="210"/>
      <c r="AO655" s="210"/>
      <c r="AP655" s="210"/>
      <c r="AQ655" s="210"/>
      <c r="AR655" s="210"/>
      <c r="AS655" s="210"/>
    </row>
    <row r="656" spans="1:45" ht="13.5" customHeight="1">
      <c r="A656" s="219"/>
      <c r="B656" s="210"/>
      <c r="C656" s="210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  <c r="AB656" s="221"/>
      <c r="AC656" s="221"/>
      <c r="AD656" s="221"/>
      <c r="AE656" s="221"/>
      <c r="AF656" s="221"/>
      <c r="AG656" s="221"/>
      <c r="AH656" s="219"/>
      <c r="AI656" s="219"/>
      <c r="AJ656" s="210"/>
      <c r="AK656" s="210"/>
      <c r="AL656" s="210"/>
      <c r="AM656" s="210"/>
      <c r="AN656" s="210"/>
      <c r="AO656" s="210"/>
      <c r="AP656" s="210"/>
      <c r="AQ656" s="210"/>
      <c r="AR656" s="210"/>
      <c r="AS656" s="210"/>
    </row>
    <row r="657" spans="1:45" ht="13.5" customHeight="1">
      <c r="A657" s="219"/>
      <c r="B657" s="210"/>
      <c r="C657" s="210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  <c r="AB657" s="221"/>
      <c r="AC657" s="221"/>
      <c r="AD657" s="221"/>
      <c r="AE657" s="221"/>
      <c r="AF657" s="221"/>
      <c r="AG657" s="221"/>
      <c r="AH657" s="219"/>
      <c r="AI657" s="219"/>
      <c r="AJ657" s="210"/>
      <c r="AK657" s="210"/>
      <c r="AL657" s="210"/>
      <c r="AM657" s="210"/>
      <c r="AN657" s="210"/>
      <c r="AO657" s="210"/>
      <c r="AP657" s="210"/>
      <c r="AQ657" s="210"/>
      <c r="AR657" s="210"/>
      <c r="AS657" s="210"/>
    </row>
    <row r="658" spans="1:45" ht="13.5" customHeight="1">
      <c r="A658" s="219"/>
      <c r="B658" s="210"/>
      <c r="C658" s="210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  <c r="AB658" s="221"/>
      <c r="AC658" s="221"/>
      <c r="AD658" s="221"/>
      <c r="AE658" s="221"/>
      <c r="AF658" s="221"/>
      <c r="AG658" s="221"/>
      <c r="AH658" s="219"/>
      <c r="AI658" s="219"/>
      <c r="AJ658" s="210"/>
      <c r="AK658" s="210"/>
      <c r="AL658" s="210"/>
      <c r="AM658" s="210"/>
      <c r="AN658" s="210"/>
      <c r="AO658" s="210"/>
      <c r="AP658" s="210"/>
      <c r="AQ658" s="210"/>
      <c r="AR658" s="210"/>
      <c r="AS658" s="210"/>
    </row>
    <row r="659" spans="1:45" ht="13.5" customHeight="1">
      <c r="A659" s="219"/>
      <c r="B659" s="210"/>
      <c r="C659" s="210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  <c r="AB659" s="221"/>
      <c r="AC659" s="221"/>
      <c r="AD659" s="221"/>
      <c r="AE659" s="221"/>
      <c r="AF659" s="221"/>
      <c r="AG659" s="221"/>
      <c r="AH659" s="219"/>
      <c r="AI659" s="219"/>
      <c r="AJ659" s="210"/>
      <c r="AK659" s="210"/>
      <c r="AL659" s="210"/>
      <c r="AM659" s="210"/>
      <c r="AN659" s="210"/>
      <c r="AO659" s="210"/>
      <c r="AP659" s="210"/>
      <c r="AQ659" s="210"/>
      <c r="AR659" s="210"/>
      <c r="AS659" s="210"/>
    </row>
    <row r="660" spans="1:45" ht="13.5" customHeight="1">
      <c r="A660" s="219"/>
      <c r="B660" s="210"/>
      <c r="C660" s="210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  <c r="AB660" s="221"/>
      <c r="AC660" s="221"/>
      <c r="AD660" s="221"/>
      <c r="AE660" s="221"/>
      <c r="AF660" s="221"/>
      <c r="AG660" s="221"/>
      <c r="AH660" s="219"/>
      <c r="AI660" s="219"/>
      <c r="AJ660" s="210"/>
      <c r="AK660" s="210"/>
      <c r="AL660" s="210"/>
      <c r="AM660" s="210"/>
      <c r="AN660" s="210"/>
      <c r="AO660" s="210"/>
      <c r="AP660" s="210"/>
      <c r="AQ660" s="210"/>
      <c r="AR660" s="210"/>
      <c r="AS660" s="210"/>
    </row>
    <row r="661" spans="1:45" ht="13.5" customHeight="1">
      <c r="A661" s="219"/>
      <c r="B661" s="210"/>
      <c r="C661" s="210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  <c r="AB661" s="221"/>
      <c r="AC661" s="221"/>
      <c r="AD661" s="221"/>
      <c r="AE661" s="221"/>
      <c r="AF661" s="221"/>
      <c r="AG661" s="221"/>
      <c r="AH661" s="219"/>
      <c r="AI661" s="219"/>
      <c r="AJ661" s="210"/>
      <c r="AK661" s="210"/>
      <c r="AL661" s="210"/>
      <c r="AM661" s="210"/>
      <c r="AN661" s="210"/>
      <c r="AO661" s="210"/>
      <c r="AP661" s="210"/>
      <c r="AQ661" s="210"/>
      <c r="AR661" s="210"/>
      <c r="AS661" s="210"/>
    </row>
    <row r="662" spans="1:45" ht="13.5" customHeight="1">
      <c r="A662" s="219"/>
      <c r="B662" s="210"/>
      <c r="C662" s="210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  <c r="AB662" s="221"/>
      <c r="AC662" s="221"/>
      <c r="AD662" s="221"/>
      <c r="AE662" s="221"/>
      <c r="AF662" s="221"/>
      <c r="AG662" s="221"/>
      <c r="AH662" s="219"/>
      <c r="AI662" s="219"/>
      <c r="AJ662" s="210"/>
      <c r="AK662" s="210"/>
      <c r="AL662" s="210"/>
      <c r="AM662" s="210"/>
      <c r="AN662" s="210"/>
      <c r="AO662" s="210"/>
      <c r="AP662" s="210"/>
      <c r="AQ662" s="210"/>
      <c r="AR662" s="210"/>
      <c r="AS662" s="210"/>
    </row>
    <row r="663" spans="1:45" ht="13.5" customHeight="1">
      <c r="A663" s="219"/>
      <c r="B663" s="210"/>
      <c r="C663" s="210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  <c r="AB663" s="221"/>
      <c r="AC663" s="221"/>
      <c r="AD663" s="221"/>
      <c r="AE663" s="221"/>
      <c r="AF663" s="221"/>
      <c r="AG663" s="221"/>
      <c r="AH663" s="219"/>
      <c r="AI663" s="219"/>
      <c r="AJ663" s="210"/>
      <c r="AK663" s="210"/>
      <c r="AL663" s="210"/>
      <c r="AM663" s="210"/>
      <c r="AN663" s="210"/>
      <c r="AO663" s="210"/>
      <c r="AP663" s="210"/>
      <c r="AQ663" s="210"/>
      <c r="AR663" s="210"/>
      <c r="AS663" s="210"/>
    </row>
    <row r="664" spans="1:45" ht="13.5" customHeight="1">
      <c r="A664" s="219"/>
      <c r="B664" s="210"/>
      <c r="C664" s="210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  <c r="AB664" s="221"/>
      <c r="AC664" s="221"/>
      <c r="AD664" s="221"/>
      <c r="AE664" s="221"/>
      <c r="AF664" s="221"/>
      <c r="AG664" s="221"/>
      <c r="AH664" s="219"/>
      <c r="AI664" s="219"/>
      <c r="AJ664" s="210"/>
      <c r="AK664" s="210"/>
      <c r="AL664" s="210"/>
      <c r="AM664" s="210"/>
      <c r="AN664" s="210"/>
      <c r="AO664" s="210"/>
      <c r="AP664" s="210"/>
      <c r="AQ664" s="210"/>
      <c r="AR664" s="210"/>
      <c r="AS664" s="210"/>
    </row>
    <row r="665" spans="1:45" ht="13.5" customHeight="1">
      <c r="A665" s="219"/>
      <c r="B665" s="210"/>
      <c r="C665" s="210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  <c r="AB665" s="221"/>
      <c r="AC665" s="221"/>
      <c r="AD665" s="221"/>
      <c r="AE665" s="221"/>
      <c r="AF665" s="221"/>
      <c r="AG665" s="221"/>
      <c r="AH665" s="219"/>
      <c r="AI665" s="219"/>
      <c r="AJ665" s="210"/>
      <c r="AK665" s="210"/>
      <c r="AL665" s="210"/>
      <c r="AM665" s="210"/>
      <c r="AN665" s="210"/>
      <c r="AO665" s="210"/>
      <c r="AP665" s="210"/>
      <c r="AQ665" s="210"/>
      <c r="AR665" s="210"/>
      <c r="AS665" s="210"/>
    </row>
    <row r="666" spans="1:45" ht="13.5" customHeight="1">
      <c r="A666" s="219"/>
      <c r="B666" s="210"/>
      <c r="C666" s="210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  <c r="AB666" s="221"/>
      <c r="AC666" s="221"/>
      <c r="AD666" s="221"/>
      <c r="AE666" s="221"/>
      <c r="AF666" s="221"/>
      <c r="AG666" s="221"/>
      <c r="AH666" s="219"/>
      <c r="AI666" s="219"/>
      <c r="AJ666" s="210"/>
      <c r="AK666" s="210"/>
      <c r="AL666" s="210"/>
      <c r="AM666" s="210"/>
      <c r="AN666" s="210"/>
      <c r="AO666" s="210"/>
      <c r="AP666" s="210"/>
      <c r="AQ666" s="210"/>
      <c r="AR666" s="210"/>
      <c r="AS666" s="210"/>
    </row>
    <row r="667" spans="1:45" ht="13.5" customHeight="1">
      <c r="A667" s="219"/>
      <c r="B667" s="210"/>
      <c r="C667" s="210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  <c r="AB667" s="221"/>
      <c r="AC667" s="221"/>
      <c r="AD667" s="221"/>
      <c r="AE667" s="221"/>
      <c r="AF667" s="221"/>
      <c r="AG667" s="221"/>
      <c r="AH667" s="219"/>
      <c r="AI667" s="219"/>
      <c r="AJ667" s="210"/>
      <c r="AK667" s="210"/>
      <c r="AL667" s="210"/>
      <c r="AM667" s="210"/>
      <c r="AN667" s="210"/>
      <c r="AO667" s="210"/>
      <c r="AP667" s="210"/>
      <c r="AQ667" s="210"/>
      <c r="AR667" s="210"/>
      <c r="AS667" s="210"/>
    </row>
    <row r="668" spans="1:45" ht="13.5" customHeight="1">
      <c r="A668" s="219"/>
      <c r="B668" s="210"/>
      <c r="C668" s="210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  <c r="AB668" s="221"/>
      <c r="AC668" s="221"/>
      <c r="AD668" s="221"/>
      <c r="AE668" s="221"/>
      <c r="AF668" s="221"/>
      <c r="AG668" s="221"/>
      <c r="AH668" s="219"/>
      <c r="AI668" s="219"/>
      <c r="AJ668" s="210"/>
      <c r="AK668" s="210"/>
      <c r="AL668" s="210"/>
      <c r="AM668" s="210"/>
      <c r="AN668" s="210"/>
      <c r="AO668" s="210"/>
      <c r="AP668" s="210"/>
      <c r="AQ668" s="210"/>
      <c r="AR668" s="210"/>
      <c r="AS668" s="210"/>
    </row>
    <row r="669" spans="1:45" ht="13.5" customHeight="1">
      <c r="A669" s="219"/>
      <c r="B669" s="210"/>
      <c r="C669" s="210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  <c r="AB669" s="221"/>
      <c r="AC669" s="221"/>
      <c r="AD669" s="221"/>
      <c r="AE669" s="221"/>
      <c r="AF669" s="221"/>
      <c r="AG669" s="221"/>
      <c r="AH669" s="219"/>
      <c r="AI669" s="219"/>
      <c r="AJ669" s="210"/>
      <c r="AK669" s="210"/>
      <c r="AL669" s="210"/>
      <c r="AM669" s="210"/>
      <c r="AN669" s="210"/>
      <c r="AO669" s="210"/>
      <c r="AP669" s="210"/>
      <c r="AQ669" s="210"/>
      <c r="AR669" s="210"/>
      <c r="AS669" s="210"/>
    </row>
    <row r="670" spans="1:45" ht="13.5" customHeight="1">
      <c r="A670" s="219"/>
      <c r="B670" s="210"/>
      <c r="C670" s="210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  <c r="AB670" s="221"/>
      <c r="AC670" s="221"/>
      <c r="AD670" s="221"/>
      <c r="AE670" s="221"/>
      <c r="AF670" s="221"/>
      <c r="AG670" s="221"/>
      <c r="AH670" s="219"/>
      <c r="AI670" s="219"/>
      <c r="AJ670" s="210"/>
      <c r="AK670" s="210"/>
      <c r="AL670" s="210"/>
      <c r="AM670" s="210"/>
      <c r="AN670" s="210"/>
      <c r="AO670" s="210"/>
      <c r="AP670" s="210"/>
      <c r="AQ670" s="210"/>
      <c r="AR670" s="210"/>
      <c r="AS670" s="210"/>
    </row>
    <row r="671" spans="1:45" ht="13.5" customHeight="1">
      <c r="A671" s="219"/>
      <c r="B671" s="210"/>
      <c r="C671" s="210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  <c r="AB671" s="221"/>
      <c r="AC671" s="221"/>
      <c r="AD671" s="221"/>
      <c r="AE671" s="221"/>
      <c r="AF671" s="221"/>
      <c r="AG671" s="221"/>
      <c r="AH671" s="219"/>
      <c r="AI671" s="219"/>
      <c r="AJ671" s="210"/>
      <c r="AK671" s="210"/>
      <c r="AL671" s="210"/>
      <c r="AM671" s="210"/>
      <c r="AN671" s="210"/>
      <c r="AO671" s="210"/>
      <c r="AP671" s="210"/>
      <c r="AQ671" s="210"/>
      <c r="AR671" s="210"/>
      <c r="AS671" s="210"/>
    </row>
    <row r="672" spans="1:45" ht="13.5" customHeight="1">
      <c r="A672" s="219"/>
      <c r="B672" s="210"/>
      <c r="C672" s="210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  <c r="AB672" s="221"/>
      <c r="AC672" s="221"/>
      <c r="AD672" s="221"/>
      <c r="AE672" s="221"/>
      <c r="AF672" s="221"/>
      <c r="AG672" s="221"/>
      <c r="AH672" s="219"/>
      <c r="AI672" s="219"/>
      <c r="AJ672" s="210"/>
      <c r="AK672" s="210"/>
      <c r="AL672" s="210"/>
      <c r="AM672" s="210"/>
      <c r="AN672" s="210"/>
      <c r="AO672" s="210"/>
      <c r="AP672" s="210"/>
      <c r="AQ672" s="210"/>
      <c r="AR672" s="210"/>
      <c r="AS672" s="210"/>
    </row>
    <row r="673" spans="1:45" ht="13.5" customHeight="1">
      <c r="A673" s="219"/>
      <c r="B673" s="210"/>
      <c r="C673" s="210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  <c r="AB673" s="221"/>
      <c r="AC673" s="221"/>
      <c r="AD673" s="221"/>
      <c r="AE673" s="221"/>
      <c r="AF673" s="221"/>
      <c r="AG673" s="221"/>
      <c r="AH673" s="219"/>
      <c r="AI673" s="219"/>
      <c r="AJ673" s="210"/>
      <c r="AK673" s="210"/>
      <c r="AL673" s="210"/>
      <c r="AM673" s="210"/>
      <c r="AN673" s="210"/>
      <c r="AO673" s="210"/>
      <c r="AP673" s="210"/>
      <c r="AQ673" s="210"/>
      <c r="AR673" s="210"/>
      <c r="AS673" s="210"/>
    </row>
    <row r="674" spans="1:45" ht="13.5" customHeight="1">
      <c r="A674" s="219"/>
      <c r="B674" s="210"/>
      <c r="C674" s="210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  <c r="AB674" s="221"/>
      <c r="AC674" s="221"/>
      <c r="AD674" s="221"/>
      <c r="AE674" s="221"/>
      <c r="AF674" s="221"/>
      <c r="AG674" s="221"/>
      <c r="AH674" s="219"/>
      <c r="AI674" s="219"/>
      <c r="AJ674" s="210"/>
      <c r="AK674" s="210"/>
      <c r="AL674" s="210"/>
      <c r="AM674" s="210"/>
      <c r="AN674" s="210"/>
      <c r="AO674" s="210"/>
      <c r="AP674" s="210"/>
      <c r="AQ674" s="210"/>
      <c r="AR674" s="210"/>
      <c r="AS674" s="210"/>
    </row>
    <row r="675" spans="1:45" ht="13.5" customHeight="1">
      <c r="A675" s="219"/>
      <c r="B675" s="210"/>
      <c r="C675" s="210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  <c r="AB675" s="221"/>
      <c r="AC675" s="221"/>
      <c r="AD675" s="221"/>
      <c r="AE675" s="221"/>
      <c r="AF675" s="221"/>
      <c r="AG675" s="221"/>
      <c r="AH675" s="219"/>
      <c r="AI675" s="219"/>
      <c r="AJ675" s="210"/>
      <c r="AK675" s="210"/>
      <c r="AL675" s="210"/>
      <c r="AM675" s="210"/>
      <c r="AN675" s="210"/>
      <c r="AO675" s="210"/>
      <c r="AP675" s="210"/>
      <c r="AQ675" s="210"/>
      <c r="AR675" s="210"/>
      <c r="AS675" s="210"/>
    </row>
    <row r="676" spans="1:45" ht="13.5" customHeight="1">
      <c r="A676" s="219"/>
      <c r="B676" s="210"/>
      <c r="C676" s="210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  <c r="AB676" s="221"/>
      <c r="AC676" s="221"/>
      <c r="AD676" s="221"/>
      <c r="AE676" s="221"/>
      <c r="AF676" s="221"/>
      <c r="AG676" s="221"/>
      <c r="AH676" s="219"/>
      <c r="AI676" s="219"/>
      <c r="AJ676" s="210"/>
      <c r="AK676" s="210"/>
      <c r="AL676" s="210"/>
      <c r="AM676" s="210"/>
      <c r="AN676" s="210"/>
      <c r="AO676" s="210"/>
      <c r="AP676" s="210"/>
      <c r="AQ676" s="210"/>
      <c r="AR676" s="210"/>
      <c r="AS676" s="210"/>
    </row>
    <row r="677" spans="1:45" ht="13.5" customHeight="1">
      <c r="A677" s="219"/>
      <c r="B677" s="210"/>
      <c r="C677" s="210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  <c r="AB677" s="221"/>
      <c r="AC677" s="221"/>
      <c r="AD677" s="221"/>
      <c r="AE677" s="221"/>
      <c r="AF677" s="221"/>
      <c r="AG677" s="221"/>
      <c r="AH677" s="219"/>
      <c r="AI677" s="219"/>
      <c r="AJ677" s="210"/>
      <c r="AK677" s="210"/>
      <c r="AL677" s="210"/>
      <c r="AM677" s="210"/>
      <c r="AN677" s="210"/>
      <c r="AO677" s="210"/>
      <c r="AP677" s="210"/>
      <c r="AQ677" s="210"/>
      <c r="AR677" s="210"/>
      <c r="AS677" s="210"/>
    </row>
    <row r="678" spans="1:45" ht="13.5" customHeight="1">
      <c r="A678" s="219"/>
      <c r="B678" s="210"/>
      <c r="C678" s="210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  <c r="AB678" s="221"/>
      <c r="AC678" s="221"/>
      <c r="AD678" s="221"/>
      <c r="AE678" s="221"/>
      <c r="AF678" s="221"/>
      <c r="AG678" s="221"/>
      <c r="AH678" s="219"/>
      <c r="AI678" s="219"/>
      <c r="AJ678" s="210"/>
      <c r="AK678" s="210"/>
      <c r="AL678" s="210"/>
      <c r="AM678" s="210"/>
      <c r="AN678" s="210"/>
      <c r="AO678" s="210"/>
      <c r="AP678" s="210"/>
      <c r="AQ678" s="210"/>
      <c r="AR678" s="210"/>
      <c r="AS678" s="210"/>
    </row>
    <row r="679" spans="1:45" ht="13.5" customHeight="1">
      <c r="A679" s="219"/>
      <c r="B679" s="210"/>
      <c r="C679" s="210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  <c r="AB679" s="221"/>
      <c r="AC679" s="221"/>
      <c r="AD679" s="221"/>
      <c r="AE679" s="221"/>
      <c r="AF679" s="221"/>
      <c r="AG679" s="221"/>
      <c r="AH679" s="219"/>
      <c r="AI679" s="219"/>
      <c r="AJ679" s="210"/>
      <c r="AK679" s="210"/>
      <c r="AL679" s="210"/>
      <c r="AM679" s="210"/>
      <c r="AN679" s="210"/>
      <c r="AO679" s="210"/>
      <c r="AP679" s="210"/>
      <c r="AQ679" s="210"/>
      <c r="AR679" s="210"/>
      <c r="AS679" s="210"/>
    </row>
    <row r="680" spans="1:45" ht="13.5" customHeight="1">
      <c r="A680" s="219"/>
      <c r="B680" s="210"/>
      <c r="C680" s="210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  <c r="AB680" s="221"/>
      <c r="AC680" s="221"/>
      <c r="AD680" s="221"/>
      <c r="AE680" s="221"/>
      <c r="AF680" s="221"/>
      <c r="AG680" s="221"/>
      <c r="AH680" s="219"/>
      <c r="AI680" s="219"/>
      <c r="AJ680" s="210"/>
      <c r="AK680" s="210"/>
      <c r="AL680" s="210"/>
      <c r="AM680" s="210"/>
      <c r="AN680" s="210"/>
      <c r="AO680" s="210"/>
      <c r="AP680" s="210"/>
      <c r="AQ680" s="210"/>
      <c r="AR680" s="210"/>
      <c r="AS680" s="210"/>
    </row>
    <row r="681" spans="1:45" ht="13.5" customHeight="1">
      <c r="A681" s="219"/>
      <c r="B681" s="210"/>
      <c r="C681" s="210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  <c r="AB681" s="221"/>
      <c r="AC681" s="221"/>
      <c r="AD681" s="221"/>
      <c r="AE681" s="221"/>
      <c r="AF681" s="221"/>
      <c r="AG681" s="221"/>
      <c r="AH681" s="219"/>
      <c r="AI681" s="219"/>
      <c r="AJ681" s="210"/>
      <c r="AK681" s="210"/>
      <c r="AL681" s="210"/>
      <c r="AM681" s="210"/>
      <c r="AN681" s="210"/>
      <c r="AO681" s="210"/>
      <c r="AP681" s="210"/>
      <c r="AQ681" s="210"/>
      <c r="AR681" s="210"/>
      <c r="AS681" s="210"/>
    </row>
    <row r="682" spans="1:45" ht="13.5" customHeight="1">
      <c r="A682" s="219"/>
      <c r="B682" s="210"/>
      <c r="C682" s="210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  <c r="AB682" s="221"/>
      <c r="AC682" s="221"/>
      <c r="AD682" s="221"/>
      <c r="AE682" s="221"/>
      <c r="AF682" s="221"/>
      <c r="AG682" s="221"/>
      <c r="AH682" s="219"/>
      <c r="AI682" s="219"/>
      <c r="AJ682" s="210"/>
      <c r="AK682" s="210"/>
      <c r="AL682" s="210"/>
      <c r="AM682" s="210"/>
      <c r="AN682" s="210"/>
      <c r="AO682" s="210"/>
      <c r="AP682" s="210"/>
      <c r="AQ682" s="210"/>
      <c r="AR682" s="210"/>
      <c r="AS682" s="210"/>
    </row>
    <row r="683" spans="1:45" ht="13.5" customHeight="1">
      <c r="A683" s="219"/>
      <c r="B683" s="210"/>
      <c r="C683" s="210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  <c r="AB683" s="221"/>
      <c r="AC683" s="221"/>
      <c r="AD683" s="221"/>
      <c r="AE683" s="221"/>
      <c r="AF683" s="221"/>
      <c r="AG683" s="221"/>
      <c r="AH683" s="219"/>
      <c r="AI683" s="219"/>
      <c r="AJ683" s="210"/>
      <c r="AK683" s="210"/>
      <c r="AL683" s="210"/>
      <c r="AM683" s="210"/>
      <c r="AN683" s="210"/>
      <c r="AO683" s="210"/>
      <c r="AP683" s="210"/>
      <c r="AQ683" s="210"/>
      <c r="AR683" s="210"/>
      <c r="AS683" s="210"/>
    </row>
    <row r="684" spans="1:45" ht="13.5" customHeight="1">
      <c r="A684" s="219"/>
      <c r="B684" s="210"/>
      <c r="C684" s="210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  <c r="AB684" s="221"/>
      <c r="AC684" s="221"/>
      <c r="AD684" s="221"/>
      <c r="AE684" s="221"/>
      <c r="AF684" s="221"/>
      <c r="AG684" s="221"/>
      <c r="AH684" s="219"/>
      <c r="AI684" s="219"/>
      <c r="AJ684" s="210"/>
      <c r="AK684" s="210"/>
      <c r="AL684" s="210"/>
      <c r="AM684" s="210"/>
      <c r="AN684" s="210"/>
      <c r="AO684" s="210"/>
      <c r="AP684" s="210"/>
      <c r="AQ684" s="210"/>
      <c r="AR684" s="210"/>
      <c r="AS684" s="210"/>
    </row>
    <row r="685" spans="1:45" ht="13.5" customHeight="1">
      <c r="A685" s="219"/>
      <c r="B685" s="210"/>
      <c r="C685" s="210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  <c r="AB685" s="221"/>
      <c r="AC685" s="221"/>
      <c r="AD685" s="221"/>
      <c r="AE685" s="221"/>
      <c r="AF685" s="221"/>
      <c r="AG685" s="221"/>
      <c r="AH685" s="219"/>
      <c r="AI685" s="219"/>
      <c r="AJ685" s="210"/>
      <c r="AK685" s="210"/>
      <c r="AL685" s="210"/>
      <c r="AM685" s="210"/>
      <c r="AN685" s="210"/>
      <c r="AO685" s="210"/>
      <c r="AP685" s="210"/>
      <c r="AQ685" s="210"/>
      <c r="AR685" s="210"/>
      <c r="AS685" s="210"/>
    </row>
    <row r="686" spans="1:45" ht="13.5" customHeight="1">
      <c r="A686" s="219"/>
      <c r="B686" s="210"/>
      <c r="C686" s="210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  <c r="AB686" s="221"/>
      <c r="AC686" s="221"/>
      <c r="AD686" s="221"/>
      <c r="AE686" s="221"/>
      <c r="AF686" s="221"/>
      <c r="AG686" s="221"/>
      <c r="AH686" s="219"/>
      <c r="AI686" s="219"/>
      <c r="AJ686" s="210"/>
      <c r="AK686" s="210"/>
      <c r="AL686" s="210"/>
      <c r="AM686" s="210"/>
      <c r="AN686" s="210"/>
      <c r="AO686" s="210"/>
      <c r="AP686" s="210"/>
      <c r="AQ686" s="210"/>
      <c r="AR686" s="210"/>
      <c r="AS686" s="210"/>
    </row>
    <row r="687" spans="1:45" ht="13.5" customHeight="1">
      <c r="A687" s="219"/>
      <c r="B687" s="210"/>
      <c r="C687" s="210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  <c r="AB687" s="221"/>
      <c r="AC687" s="221"/>
      <c r="AD687" s="221"/>
      <c r="AE687" s="221"/>
      <c r="AF687" s="221"/>
      <c r="AG687" s="221"/>
      <c r="AH687" s="219"/>
      <c r="AI687" s="219"/>
      <c r="AJ687" s="210"/>
      <c r="AK687" s="210"/>
      <c r="AL687" s="210"/>
      <c r="AM687" s="210"/>
      <c r="AN687" s="210"/>
      <c r="AO687" s="210"/>
      <c r="AP687" s="210"/>
      <c r="AQ687" s="210"/>
      <c r="AR687" s="210"/>
      <c r="AS687" s="210"/>
    </row>
    <row r="688" spans="1:45" ht="13.5" customHeight="1">
      <c r="A688" s="219"/>
      <c r="B688" s="210"/>
      <c r="C688" s="210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  <c r="AB688" s="221"/>
      <c r="AC688" s="221"/>
      <c r="AD688" s="221"/>
      <c r="AE688" s="221"/>
      <c r="AF688" s="221"/>
      <c r="AG688" s="221"/>
      <c r="AH688" s="219"/>
      <c r="AI688" s="219"/>
      <c r="AJ688" s="210"/>
      <c r="AK688" s="210"/>
      <c r="AL688" s="210"/>
      <c r="AM688" s="210"/>
      <c r="AN688" s="210"/>
      <c r="AO688" s="210"/>
      <c r="AP688" s="210"/>
      <c r="AQ688" s="210"/>
      <c r="AR688" s="210"/>
      <c r="AS688" s="210"/>
    </row>
    <row r="689" spans="1:45" ht="13.5" customHeight="1">
      <c r="A689" s="219"/>
      <c r="B689" s="210"/>
      <c r="C689" s="210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  <c r="AB689" s="221"/>
      <c r="AC689" s="221"/>
      <c r="AD689" s="221"/>
      <c r="AE689" s="221"/>
      <c r="AF689" s="221"/>
      <c r="AG689" s="221"/>
      <c r="AH689" s="219"/>
      <c r="AI689" s="219"/>
      <c r="AJ689" s="210"/>
      <c r="AK689" s="210"/>
      <c r="AL689" s="210"/>
      <c r="AM689" s="210"/>
      <c r="AN689" s="210"/>
      <c r="AO689" s="210"/>
      <c r="AP689" s="210"/>
      <c r="AQ689" s="210"/>
      <c r="AR689" s="210"/>
      <c r="AS689" s="210"/>
    </row>
    <row r="690" spans="1:45" ht="13.5" customHeight="1">
      <c r="A690" s="219"/>
      <c r="B690" s="210"/>
      <c r="C690" s="210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  <c r="AB690" s="221"/>
      <c r="AC690" s="221"/>
      <c r="AD690" s="221"/>
      <c r="AE690" s="221"/>
      <c r="AF690" s="221"/>
      <c r="AG690" s="221"/>
      <c r="AH690" s="219"/>
      <c r="AI690" s="219"/>
      <c r="AJ690" s="210"/>
      <c r="AK690" s="210"/>
      <c r="AL690" s="210"/>
      <c r="AM690" s="210"/>
      <c r="AN690" s="210"/>
      <c r="AO690" s="210"/>
      <c r="AP690" s="210"/>
      <c r="AQ690" s="210"/>
      <c r="AR690" s="210"/>
      <c r="AS690" s="210"/>
    </row>
    <row r="691" spans="1:45" ht="13.5" customHeight="1">
      <c r="A691" s="219"/>
      <c r="B691" s="210"/>
      <c r="C691" s="210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  <c r="AB691" s="221"/>
      <c r="AC691" s="221"/>
      <c r="AD691" s="221"/>
      <c r="AE691" s="221"/>
      <c r="AF691" s="221"/>
      <c r="AG691" s="221"/>
      <c r="AH691" s="219"/>
      <c r="AI691" s="219"/>
      <c r="AJ691" s="210"/>
      <c r="AK691" s="210"/>
      <c r="AL691" s="210"/>
      <c r="AM691" s="210"/>
      <c r="AN691" s="210"/>
      <c r="AO691" s="210"/>
      <c r="AP691" s="210"/>
      <c r="AQ691" s="210"/>
      <c r="AR691" s="210"/>
      <c r="AS691" s="210"/>
    </row>
    <row r="692" spans="1:45" ht="13.5" customHeight="1">
      <c r="A692" s="219"/>
      <c r="B692" s="210"/>
      <c r="C692" s="210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  <c r="AB692" s="221"/>
      <c r="AC692" s="221"/>
      <c r="AD692" s="221"/>
      <c r="AE692" s="221"/>
      <c r="AF692" s="221"/>
      <c r="AG692" s="221"/>
      <c r="AH692" s="219"/>
      <c r="AI692" s="219"/>
      <c r="AJ692" s="210"/>
      <c r="AK692" s="210"/>
      <c r="AL692" s="210"/>
      <c r="AM692" s="210"/>
      <c r="AN692" s="210"/>
      <c r="AO692" s="210"/>
      <c r="AP692" s="210"/>
      <c r="AQ692" s="210"/>
      <c r="AR692" s="210"/>
      <c r="AS692" s="210"/>
    </row>
    <row r="693" spans="1:45" ht="13.5" customHeight="1">
      <c r="A693" s="219"/>
      <c r="B693" s="210"/>
      <c r="C693" s="210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  <c r="AB693" s="221"/>
      <c r="AC693" s="221"/>
      <c r="AD693" s="221"/>
      <c r="AE693" s="221"/>
      <c r="AF693" s="221"/>
      <c r="AG693" s="221"/>
      <c r="AH693" s="219"/>
      <c r="AI693" s="219"/>
      <c r="AJ693" s="210"/>
      <c r="AK693" s="210"/>
      <c r="AL693" s="210"/>
      <c r="AM693" s="210"/>
      <c r="AN693" s="210"/>
      <c r="AO693" s="210"/>
      <c r="AP693" s="210"/>
      <c r="AQ693" s="210"/>
      <c r="AR693" s="210"/>
      <c r="AS693" s="210"/>
    </row>
    <row r="694" spans="1:45" ht="13.5" customHeight="1">
      <c r="A694" s="219"/>
      <c r="B694" s="210"/>
      <c r="C694" s="210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  <c r="AB694" s="221"/>
      <c r="AC694" s="221"/>
      <c r="AD694" s="221"/>
      <c r="AE694" s="221"/>
      <c r="AF694" s="221"/>
      <c r="AG694" s="221"/>
      <c r="AH694" s="219"/>
      <c r="AI694" s="219"/>
      <c r="AJ694" s="210"/>
      <c r="AK694" s="210"/>
      <c r="AL694" s="210"/>
      <c r="AM694" s="210"/>
      <c r="AN694" s="210"/>
      <c r="AO694" s="210"/>
      <c r="AP694" s="210"/>
      <c r="AQ694" s="210"/>
      <c r="AR694" s="210"/>
      <c r="AS694" s="210"/>
    </row>
    <row r="695" spans="1:45" ht="13.5" customHeight="1">
      <c r="A695" s="219"/>
      <c r="B695" s="210"/>
      <c r="C695" s="210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  <c r="AB695" s="221"/>
      <c r="AC695" s="221"/>
      <c r="AD695" s="221"/>
      <c r="AE695" s="221"/>
      <c r="AF695" s="221"/>
      <c r="AG695" s="221"/>
      <c r="AH695" s="219"/>
      <c r="AI695" s="219"/>
      <c r="AJ695" s="210"/>
      <c r="AK695" s="210"/>
      <c r="AL695" s="210"/>
      <c r="AM695" s="210"/>
      <c r="AN695" s="210"/>
      <c r="AO695" s="210"/>
      <c r="AP695" s="210"/>
      <c r="AQ695" s="210"/>
      <c r="AR695" s="210"/>
      <c r="AS695" s="210"/>
    </row>
    <row r="696" spans="1:45" ht="13.5" customHeight="1">
      <c r="A696" s="219"/>
      <c r="B696" s="210"/>
      <c r="C696" s="210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  <c r="AB696" s="221"/>
      <c r="AC696" s="221"/>
      <c r="AD696" s="221"/>
      <c r="AE696" s="221"/>
      <c r="AF696" s="221"/>
      <c r="AG696" s="221"/>
      <c r="AH696" s="219"/>
      <c r="AI696" s="219"/>
      <c r="AJ696" s="210"/>
      <c r="AK696" s="210"/>
      <c r="AL696" s="210"/>
      <c r="AM696" s="210"/>
      <c r="AN696" s="210"/>
      <c r="AO696" s="210"/>
      <c r="AP696" s="210"/>
      <c r="AQ696" s="210"/>
      <c r="AR696" s="210"/>
      <c r="AS696" s="210"/>
    </row>
    <row r="697" spans="1:45" ht="13.5" customHeight="1">
      <c r="A697" s="219"/>
      <c r="B697" s="210"/>
      <c r="C697" s="210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  <c r="AB697" s="221"/>
      <c r="AC697" s="221"/>
      <c r="AD697" s="221"/>
      <c r="AE697" s="221"/>
      <c r="AF697" s="221"/>
      <c r="AG697" s="221"/>
      <c r="AH697" s="219"/>
      <c r="AI697" s="219"/>
      <c r="AJ697" s="210"/>
      <c r="AK697" s="210"/>
      <c r="AL697" s="210"/>
      <c r="AM697" s="210"/>
      <c r="AN697" s="210"/>
      <c r="AO697" s="210"/>
      <c r="AP697" s="210"/>
      <c r="AQ697" s="210"/>
      <c r="AR697" s="210"/>
      <c r="AS697" s="210"/>
    </row>
    <row r="698" spans="1:45" ht="13.5" customHeight="1">
      <c r="A698" s="219"/>
      <c r="B698" s="210"/>
      <c r="C698" s="210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  <c r="AB698" s="221"/>
      <c r="AC698" s="221"/>
      <c r="AD698" s="221"/>
      <c r="AE698" s="221"/>
      <c r="AF698" s="221"/>
      <c r="AG698" s="221"/>
      <c r="AH698" s="219"/>
      <c r="AI698" s="219"/>
      <c r="AJ698" s="210"/>
      <c r="AK698" s="210"/>
      <c r="AL698" s="210"/>
      <c r="AM698" s="210"/>
      <c r="AN698" s="210"/>
      <c r="AO698" s="210"/>
      <c r="AP698" s="210"/>
      <c r="AQ698" s="210"/>
      <c r="AR698" s="210"/>
      <c r="AS698" s="210"/>
    </row>
    <row r="699" spans="1:45" ht="13.5" customHeight="1">
      <c r="A699" s="219"/>
      <c r="B699" s="210"/>
      <c r="C699" s="210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  <c r="AB699" s="221"/>
      <c r="AC699" s="221"/>
      <c r="AD699" s="221"/>
      <c r="AE699" s="221"/>
      <c r="AF699" s="221"/>
      <c r="AG699" s="221"/>
      <c r="AH699" s="219"/>
      <c r="AI699" s="219"/>
      <c r="AJ699" s="210"/>
      <c r="AK699" s="210"/>
      <c r="AL699" s="210"/>
      <c r="AM699" s="210"/>
      <c r="AN699" s="210"/>
      <c r="AO699" s="210"/>
      <c r="AP699" s="210"/>
      <c r="AQ699" s="210"/>
      <c r="AR699" s="210"/>
      <c r="AS699" s="210"/>
    </row>
    <row r="700" spans="1:45" ht="13.5" customHeight="1">
      <c r="A700" s="219"/>
      <c r="B700" s="210"/>
      <c r="C700" s="210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  <c r="AB700" s="221"/>
      <c r="AC700" s="221"/>
      <c r="AD700" s="221"/>
      <c r="AE700" s="221"/>
      <c r="AF700" s="221"/>
      <c r="AG700" s="221"/>
      <c r="AH700" s="219"/>
      <c r="AI700" s="219"/>
      <c r="AJ700" s="210"/>
      <c r="AK700" s="210"/>
      <c r="AL700" s="210"/>
      <c r="AM700" s="210"/>
      <c r="AN700" s="210"/>
      <c r="AO700" s="210"/>
      <c r="AP700" s="210"/>
      <c r="AQ700" s="210"/>
      <c r="AR700" s="210"/>
      <c r="AS700" s="210"/>
    </row>
    <row r="701" spans="1:45" ht="13.5" customHeight="1">
      <c r="A701" s="219"/>
      <c r="B701" s="210"/>
      <c r="C701" s="210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  <c r="AB701" s="221"/>
      <c r="AC701" s="221"/>
      <c r="AD701" s="221"/>
      <c r="AE701" s="221"/>
      <c r="AF701" s="221"/>
      <c r="AG701" s="221"/>
      <c r="AH701" s="219"/>
      <c r="AI701" s="219"/>
      <c r="AJ701" s="210"/>
      <c r="AK701" s="210"/>
      <c r="AL701" s="210"/>
      <c r="AM701" s="210"/>
      <c r="AN701" s="210"/>
      <c r="AO701" s="210"/>
      <c r="AP701" s="210"/>
      <c r="AQ701" s="210"/>
      <c r="AR701" s="210"/>
      <c r="AS701" s="210"/>
    </row>
    <row r="702" spans="1:45" ht="13.5" customHeight="1">
      <c r="A702" s="219"/>
      <c r="B702" s="210"/>
      <c r="C702" s="210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  <c r="AB702" s="221"/>
      <c r="AC702" s="221"/>
      <c r="AD702" s="221"/>
      <c r="AE702" s="221"/>
      <c r="AF702" s="221"/>
      <c r="AG702" s="221"/>
      <c r="AH702" s="219"/>
      <c r="AI702" s="219"/>
      <c r="AJ702" s="210"/>
      <c r="AK702" s="210"/>
      <c r="AL702" s="210"/>
      <c r="AM702" s="210"/>
      <c r="AN702" s="210"/>
      <c r="AO702" s="210"/>
      <c r="AP702" s="210"/>
      <c r="AQ702" s="210"/>
      <c r="AR702" s="210"/>
      <c r="AS702" s="210"/>
    </row>
    <row r="703" spans="1:45" ht="13.5" customHeight="1">
      <c r="A703" s="219"/>
      <c r="B703" s="210"/>
      <c r="C703" s="210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  <c r="AB703" s="221"/>
      <c r="AC703" s="221"/>
      <c r="AD703" s="221"/>
      <c r="AE703" s="221"/>
      <c r="AF703" s="221"/>
      <c r="AG703" s="221"/>
      <c r="AH703" s="219"/>
      <c r="AI703" s="219"/>
      <c r="AJ703" s="210"/>
      <c r="AK703" s="210"/>
      <c r="AL703" s="210"/>
      <c r="AM703" s="210"/>
      <c r="AN703" s="210"/>
      <c r="AO703" s="210"/>
      <c r="AP703" s="210"/>
      <c r="AQ703" s="210"/>
      <c r="AR703" s="210"/>
      <c r="AS703" s="210"/>
    </row>
    <row r="704" spans="1:45" ht="13.5" customHeight="1">
      <c r="A704" s="219"/>
      <c r="B704" s="210"/>
      <c r="C704" s="210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  <c r="AB704" s="221"/>
      <c r="AC704" s="221"/>
      <c r="AD704" s="221"/>
      <c r="AE704" s="221"/>
      <c r="AF704" s="221"/>
      <c r="AG704" s="221"/>
      <c r="AH704" s="219"/>
      <c r="AI704" s="219"/>
      <c r="AJ704" s="210"/>
      <c r="AK704" s="210"/>
      <c r="AL704" s="210"/>
      <c r="AM704" s="210"/>
      <c r="AN704" s="210"/>
      <c r="AO704" s="210"/>
      <c r="AP704" s="210"/>
      <c r="AQ704" s="210"/>
      <c r="AR704" s="210"/>
      <c r="AS704" s="210"/>
    </row>
    <row r="705" spans="1:45" ht="13.5" customHeight="1">
      <c r="A705" s="219"/>
      <c r="B705" s="210"/>
      <c r="C705" s="210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  <c r="AB705" s="221"/>
      <c r="AC705" s="221"/>
      <c r="AD705" s="221"/>
      <c r="AE705" s="221"/>
      <c r="AF705" s="221"/>
      <c r="AG705" s="221"/>
      <c r="AH705" s="219"/>
      <c r="AI705" s="219"/>
      <c r="AJ705" s="210"/>
      <c r="AK705" s="210"/>
      <c r="AL705" s="210"/>
      <c r="AM705" s="210"/>
      <c r="AN705" s="210"/>
      <c r="AO705" s="210"/>
      <c r="AP705" s="210"/>
      <c r="AQ705" s="210"/>
      <c r="AR705" s="210"/>
      <c r="AS705" s="210"/>
    </row>
    <row r="706" spans="1:45" ht="13.5" customHeight="1">
      <c r="A706" s="219"/>
      <c r="B706" s="210"/>
      <c r="C706" s="210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  <c r="AB706" s="221"/>
      <c r="AC706" s="221"/>
      <c r="AD706" s="221"/>
      <c r="AE706" s="221"/>
      <c r="AF706" s="221"/>
      <c r="AG706" s="221"/>
      <c r="AH706" s="219"/>
      <c r="AI706" s="219"/>
      <c r="AJ706" s="210"/>
      <c r="AK706" s="210"/>
      <c r="AL706" s="210"/>
      <c r="AM706" s="210"/>
      <c r="AN706" s="210"/>
      <c r="AO706" s="210"/>
      <c r="AP706" s="210"/>
      <c r="AQ706" s="210"/>
      <c r="AR706" s="210"/>
      <c r="AS706" s="210"/>
    </row>
    <row r="707" spans="1:45" ht="13.5" customHeight="1">
      <c r="A707" s="219"/>
      <c r="B707" s="210"/>
      <c r="C707" s="210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  <c r="AB707" s="221"/>
      <c r="AC707" s="221"/>
      <c r="AD707" s="221"/>
      <c r="AE707" s="221"/>
      <c r="AF707" s="221"/>
      <c r="AG707" s="221"/>
      <c r="AH707" s="219"/>
      <c r="AI707" s="219"/>
      <c r="AJ707" s="210"/>
      <c r="AK707" s="210"/>
      <c r="AL707" s="210"/>
      <c r="AM707" s="210"/>
      <c r="AN707" s="210"/>
      <c r="AO707" s="210"/>
      <c r="AP707" s="210"/>
      <c r="AQ707" s="210"/>
      <c r="AR707" s="210"/>
      <c r="AS707" s="210"/>
    </row>
    <row r="708" spans="1:45" ht="13.5" customHeight="1">
      <c r="A708" s="219"/>
      <c r="B708" s="210"/>
      <c r="C708" s="210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  <c r="AB708" s="221"/>
      <c r="AC708" s="221"/>
      <c r="AD708" s="221"/>
      <c r="AE708" s="221"/>
      <c r="AF708" s="221"/>
      <c r="AG708" s="221"/>
      <c r="AH708" s="219"/>
      <c r="AI708" s="219"/>
      <c r="AJ708" s="210"/>
      <c r="AK708" s="210"/>
      <c r="AL708" s="210"/>
      <c r="AM708" s="210"/>
      <c r="AN708" s="210"/>
      <c r="AO708" s="210"/>
      <c r="AP708" s="210"/>
      <c r="AQ708" s="210"/>
      <c r="AR708" s="210"/>
      <c r="AS708" s="210"/>
    </row>
    <row r="709" spans="1:45" ht="13.5" customHeight="1">
      <c r="A709" s="219"/>
      <c r="B709" s="210"/>
      <c r="C709" s="210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  <c r="AB709" s="221"/>
      <c r="AC709" s="221"/>
      <c r="AD709" s="221"/>
      <c r="AE709" s="221"/>
      <c r="AF709" s="221"/>
      <c r="AG709" s="221"/>
      <c r="AH709" s="219"/>
      <c r="AI709" s="219"/>
      <c r="AJ709" s="210"/>
      <c r="AK709" s="210"/>
      <c r="AL709" s="210"/>
      <c r="AM709" s="210"/>
      <c r="AN709" s="210"/>
      <c r="AO709" s="210"/>
      <c r="AP709" s="210"/>
      <c r="AQ709" s="210"/>
      <c r="AR709" s="210"/>
      <c r="AS709" s="210"/>
    </row>
    <row r="710" spans="1:45" ht="13.5" customHeight="1">
      <c r="A710" s="219"/>
      <c r="B710" s="210"/>
      <c r="C710" s="210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  <c r="AB710" s="221"/>
      <c r="AC710" s="221"/>
      <c r="AD710" s="221"/>
      <c r="AE710" s="221"/>
      <c r="AF710" s="221"/>
      <c r="AG710" s="221"/>
      <c r="AH710" s="219"/>
      <c r="AI710" s="219"/>
      <c r="AJ710" s="210"/>
      <c r="AK710" s="210"/>
      <c r="AL710" s="210"/>
      <c r="AM710" s="210"/>
      <c r="AN710" s="210"/>
      <c r="AO710" s="210"/>
      <c r="AP710" s="210"/>
      <c r="AQ710" s="210"/>
      <c r="AR710" s="210"/>
      <c r="AS710" s="210"/>
    </row>
    <row r="711" spans="1:45" ht="13.5" customHeight="1">
      <c r="A711" s="219"/>
      <c r="B711" s="210"/>
      <c r="C711" s="210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  <c r="AB711" s="221"/>
      <c r="AC711" s="221"/>
      <c r="AD711" s="221"/>
      <c r="AE711" s="221"/>
      <c r="AF711" s="221"/>
      <c r="AG711" s="221"/>
      <c r="AH711" s="219"/>
      <c r="AI711" s="219"/>
      <c r="AJ711" s="210"/>
      <c r="AK711" s="210"/>
      <c r="AL711" s="210"/>
      <c r="AM711" s="210"/>
      <c r="AN711" s="210"/>
      <c r="AO711" s="210"/>
      <c r="AP711" s="210"/>
      <c r="AQ711" s="210"/>
      <c r="AR711" s="210"/>
      <c r="AS711" s="210"/>
    </row>
    <row r="712" spans="1:45" ht="13.5" customHeight="1">
      <c r="A712" s="219"/>
      <c r="B712" s="210"/>
      <c r="C712" s="210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  <c r="AB712" s="221"/>
      <c r="AC712" s="221"/>
      <c r="AD712" s="221"/>
      <c r="AE712" s="221"/>
      <c r="AF712" s="221"/>
      <c r="AG712" s="221"/>
      <c r="AH712" s="219"/>
      <c r="AI712" s="219"/>
      <c r="AJ712" s="210"/>
      <c r="AK712" s="210"/>
      <c r="AL712" s="210"/>
      <c r="AM712" s="210"/>
      <c r="AN712" s="210"/>
      <c r="AO712" s="210"/>
      <c r="AP712" s="210"/>
      <c r="AQ712" s="210"/>
      <c r="AR712" s="210"/>
      <c r="AS712" s="210"/>
    </row>
    <row r="713" spans="1:45" ht="13.5" customHeight="1">
      <c r="A713" s="219"/>
      <c r="B713" s="210"/>
      <c r="C713" s="210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  <c r="AB713" s="221"/>
      <c r="AC713" s="221"/>
      <c r="AD713" s="221"/>
      <c r="AE713" s="221"/>
      <c r="AF713" s="221"/>
      <c r="AG713" s="221"/>
      <c r="AH713" s="219"/>
      <c r="AI713" s="219"/>
      <c r="AJ713" s="210"/>
      <c r="AK713" s="210"/>
      <c r="AL713" s="210"/>
      <c r="AM713" s="210"/>
      <c r="AN713" s="210"/>
      <c r="AO713" s="210"/>
      <c r="AP713" s="210"/>
      <c r="AQ713" s="210"/>
      <c r="AR713" s="210"/>
      <c r="AS713" s="210"/>
    </row>
    <row r="714" spans="1:45" ht="13.5" customHeight="1">
      <c r="A714" s="219"/>
      <c r="B714" s="210"/>
      <c r="C714" s="210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  <c r="AB714" s="221"/>
      <c r="AC714" s="221"/>
      <c r="AD714" s="221"/>
      <c r="AE714" s="221"/>
      <c r="AF714" s="221"/>
      <c r="AG714" s="221"/>
      <c r="AH714" s="219"/>
      <c r="AI714" s="219"/>
      <c r="AJ714" s="210"/>
      <c r="AK714" s="210"/>
      <c r="AL714" s="210"/>
      <c r="AM714" s="210"/>
      <c r="AN714" s="210"/>
      <c r="AO714" s="210"/>
      <c r="AP714" s="210"/>
      <c r="AQ714" s="210"/>
      <c r="AR714" s="210"/>
      <c r="AS714" s="210"/>
    </row>
    <row r="715" spans="1:45" ht="13.5" customHeight="1">
      <c r="A715" s="219"/>
      <c r="B715" s="210"/>
      <c r="C715" s="210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  <c r="AB715" s="221"/>
      <c r="AC715" s="221"/>
      <c r="AD715" s="221"/>
      <c r="AE715" s="221"/>
      <c r="AF715" s="221"/>
      <c r="AG715" s="221"/>
      <c r="AH715" s="219"/>
      <c r="AI715" s="219"/>
      <c r="AJ715" s="210"/>
      <c r="AK715" s="210"/>
      <c r="AL715" s="210"/>
      <c r="AM715" s="210"/>
      <c r="AN715" s="210"/>
      <c r="AO715" s="210"/>
      <c r="AP715" s="210"/>
      <c r="AQ715" s="210"/>
      <c r="AR715" s="210"/>
      <c r="AS715" s="210"/>
    </row>
    <row r="716" spans="1:45" ht="13.5" customHeight="1">
      <c r="A716" s="219"/>
      <c r="B716" s="210"/>
      <c r="C716" s="210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  <c r="AB716" s="221"/>
      <c r="AC716" s="221"/>
      <c r="AD716" s="221"/>
      <c r="AE716" s="221"/>
      <c r="AF716" s="221"/>
      <c r="AG716" s="221"/>
      <c r="AH716" s="219"/>
      <c r="AI716" s="219"/>
      <c r="AJ716" s="210"/>
      <c r="AK716" s="210"/>
      <c r="AL716" s="210"/>
      <c r="AM716" s="210"/>
      <c r="AN716" s="210"/>
      <c r="AO716" s="210"/>
      <c r="AP716" s="210"/>
      <c r="AQ716" s="210"/>
      <c r="AR716" s="210"/>
      <c r="AS716" s="210"/>
    </row>
    <row r="717" spans="1:45" ht="13.5" customHeight="1">
      <c r="A717" s="219"/>
      <c r="B717" s="210"/>
      <c r="C717" s="210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  <c r="AB717" s="221"/>
      <c r="AC717" s="221"/>
      <c r="AD717" s="221"/>
      <c r="AE717" s="221"/>
      <c r="AF717" s="221"/>
      <c r="AG717" s="221"/>
      <c r="AH717" s="219"/>
      <c r="AI717" s="219"/>
      <c r="AJ717" s="210"/>
      <c r="AK717" s="210"/>
      <c r="AL717" s="210"/>
      <c r="AM717" s="210"/>
      <c r="AN717" s="210"/>
      <c r="AO717" s="210"/>
      <c r="AP717" s="210"/>
      <c r="AQ717" s="210"/>
      <c r="AR717" s="210"/>
      <c r="AS717" s="210"/>
    </row>
    <row r="718" spans="1:45" ht="13.5" customHeight="1">
      <c r="A718" s="219"/>
      <c r="B718" s="210"/>
      <c r="C718" s="210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  <c r="AB718" s="221"/>
      <c r="AC718" s="221"/>
      <c r="AD718" s="221"/>
      <c r="AE718" s="221"/>
      <c r="AF718" s="221"/>
      <c r="AG718" s="221"/>
      <c r="AH718" s="219"/>
      <c r="AI718" s="219"/>
      <c r="AJ718" s="210"/>
      <c r="AK718" s="210"/>
      <c r="AL718" s="210"/>
      <c r="AM718" s="210"/>
      <c r="AN718" s="210"/>
      <c r="AO718" s="210"/>
      <c r="AP718" s="210"/>
      <c r="AQ718" s="210"/>
      <c r="AR718" s="210"/>
      <c r="AS718" s="210"/>
    </row>
    <row r="719" spans="1:45" ht="13.5" customHeight="1">
      <c r="A719" s="219"/>
      <c r="B719" s="210"/>
      <c r="C719" s="210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  <c r="AB719" s="221"/>
      <c r="AC719" s="221"/>
      <c r="AD719" s="221"/>
      <c r="AE719" s="221"/>
      <c r="AF719" s="221"/>
      <c r="AG719" s="221"/>
      <c r="AH719" s="219"/>
      <c r="AI719" s="219"/>
      <c r="AJ719" s="210"/>
      <c r="AK719" s="210"/>
      <c r="AL719" s="210"/>
      <c r="AM719" s="210"/>
      <c r="AN719" s="210"/>
      <c r="AO719" s="210"/>
      <c r="AP719" s="210"/>
      <c r="AQ719" s="210"/>
      <c r="AR719" s="210"/>
      <c r="AS719" s="210"/>
    </row>
    <row r="720" spans="1:45" ht="13.5" customHeight="1">
      <c r="A720" s="219"/>
      <c r="B720" s="210"/>
      <c r="C720" s="210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  <c r="AB720" s="221"/>
      <c r="AC720" s="221"/>
      <c r="AD720" s="221"/>
      <c r="AE720" s="221"/>
      <c r="AF720" s="221"/>
      <c r="AG720" s="221"/>
      <c r="AH720" s="219"/>
      <c r="AI720" s="219"/>
      <c r="AJ720" s="210"/>
      <c r="AK720" s="210"/>
      <c r="AL720" s="210"/>
      <c r="AM720" s="210"/>
      <c r="AN720" s="210"/>
      <c r="AO720" s="210"/>
      <c r="AP720" s="210"/>
      <c r="AQ720" s="210"/>
      <c r="AR720" s="210"/>
      <c r="AS720" s="210"/>
    </row>
    <row r="721" spans="1:45" ht="13.5" customHeight="1">
      <c r="A721" s="219"/>
      <c r="B721" s="210"/>
      <c r="C721" s="210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  <c r="AB721" s="221"/>
      <c r="AC721" s="221"/>
      <c r="AD721" s="221"/>
      <c r="AE721" s="221"/>
      <c r="AF721" s="221"/>
      <c r="AG721" s="221"/>
      <c r="AH721" s="219"/>
      <c r="AI721" s="219"/>
      <c r="AJ721" s="210"/>
      <c r="AK721" s="210"/>
      <c r="AL721" s="210"/>
      <c r="AM721" s="210"/>
      <c r="AN721" s="210"/>
      <c r="AO721" s="210"/>
      <c r="AP721" s="210"/>
      <c r="AQ721" s="210"/>
      <c r="AR721" s="210"/>
      <c r="AS721" s="210"/>
    </row>
    <row r="722" spans="1:45" ht="13.5" customHeight="1">
      <c r="A722" s="219"/>
      <c r="B722" s="210"/>
      <c r="C722" s="210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  <c r="AB722" s="221"/>
      <c r="AC722" s="221"/>
      <c r="AD722" s="221"/>
      <c r="AE722" s="221"/>
      <c r="AF722" s="221"/>
      <c r="AG722" s="221"/>
      <c r="AH722" s="219"/>
      <c r="AI722" s="219"/>
      <c r="AJ722" s="210"/>
      <c r="AK722" s="210"/>
      <c r="AL722" s="210"/>
      <c r="AM722" s="210"/>
      <c r="AN722" s="210"/>
      <c r="AO722" s="210"/>
      <c r="AP722" s="210"/>
      <c r="AQ722" s="210"/>
      <c r="AR722" s="210"/>
      <c r="AS722" s="210"/>
    </row>
    <row r="723" spans="1:45" ht="13.5" customHeight="1">
      <c r="A723" s="219"/>
      <c r="B723" s="210"/>
      <c r="C723" s="210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  <c r="AB723" s="221"/>
      <c r="AC723" s="221"/>
      <c r="AD723" s="221"/>
      <c r="AE723" s="221"/>
      <c r="AF723" s="221"/>
      <c r="AG723" s="221"/>
      <c r="AH723" s="219"/>
      <c r="AI723" s="219"/>
      <c r="AJ723" s="210"/>
      <c r="AK723" s="210"/>
      <c r="AL723" s="210"/>
      <c r="AM723" s="210"/>
      <c r="AN723" s="210"/>
      <c r="AO723" s="210"/>
      <c r="AP723" s="210"/>
      <c r="AQ723" s="210"/>
      <c r="AR723" s="210"/>
      <c r="AS723" s="210"/>
    </row>
    <row r="724" spans="1:45" ht="13.5" customHeight="1">
      <c r="A724" s="219"/>
      <c r="B724" s="210"/>
      <c r="C724" s="210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  <c r="AB724" s="221"/>
      <c r="AC724" s="221"/>
      <c r="AD724" s="221"/>
      <c r="AE724" s="221"/>
      <c r="AF724" s="221"/>
      <c r="AG724" s="221"/>
      <c r="AH724" s="219"/>
      <c r="AI724" s="219"/>
      <c r="AJ724" s="210"/>
      <c r="AK724" s="210"/>
      <c r="AL724" s="210"/>
      <c r="AM724" s="210"/>
      <c r="AN724" s="210"/>
      <c r="AO724" s="210"/>
      <c r="AP724" s="210"/>
      <c r="AQ724" s="210"/>
      <c r="AR724" s="210"/>
      <c r="AS724" s="210"/>
    </row>
    <row r="725" spans="1:45" ht="13.5" customHeight="1">
      <c r="A725" s="219"/>
      <c r="B725" s="210"/>
      <c r="C725" s="210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  <c r="AB725" s="221"/>
      <c r="AC725" s="221"/>
      <c r="AD725" s="221"/>
      <c r="AE725" s="221"/>
      <c r="AF725" s="221"/>
      <c r="AG725" s="221"/>
      <c r="AH725" s="219"/>
      <c r="AI725" s="219"/>
      <c r="AJ725" s="210"/>
      <c r="AK725" s="210"/>
      <c r="AL725" s="210"/>
      <c r="AM725" s="210"/>
      <c r="AN725" s="210"/>
      <c r="AO725" s="210"/>
      <c r="AP725" s="210"/>
      <c r="AQ725" s="210"/>
      <c r="AR725" s="210"/>
      <c r="AS725" s="210"/>
    </row>
    <row r="726" spans="1:45" ht="13.5" customHeight="1">
      <c r="A726" s="219"/>
      <c r="B726" s="210"/>
      <c r="C726" s="210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  <c r="AB726" s="221"/>
      <c r="AC726" s="221"/>
      <c r="AD726" s="221"/>
      <c r="AE726" s="221"/>
      <c r="AF726" s="221"/>
      <c r="AG726" s="221"/>
      <c r="AH726" s="219"/>
      <c r="AI726" s="219"/>
      <c r="AJ726" s="210"/>
      <c r="AK726" s="210"/>
      <c r="AL726" s="210"/>
      <c r="AM726" s="210"/>
      <c r="AN726" s="210"/>
      <c r="AO726" s="210"/>
      <c r="AP726" s="210"/>
      <c r="AQ726" s="210"/>
      <c r="AR726" s="210"/>
      <c r="AS726" s="210"/>
    </row>
    <row r="727" spans="1:45" ht="13.5" customHeight="1">
      <c r="A727" s="219"/>
      <c r="B727" s="210"/>
      <c r="C727" s="210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  <c r="AB727" s="221"/>
      <c r="AC727" s="221"/>
      <c r="AD727" s="221"/>
      <c r="AE727" s="221"/>
      <c r="AF727" s="221"/>
      <c r="AG727" s="221"/>
      <c r="AH727" s="219"/>
      <c r="AI727" s="219"/>
      <c r="AJ727" s="210"/>
      <c r="AK727" s="210"/>
      <c r="AL727" s="210"/>
      <c r="AM727" s="210"/>
      <c r="AN727" s="210"/>
      <c r="AO727" s="210"/>
      <c r="AP727" s="210"/>
      <c r="AQ727" s="210"/>
      <c r="AR727" s="210"/>
      <c r="AS727" s="210"/>
    </row>
    <row r="728" spans="1:45" ht="13.5" customHeight="1">
      <c r="A728" s="219"/>
      <c r="B728" s="210"/>
      <c r="C728" s="210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  <c r="AB728" s="221"/>
      <c r="AC728" s="221"/>
      <c r="AD728" s="221"/>
      <c r="AE728" s="221"/>
      <c r="AF728" s="221"/>
      <c r="AG728" s="221"/>
      <c r="AH728" s="219"/>
      <c r="AI728" s="219"/>
      <c r="AJ728" s="210"/>
      <c r="AK728" s="210"/>
      <c r="AL728" s="210"/>
      <c r="AM728" s="210"/>
      <c r="AN728" s="210"/>
      <c r="AO728" s="210"/>
      <c r="AP728" s="210"/>
      <c r="AQ728" s="210"/>
      <c r="AR728" s="210"/>
      <c r="AS728" s="210"/>
    </row>
    <row r="729" spans="1:45" ht="13.5" customHeight="1">
      <c r="A729" s="219"/>
      <c r="B729" s="210"/>
      <c r="C729" s="210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  <c r="AB729" s="221"/>
      <c r="AC729" s="221"/>
      <c r="AD729" s="221"/>
      <c r="AE729" s="221"/>
      <c r="AF729" s="221"/>
      <c r="AG729" s="221"/>
      <c r="AH729" s="219"/>
      <c r="AI729" s="219"/>
      <c r="AJ729" s="210"/>
      <c r="AK729" s="210"/>
      <c r="AL729" s="210"/>
      <c r="AM729" s="210"/>
      <c r="AN729" s="210"/>
      <c r="AO729" s="210"/>
      <c r="AP729" s="210"/>
      <c r="AQ729" s="210"/>
      <c r="AR729" s="210"/>
      <c r="AS729" s="210"/>
    </row>
    <row r="730" spans="1:45" ht="13.5" customHeight="1">
      <c r="A730" s="219"/>
      <c r="B730" s="210"/>
      <c r="C730" s="210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  <c r="AB730" s="221"/>
      <c r="AC730" s="221"/>
      <c r="AD730" s="221"/>
      <c r="AE730" s="221"/>
      <c r="AF730" s="221"/>
      <c r="AG730" s="221"/>
      <c r="AH730" s="219"/>
      <c r="AI730" s="219"/>
      <c r="AJ730" s="210"/>
      <c r="AK730" s="210"/>
      <c r="AL730" s="210"/>
      <c r="AM730" s="210"/>
      <c r="AN730" s="210"/>
      <c r="AO730" s="210"/>
      <c r="AP730" s="210"/>
      <c r="AQ730" s="210"/>
      <c r="AR730" s="210"/>
      <c r="AS730" s="210"/>
    </row>
    <row r="731" spans="1:45" ht="13.5" customHeight="1">
      <c r="A731" s="219"/>
      <c r="B731" s="210"/>
      <c r="C731" s="210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  <c r="AB731" s="221"/>
      <c r="AC731" s="221"/>
      <c r="AD731" s="221"/>
      <c r="AE731" s="221"/>
      <c r="AF731" s="221"/>
      <c r="AG731" s="221"/>
      <c r="AH731" s="219"/>
      <c r="AI731" s="219"/>
      <c r="AJ731" s="210"/>
      <c r="AK731" s="210"/>
      <c r="AL731" s="210"/>
      <c r="AM731" s="210"/>
      <c r="AN731" s="210"/>
      <c r="AO731" s="210"/>
      <c r="AP731" s="210"/>
      <c r="AQ731" s="210"/>
      <c r="AR731" s="210"/>
      <c r="AS731" s="210"/>
    </row>
    <row r="732" spans="1:45" ht="13.5" customHeight="1">
      <c r="A732" s="219"/>
      <c r="B732" s="210"/>
      <c r="C732" s="210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  <c r="AB732" s="221"/>
      <c r="AC732" s="221"/>
      <c r="AD732" s="221"/>
      <c r="AE732" s="221"/>
      <c r="AF732" s="221"/>
      <c r="AG732" s="221"/>
      <c r="AH732" s="219"/>
      <c r="AI732" s="219"/>
      <c r="AJ732" s="210"/>
      <c r="AK732" s="210"/>
      <c r="AL732" s="210"/>
      <c r="AM732" s="210"/>
      <c r="AN732" s="210"/>
      <c r="AO732" s="210"/>
      <c r="AP732" s="210"/>
      <c r="AQ732" s="210"/>
      <c r="AR732" s="210"/>
      <c r="AS732" s="210"/>
    </row>
    <row r="733" spans="1:45" ht="13.5" customHeight="1">
      <c r="A733" s="219"/>
      <c r="B733" s="210"/>
      <c r="C733" s="210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  <c r="AB733" s="221"/>
      <c r="AC733" s="221"/>
      <c r="AD733" s="221"/>
      <c r="AE733" s="221"/>
      <c r="AF733" s="221"/>
      <c r="AG733" s="221"/>
      <c r="AH733" s="219"/>
      <c r="AI733" s="219"/>
      <c r="AJ733" s="210"/>
      <c r="AK733" s="210"/>
      <c r="AL733" s="210"/>
      <c r="AM733" s="210"/>
      <c r="AN733" s="210"/>
      <c r="AO733" s="210"/>
      <c r="AP733" s="210"/>
      <c r="AQ733" s="210"/>
      <c r="AR733" s="210"/>
      <c r="AS733" s="210"/>
    </row>
    <row r="734" spans="1:45" ht="13.5" customHeight="1">
      <c r="A734" s="219"/>
      <c r="B734" s="210"/>
      <c r="C734" s="210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  <c r="AB734" s="221"/>
      <c r="AC734" s="221"/>
      <c r="AD734" s="221"/>
      <c r="AE734" s="221"/>
      <c r="AF734" s="221"/>
      <c r="AG734" s="221"/>
      <c r="AH734" s="219"/>
      <c r="AI734" s="219"/>
      <c r="AJ734" s="210"/>
      <c r="AK734" s="210"/>
      <c r="AL734" s="210"/>
      <c r="AM734" s="210"/>
      <c r="AN734" s="210"/>
      <c r="AO734" s="210"/>
      <c r="AP734" s="210"/>
      <c r="AQ734" s="210"/>
      <c r="AR734" s="210"/>
      <c r="AS734" s="210"/>
    </row>
    <row r="735" spans="1:45" ht="13.5" customHeight="1">
      <c r="A735" s="219"/>
      <c r="B735" s="210"/>
      <c r="C735" s="210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  <c r="AB735" s="221"/>
      <c r="AC735" s="221"/>
      <c r="AD735" s="221"/>
      <c r="AE735" s="221"/>
      <c r="AF735" s="221"/>
      <c r="AG735" s="221"/>
      <c r="AH735" s="219"/>
      <c r="AI735" s="219"/>
      <c r="AJ735" s="210"/>
      <c r="AK735" s="210"/>
      <c r="AL735" s="210"/>
      <c r="AM735" s="210"/>
      <c r="AN735" s="210"/>
      <c r="AO735" s="210"/>
      <c r="AP735" s="210"/>
      <c r="AQ735" s="210"/>
      <c r="AR735" s="210"/>
      <c r="AS735" s="210"/>
    </row>
    <row r="736" spans="1:45" ht="13.5" customHeight="1">
      <c r="A736" s="219"/>
      <c r="B736" s="210"/>
      <c r="C736" s="210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  <c r="AB736" s="221"/>
      <c r="AC736" s="221"/>
      <c r="AD736" s="221"/>
      <c r="AE736" s="221"/>
      <c r="AF736" s="221"/>
      <c r="AG736" s="221"/>
      <c r="AH736" s="219"/>
      <c r="AI736" s="219"/>
      <c r="AJ736" s="210"/>
      <c r="AK736" s="210"/>
      <c r="AL736" s="210"/>
      <c r="AM736" s="210"/>
      <c r="AN736" s="210"/>
      <c r="AO736" s="210"/>
      <c r="AP736" s="210"/>
      <c r="AQ736" s="210"/>
      <c r="AR736" s="210"/>
      <c r="AS736" s="210"/>
    </row>
    <row r="737" spans="1:45" ht="13.5" customHeight="1">
      <c r="A737" s="219"/>
      <c r="B737" s="210"/>
      <c r="C737" s="210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  <c r="AB737" s="221"/>
      <c r="AC737" s="221"/>
      <c r="AD737" s="221"/>
      <c r="AE737" s="221"/>
      <c r="AF737" s="221"/>
      <c r="AG737" s="221"/>
      <c r="AH737" s="219"/>
      <c r="AI737" s="219"/>
      <c r="AJ737" s="210"/>
      <c r="AK737" s="210"/>
      <c r="AL737" s="210"/>
      <c r="AM737" s="210"/>
      <c r="AN737" s="210"/>
      <c r="AO737" s="210"/>
      <c r="AP737" s="210"/>
      <c r="AQ737" s="210"/>
      <c r="AR737" s="210"/>
      <c r="AS737" s="210"/>
    </row>
    <row r="738" spans="1:45" ht="13.5" customHeight="1">
      <c r="A738" s="219"/>
      <c r="B738" s="210"/>
      <c r="C738" s="210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  <c r="AB738" s="221"/>
      <c r="AC738" s="221"/>
      <c r="AD738" s="221"/>
      <c r="AE738" s="221"/>
      <c r="AF738" s="221"/>
      <c r="AG738" s="221"/>
      <c r="AH738" s="219"/>
      <c r="AI738" s="219"/>
      <c r="AJ738" s="210"/>
      <c r="AK738" s="210"/>
      <c r="AL738" s="210"/>
      <c r="AM738" s="210"/>
      <c r="AN738" s="210"/>
      <c r="AO738" s="210"/>
      <c r="AP738" s="210"/>
      <c r="AQ738" s="210"/>
      <c r="AR738" s="210"/>
      <c r="AS738" s="210"/>
    </row>
    <row r="739" spans="1:45" ht="13.5" customHeight="1">
      <c r="A739" s="219"/>
      <c r="B739" s="210"/>
      <c r="C739" s="210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  <c r="AB739" s="221"/>
      <c r="AC739" s="221"/>
      <c r="AD739" s="221"/>
      <c r="AE739" s="221"/>
      <c r="AF739" s="221"/>
      <c r="AG739" s="221"/>
      <c r="AH739" s="219"/>
      <c r="AI739" s="219"/>
      <c r="AJ739" s="210"/>
      <c r="AK739" s="210"/>
      <c r="AL739" s="210"/>
      <c r="AM739" s="210"/>
      <c r="AN739" s="210"/>
      <c r="AO739" s="210"/>
      <c r="AP739" s="210"/>
      <c r="AQ739" s="210"/>
      <c r="AR739" s="210"/>
      <c r="AS739" s="210"/>
    </row>
    <row r="740" spans="1:45" ht="13.5" customHeight="1">
      <c r="A740" s="219"/>
      <c r="B740" s="210"/>
      <c r="C740" s="210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  <c r="AB740" s="221"/>
      <c r="AC740" s="221"/>
      <c r="AD740" s="221"/>
      <c r="AE740" s="221"/>
      <c r="AF740" s="221"/>
      <c r="AG740" s="221"/>
      <c r="AH740" s="219"/>
      <c r="AI740" s="219"/>
      <c r="AJ740" s="210"/>
      <c r="AK740" s="210"/>
      <c r="AL740" s="210"/>
      <c r="AM740" s="210"/>
      <c r="AN740" s="210"/>
      <c r="AO740" s="210"/>
      <c r="AP740" s="210"/>
      <c r="AQ740" s="210"/>
      <c r="AR740" s="210"/>
      <c r="AS740" s="210"/>
    </row>
    <row r="741" spans="1:45" ht="13.5" customHeight="1">
      <c r="A741" s="219"/>
      <c r="B741" s="210"/>
      <c r="C741" s="210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  <c r="AB741" s="221"/>
      <c r="AC741" s="221"/>
      <c r="AD741" s="221"/>
      <c r="AE741" s="221"/>
      <c r="AF741" s="221"/>
      <c r="AG741" s="221"/>
      <c r="AH741" s="219"/>
      <c r="AI741" s="219"/>
      <c r="AJ741" s="210"/>
      <c r="AK741" s="210"/>
      <c r="AL741" s="210"/>
      <c r="AM741" s="210"/>
      <c r="AN741" s="210"/>
      <c r="AO741" s="210"/>
      <c r="AP741" s="210"/>
      <c r="AQ741" s="210"/>
      <c r="AR741" s="210"/>
      <c r="AS741" s="210"/>
    </row>
    <row r="742" spans="1:45" ht="13.5" customHeight="1">
      <c r="A742" s="219"/>
      <c r="B742" s="210"/>
      <c r="C742" s="210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  <c r="AB742" s="221"/>
      <c r="AC742" s="221"/>
      <c r="AD742" s="221"/>
      <c r="AE742" s="221"/>
      <c r="AF742" s="221"/>
      <c r="AG742" s="221"/>
      <c r="AH742" s="219"/>
      <c r="AI742" s="219"/>
      <c r="AJ742" s="210"/>
      <c r="AK742" s="210"/>
      <c r="AL742" s="210"/>
      <c r="AM742" s="210"/>
      <c r="AN742" s="210"/>
      <c r="AO742" s="210"/>
      <c r="AP742" s="210"/>
      <c r="AQ742" s="210"/>
      <c r="AR742" s="210"/>
      <c r="AS742" s="210"/>
    </row>
    <row r="743" spans="1:45" ht="13.5" customHeight="1">
      <c r="A743" s="219"/>
      <c r="B743" s="210"/>
      <c r="C743" s="210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  <c r="AB743" s="221"/>
      <c r="AC743" s="221"/>
      <c r="AD743" s="221"/>
      <c r="AE743" s="221"/>
      <c r="AF743" s="221"/>
      <c r="AG743" s="221"/>
      <c r="AH743" s="219"/>
      <c r="AI743" s="219"/>
      <c r="AJ743" s="210"/>
      <c r="AK743" s="210"/>
      <c r="AL743" s="210"/>
      <c r="AM743" s="210"/>
      <c r="AN743" s="210"/>
      <c r="AO743" s="210"/>
      <c r="AP743" s="210"/>
      <c r="AQ743" s="210"/>
      <c r="AR743" s="210"/>
      <c r="AS743" s="210"/>
    </row>
    <row r="744" spans="1:45" ht="13.5" customHeight="1">
      <c r="A744" s="219"/>
      <c r="B744" s="210"/>
      <c r="C744" s="210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  <c r="AB744" s="221"/>
      <c r="AC744" s="221"/>
      <c r="AD744" s="221"/>
      <c r="AE744" s="221"/>
      <c r="AF744" s="221"/>
      <c r="AG744" s="221"/>
      <c r="AH744" s="219"/>
      <c r="AI744" s="219"/>
      <c r="AJ744" s="210"/>
      <c r="AK744" s="210"/>
      <c r="AL744" s="210"/>
      <c r="AM744" s="210"/>
      <c r="AN744" s="210"/>
      <c r="AO744" s="210"/>
      <c r="AP744" s="210"/>
      <c r="AQ744" s="210"/>
      <c r="AR744" s="210"/>
      <c r="AS744" s="210"/>
    </row>
    <row r="745" spans="1:45" ht="13.5" customHeight="1">
      <c r="A745" s="219"/>
      <c r="B745" s="210"/>
      <c r="C745" s="210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  <c r="AB745" s="221"/>
      <c r="AC745" s="221"/>
      <c r="AD745" s="221"/>
      <c r="AE745" s="221"/>
      <c r="AF745" s="221"/>
      <c r="AG745" s="221"/>
      <c r="AH745" s="219"/>
      <c r="AI745" s="219"/>
      <c r="AJ745" s="210"/>
      <c r="AK745" s="210"/>
      <c r="AL745" s="210"/>
      <c r="AM745" s="210"/>
      <c r="AN745" s="210"/>
      <c r="AO745" s="210"/>
      <c r="AP745" s="210"/>
      <c r="AQ745" s="210"/>
      <c r="AR745" s="210"/>
      <c r="AS745" s="210"/>
    </row>
    <row r="746" spans="1:45" ht="13.5" customHeight="1">
      <c r="A746" s="219"/>
      <c r="B746" s="210"/>
      <c r="C746" s="210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  <c r="AB746" s="221"/>
      <c r="AC746" s="221"/>
      <c r="AD746" s="221"/>
      <c r="AE746" s="221"/>
      <c r="AF746" s="221"/>
      <c r="AG746" s="221"/>
      <c r="AH746" s="219"/>
      <c r="AI746" s="219"/>
      <c r="AJ746" s="210"/>
      <c r="AK746" s="210"/>
      <c r="AL746" s="210"/>
      <c r="AM746" s="210"/>
      <c r="AN746" s="210"/>
      <c r="AO746" s="210"/>
      <c r="AP746" s="210"/>
      <c r="AQ746" s="210"/>
      <c r="AR746" s="210"/>
      <c r="AS746" s="210"/>
    </row>
    <row r="747" spans="1:45" ht="13.5" customHeight="1">
      <c r="A747" s="219"/>
      <c r="B747" s="210"/>
      <c r="C747" s="210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  <c r="AB747" s="221"/>
      <c r="AC747" s="221"/>
      <c r="AD747" s="221"/>
      <c r="AE747" s="221"/>
      <c r="AF747" s="221"/>
      <c r="AG747" s="221"/>
      <c r="AH747" s="219"/>
      <c r="AI747" s="219"/>
      <c r="AJ747" s="210"/>
      <c r="AK747" s="210"/>
      <c r="AL747" s="210"/>
      <c r="AM747" s="210"/>
      <c r="AN747" s="210"/>
      <c r="AO747" s="210"/>
      <c r="AP747" s="210"/>
      <c r="AQ747" s="210"/>
      <c r="AR747" s="210"/>
      <c r="AS747" s="210"/>
    </row>
    <row r="748" spans="1:45" ht="13.5" customHeight="1">
      <c r="A748" s="219"/>
      <c r="B748" s="210"/>
      <c r="C748" s="210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  <c r="AB748" s="221"/>
      <c r="AC748" s="221"/>
      <c r="AD748" s="221"/>
      <c r="AE748" s="221"/>
      <c r="AF748" s="221"/>
      <c r="AG748" s="221"/>
      <c r="AH748" s="219"/>
      <c r="AI748" s="219"/>
      <c r="AJ748" s="210"/>
      <c r="AK748" s="210"/>
      <c r="AL748" s="210"/>
      <c r="AM748" s="210"/>
      <c r="AN748" s="210"/>
      <c r="AO748" s="210"/>
      <c r="AP748" s="210"/>
      <c r="AQ748" s="210"/>
      <c r="AR748" s="210"/>
      <c r="AS748" s="210"/>
    </row>
    <row r="749" spans="1:45" ht="13.5" customHeight="1">
      <c r="A749" s="219"/>
      <c r="B749" s="210"/>
      <c r="C749" s="210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  <c r="AB749" s="221"/>
      <c r="AC749" s="221"/>
      <c r="AD749" s="221"/>
      <c r="AE749" s="221"/>
      <c r="AF749" s="221"/>
      <c r="AG749" s="221"/>
      <c r="AH749" s="219"/>
      <c r="AI749" s="219"/>
      <c r="AJ749" s="210"/>
      <c r="AK749" s="210"/>
      <c r="AL749" s="210"/>
      <c r="AM749" s="210"/>
      <c r="AN749" s="210"/>
      <c r="AO749" s="210"/>
      <c r="AP749" s="210"/>
      <c r="AQ749" s="210"/>
      <c r="AR749" s="210"/>
      <c r="AS749" s="210"/>
    </row>
    <row r="750" spans="1:45" ht="13.5" customHeight="1">
      <c r="A750" s="219"/>
      <c r="B750" s="210"/>
      <c r="C750" s="210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  <c r="AB750" s="221"/>
      <c r="AC750" s="221"/>
      <c r="AD750" s="221"/>
      <c r="AE750" s="221"/>
      <c r="AF750" s="221"/>
      <c r="AG750" s="221"/>
      <c r="AH750" s="219"/>
      <c r="AI750" s="219"/>
      <c r="AJ750" s="210"/>
      <c r="AK750" s="210"/>
      <c r="AL750" s="210"/>
      <c r="AM750" s="210"/>
      <c r="AN750" s="210"/>
      <c r="AO750" s="210"/>
      <c r="AP750" s="210"/>
      <c r="AQ750" s="210"/>
      <c r="AR750" s="210"/>
      <c r="AS750" s="210"/>
    </row>
    <row r="751" spans="1:45" ht="13.5" customHeight="1">
      <c r="A751" s="219"/>
      <c r="B751" s="210"/>
      <c r="C751" s="210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  <c r="AB751" s="221"/>
      <c r="AC751" s="221"/>
      <c r="AD751" s="221"/>
      <c r="AE751" s="221"/>
      <c r="AF751" s="221"/>
      <c r="AG751" s="221"/>
      <c r="AH751" s="219"/>
      <c r="AI751" s="219"/>
      <c r="AJ751" s="210"/>
      <c r="AK751" s="210"/>
      <c r="AL751" s="210"/>
      <c r="AM751" s="210"/>
      <c r="AN751" s="210"/>
      <c r="AO751" s="210"/>
      <c r="AP751" s="210"/>
      <c r="AQ751" s="210"/>
      <c r="AR751" s="210"/>
      <c r="AS751" s="210"/>
    </row>
    <row r="752" spans="1:45" ht="13.5" customHeight="1">
      <c r="A752" s="219"/>
      <c r="B752" s="210"/>
      <c r="C752" s="210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  <c r="AB752" s="221"/>
      <c r="AC752" s="221"/>
      <c r="AD752" s="221"/>
      <c r="AE752" s="221"/>
      <c r="AF752" s="221"/>
      <c r="AG752" s="221"/>
      <c r="AH752" s="219"/>
      <c r="AI752" s="219"/>
      <c r="AJ752" s="210"/>
      <c r="AK752" s="210"/>
      <c r="AL752" s="210"/>
      <c r="AM752" s="210"/>
      <c r="AN752" s="210"/>
      <c r="AO752" s="210"/>
      <c r="AP752" s="210"/>
      <c r="AQ752" s="210"/>
      <c r="AR752" s="210"/>
      <c r="AS752" s="210"/>
    </row>
    <row r="753" spans="1:45" ht="13.5" customHeight="1">
      <c r="A753" s="219"/>
      <c r="B753" s="210"/>
      <c r="C753" s="210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  <c r="AB753" s="221"/>
      <c r="AC753" s="221"/>
      <c r="AD753" s="221"/>
      <c r="AE753" s="221"/>
      <c r="AF753" s="221"/>
      <c r="AG753" s="221"/>
      <c r="AH753" s="219"/>
      <c r="AI753" s="219"/>
      <c r="AJ753" s="210"/>
      <c r="AK753" s="210"/>
      <c r="AL753" s="210"/>
      <c r="AM753" s="210"/>
      <c r="AN753" s="210"/>
      <c r="AO753" s="210"/>
      <c r="AP753" s="210"/>
      <c r="AQ753" s="210"/>
      <c r="AR753" s="210"/>
      <c r="AS753" s="210"/>
    </row>
    <row r="754" spans="1:45" ht="13.5" customHeight="1">
      <c r="A754" s="219"/>
      <c r="B754" s="210"/>
      <c r="C754" s="210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  <c r="AB754" s="221"/>
      <c r="AC754" s="221"/>
      <c r="AD754" s="221"/>
      <c r="AE754" s="221"/>
      <c r="AF754" s="221"/>
      <c r="AG754" s="221"/>
      <c r="AH754" s="219"/>
      <c r="AI754" s="219"/>
      <c r="AJ754" s="210"/>
      <c r="AK754" s="210"/>
      <c r="AL754" s="210"/>
      <c r="AM754" s="210"/>
      <c r="AN754" s="210"/>
      <c r="AO754" s="210"/>
      <c r="AP754" s="210"/>
      <c r="AQ754" s="210"/>
      <c r="AR754" s="210"/>
      <c r="AS754" s="210"/>
    </row>
    <row r="755" spans="1:45" ht="13.5" customHeight="1">
      <c r="A755" s="219"/>
      <c r="B755" s="210"/>
      <c r="C755" s="210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  <c r="AB755" s="221"/>
      <c r="AC755" s="221"/>
      <c r="AD755" s="221"/>
      <c r="AE755" s="221"/>
      <c r="AF755" s="221"/>
      <c r="AG755" s="221"/>
      <c r="AH755" s="219"/>
      <c r="AI755" s="219"/>
      <c r="AJ755" s="210"/>
      <c r="AK755" s="210"/>
      <c r="AL755" s="210"/>
      <c r="AM755" s="210"/>
      <c r="AN755" s="210"/>
      <c r="AO755" s="210"/>
      <c r="AP755" s="210"/>
      <c r="AQ755" s="210"/>
      <c r="AR755" s="210"/>
      <c r="AS755" s="210"/>
    </row>
    <row r="756" spans="1:45" ht="13.5" customHeight="1">
      <c r="A756" s="219"/>
      <c r="B756" s="210"/>
      <c r="C756" s="210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  <c r="AB756" s="221"/>
      <c r="AC756" s="221"/>
      <c r="AD756" s="221"/>
      <c r="AE756" s="221"/>
      <c r="AF756" s="221"/>
      <c r="AG756" s="221"/>
      <c r="AH756" s="219"/>
      <c r="AI756" s="219"/>
      <c r="AJ756" s="210"/>
      <c r="AK756" s="210"/>
      <c r="AL756" s="210"/>
      <c r="AM756" s="210"/>
      <c r="AN756" s="210"/>
      <c r="AO756" s="210"/>
      <c r="AP756" s="210"/>
      <c r="AQ756" s="210"/>
      <c r="AR756" s="210"/>
      <c r="AS756" s="210"/>
    </row>
    <row r="757" spans="1:45" ht="13.5" customHeight="1">
      <c r="A757" s="219"/>
      <c r="B757" s="210"/>
      <c r="C757" s="210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  <c r="AB757" s="221"/>
      <c r="AC757" s="221"/>
      <c r="AD757" s="221"/>
      <c r="AE757" s="221"/>
      <c r="AF757" s="221"/>
      <c r="AG757" s="221"/>
      <c r="AH757" s="219"/>
      <c r="AI757" s="219"/>
      <c r="AJ757" s="210"/>
      <c r="AK757" s="210"/>
      <c r="AL757" s="210"/>
      <c r="AM757" s="210"/>
      <c r="AN757" s="210"/>
      <c r="AO757" s="210"/>
      <c r="AP757" s="210"/>
      <c r="AQ757" s="210"/>
      <c r="AR757" s="210"/>
      <c r="AS757" s="210"/>
    </row>
    <row r="758" spans="1:45" ht="13.5" customHeight="1">
      <c r="A758" s="219"/>
      <c r="B758" s="210"/>
      <c r="C758" s="210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  <c r="AB758" s="221"/>
      <c r="AC758" s="221"/>
      <c r="AD758" s="221"/>
      <c r="AE758" s="221"/>
      <c r="AF758" s="221"/>
      <c r="AG758" s="221"/>
      <c r="AH758" s="219"/>
      <c r="AI758" s="219"/>
      <c r="AJ758" s="210"/>
      <c r="AK758" s="210"/>
      <c r="AL758" s="210"/>
      <c r="AM758" s="210"/>
      <c r="AN758" s="210"/>
      <c r="AO758" s="210"/>
      <c r="AP758" s="210"/>
      <c r="AQ758" s="210"/>
      <c r="AR758" s="210"/>
      <c r="AS758" s="210"/>
    </row>
    <row r="759" spans="1:45" ht="13.5" customHeight="1">
      <c r="A759" s="219"/>
      <c r="B759" s="210"/>
      <c r="C759" s="210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  <c r="AB759" s="221"/>
      <c r="AC759" s="221"/>
      <c r="AD759" s="221"/>
      <c r="AE759" s="221"/>
      <c r="AF759" s="221"/>
      <c r="AG759" s="221"/>
      <c r="AH759" s="219"/>
      <c r="AI759" s="219"/>
      <c r="AJ759" s="210"/>
      <c r="AK759" s="210"/>
      <c r="AL759" s="210"/>
      <c r="AM759" s="210"/>
      <c r="AN759" s="210"/>
      <c r="AO759" s="210"/>
      <c r="AP759" s="210"/>
      <c r="AQ759" s="210"/>
      <c r="AR759" s="210"/>
      <c r="AS759" s="210"/>
    </row>
    <row r="760" spans="1:45" ht="13.5" customHeight="1">
      <c r="A760" s="219"/>
      <c r="B760" s="210"/>
      <c r="C760" s="210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  <c r="AB760" s="221"/>
      <c r="AC760" s="221"/>
      <c r="AD760" s="221"/>
      <c r="AE760" s="221"/>
      <c r="AF760" s="221"/>
      <c r="AG760" s="221"/>
      <c r="AH760" s="219"/>
      <c r="AI760" s="219"/>
      <c r="AJ760" s="210"/>
      <c r="AK760" s="210"/>
      <c r="AL760" s="210"/>
      <c r="AM760" s="210"/>
      <c r="AN760" s="210"/>
      <c r="AO760" s="210"/>
      <c r="AP760" s="210"/>
      <c r="AQ760" s="210"/>
      <c r="AR760" s="210"/>
      <c r="AS760" s="210"/>
    </row>
    <row r="761" spans="1:45" ht="13.5" customHeight="1">
      <c r="A761" s="219"/>
      <c r="B761" s="210"/>
      <c r="C761" s="210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  <c r="AB761" s="221"/>
      <c r="AC761" s="221"/>
      <c r="AD761" s="221"/>
      <c r="AE761" s="221"/>
      <c r="AF761" s="221"/>
      <c r="AG761" s="221"/>
      <c r="AH761" s="219"/>
      <c r="AI761" s="219"/>
      <c r="AJ761" s="210"/>
      <c r="AK761" s="210"/>
      <c r="AL761" s="210"/>
      <c r="AM761" s="210"/>
      <c r="AN761" s="210"/>
      <c r="AO761" s="210"/>
      <c r="AP761" s="210"/>
      <c r="AQ761" s="210"/>
      <c r="AR761" s="210"/>
      <c r="AS761" s="210"/>
    </row>
    <row r="762" spans="1:45" ht="13.5" customHeight="1">
      <c r="A762" s="219"/>
      <c r="B762" s="210"/>
      <c r="C762" s="210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  <c r="AB762" s="221"/>
      <c r="AC762" s="221"/>
      <c r="AD762" s="221"/>
      <c r="AE762" s="221"/>
      <c r="AF762" s="221"/>
      <c r="AG762" s="221"/>
      <c r="AH762" s="219"/>
      <c r="AI762" s="219"/>
      <c r="AJ762" s="210"/>
      <c r="AK762" s="210"/>
      <c r="AL762" s="210"/>
      <c r="AM762" s="210"/>
      <c r="AN762" s="210"/>
      <c r="AO762" s="210"/>
      <c r="AP762" s="210"/>
      <c r="AQ762" s="210"/>
      <c r="AR762" s="210"/>
      <c r="AS762" s="210"/>
    </row>
    <row r="763" spans="1:45" ht="13.5" customHeight="1">
      <c r="A763" s="219"/>
      <c r="B763" s="210"/>
      <c r="C763" s="210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  <c r="AB763" s="221"/>
      <c r="AC763" s="221"/>
      <c r="AD763" s="221"/>
      <c r="AE763" s="221"/>
      <c r="AF763" s="221"/>
      <c r="AG763" s="221"/>
      <c r="AH763" s="219"/>
      <c r="AI763" s="219"/>
      <c r="AJ763" s="210"/>
      <c r="AK763" s="210"/>
      <c r="AL763" s="210"/>
      <c r="AM763" s="210"/>
      <c r="AN763" s="210"/>
      <c r="AO763" s="210"/>
      <c r="AP763" s="210"/>
      <c r="AQ763" s="210"/>
      <c r="AR763" s="210"/>
      <c r="AS763" s="210"/>
    </row>
    <row r="764" spans="1:45" ht="13.5" customHeight="1">
      <c r="A764" s="219"/>
      <c r="B764" s="210"/>
      <c r="C764" s="210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  <c r="AB764" s="221"/>
      <c r="AC764" s="221"/>
      <c r="AD764" s="221"/>
      <c r="AE764" s="221"/>
      <c r="AF764" s="221"/>
      <c r="AG764" s="221"/>
      <c r="AH764" s="219"/>
      <c r="AI764" s="219"/>
      <c r="AJ764" s="210"/>
      <c r="AK764" s="210"/>
      <c r="AL764" s="210"/>
      <c r="AM764" s="210"/>
      <c r="AN764" s="210"/>
      <c r="AO764" s="210"/>
      <c r="AP764" s="210"/>
      <c r="AQ764" s="210"/>
      <c r="AR764" s="210"/>
      <c r="AS764" s="210"/>
    </row>
    <row r="765" spans="1:45" ht="13.5" customHeight="1">
      <c r="A765" s="219"/>
      <c r="B765" s="210"/>
      <c r="C765" s="210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  <c r="AB765" s="221"/>
      <c r="AC765" s="221"/>
      <c r="AD765" s="221"/>
      <c r="AE765" s="221"/>
      <c r="AF765" s="221"/>
      <c r="AG765" s="221"/>
      <c r="AH765" s="219"/>
      <c r="AI765" s="219"/>
      <c r="AJ765" s="210"/>
      <c r="AK765" s="210"/>
      <c r="AL765" s="210"/>
      <c r="AM765" s="210"/>
      <c r="AN765" s="210"/>
      <c r="AO765" s="210"/>
      <c r="AP765" s="210"/>
      <c r="AQ765" s="210"/>
      <c r="AR765" s="210"/>
      <c r="AS765" s="210"/>
    </row>
    <row r="766" spans="1:45" ht="13.5" customHeight="1">
      <c r="A766" s="219"/>
      <c r="B766" s="210"/>
      <c r="C766" s="210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  <c r="AB766" s="221"/>
      <c r="AC766" s="221"/>
      <c r="AD766" s="221"/>
      <c r="AE766" s="221"/>
      <c r="AF766" s="221"/>
      <c r="AG766" s="221"/>
      <c r="AH766" s="219"/>
      <c r="AI766" s="219"/>
      <c r="AJ766" s="210"/>
      <c r="AK766" s="210"/>
      <c r="AL766" s="210"/>
      <c r="AM766" s="210"/>
      <c r="AN766" s="210"/>
      <c r="AO766" s="210"/>
      <c r="AP766" s="210"/>
      <c r="AQ766" s="210"/>
      <c r="AR766" s="210"/>
      <c r="AS766" s="210"/>
    </row>
    <row r="767" spans="1:45" ht="13.5" customHeight="1">
      <c r="A767" s="219"/>
      <c r="B767" s="210"/>
      <c r="C767" s="210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  <c r="AB767" s="221"/>
      <c r="AC767" s="221"/>
      <c r="AD767" s="221"/>
      <c r="AE767" s="221"/>
      <c r="AF767" s="221"/>
      <c r="AG767" s="221"/>
      <c r="AH767" s="219"/>
      <c r="AI767" s="219"/>
      <c r="AJ767" s="210"/>
      <c r="AK767" s="210"/>
      <c r="AL767" s="210"/>
      <c r="AM767" s="210"/>
      <c r="AN767" s="210"/>
      <c r="AO767" s="210"/>
      <c r="AP767" s="210"/>
      <c r="AQ767" s="210"/>
      <c r="AR767" s="210"/>
      <c r="AS767" s="210"/>
    </row>
    <row r="768" spans="1:45" ht="13.5" customHeight="1">
      <c r="A768" s="219"/>
      <c r="B768" s="210"/>
      <c r="C768" s="210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  <c r="AB768" s="221"/>
      <c r="AC768" s="221"/>
      <c r="AD768" s="221"/>
      <c r="AE768" s="221"/>
      <c r="AF768" s="221"/>
      <c r="AG768" s="221"/>
      <c r="AH768" s="219"/>
      <c r="AI768" s="219"/>
      <c r="AJ768" s="210"/>
      <c r="AK768" s="210"/>
      <c r="AL768" s="210"/>
      <c r="AM768" s="210"/>
      <c r="AN768" s="210"/>
      <c r="AO768" s="210"/>
      <c r="AP768" s="210"/>
      <c r="AQ768" s="210"/>
      <c r="AR768" s="210"/>
      <c r="AS768" s="210"/>
    </row>
    <row r="769" spans="1:45" ht="13.5" customHeight="1">
      <c r="A769" s="219"/>
      <c r="B769" s="210"/>
      <c r="C769" s="210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  <c r="AB769" s="221"/>
      <c r="AC769" s="221"/>
      <c r="AD769" s="221"/>
      <c r="AE769" s="221"/>
      <c r="AF769" s="221"/>
      <c r="AG769" s="221"/>
      <c r="AH769" s="219"/>
      <c r="AI769" s="219"/>
      <c r="AJ769" s="210"/>
      <c r="AK769" s="210"/>
      <c r="AL769" s="210"/>
      <c r="AM769" s="210"/>
      <c r="AN769" s="210"/>
      <c r="AO769" s="210"/>
      <c r="AP769" s="210"/>
      <c r="AQ769" s="210"/>
      <c r="AR769" s="210"/>
      <c r="AS769" s="210"/>
    </row>
    <row r="770" spans="1:45" ht="13.5" customHeight="1">
      <c r="A770" s="219"/>
      <c r="B770" s="210"/>
      <c r="C770" s="210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  <c r="AB770" s="221"/>
      <c r="AC770" s="221"/>
      <c r="AD770" s="221"/>
      <c r="AE770" s="221"/>
      <c r="AF770" s="221"/>
      <c r="AG770" s="221"/>
      <c r="AH770" s="219"/>
      <c r="AI770" s="219"/>
      <c r="AJ770" s="210"/>
      <c r="AK770" s="210"/>
      <c r="AL770" s="210"/>
      <c r="AM770" s="210"/>
      <c r="AN770" s="210"/>
      <c r="AO770" s="210"/>
      <c r="AP770" s="210"/>
      <c r="AQ770" s="210"/>
      <c r="AR770" s="210"/>
      <c r="AS770" s="210"/>
    </row>
    <row r="771" spans="1:45" ht="13.5" customHeight="1">
      <c r="A771" s="219"/>
      <c r="B771" s="210"/>
      <c r="C771" s="210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  <c r="AB771" s="221"/>
      <c r="AC771" s="221"/>
      <c r="AD771" s="221"/>
      <c r="AE771" s="221"/>
      <c r="AF771" s="221"/>
      <c r="AG771" s="221"/>
      <c r="AH771" s="219"/>
      <c r="AI771" s="219"/>
      <c r="AJ771" s="210"/>
      <c r="AK771" s="210"/>
      <c r="AL771" s="210"/>
      <c r="AM771" s="210"/>
      <c r="AN771" s="210"/>
      <c r="AO771" s="210"/>
      <c r="AP771" s="210"/>
      <c r="AQ771" s="210"/>
      <c r="AR771" s="210"/>
      <c r="AS771" s="210"/>
    </row>
    <row r="772" spans="1:45" ht="13.5" customHeight="1">
      <c r="A772" s="219"/>
      <c r="B772" s="210"/>
      <c r="C772" s="210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  <c r="AB772" s="221"/>
      <c r="AC772" s="221"/>
      <c r="AD772" s="221"/>
      <c r="AE772" s="221"/>
      <c r="AF772" s="221"/>
      <c r="AG772" s="221"/>
      <c r="AH772" s="219"/>
      <c r="AI772" s="219"/>
      <c r="AJ772" s="210"/>
      <c r="AK772" s="210"/>
      <c r="AL772" s="210"/>
      <c r="AM772" s="210"/>
      <c r="AN772" s="210"/>
      <c r="AO772" s="210"/>
      <c r="AP772" s="210"/>
      <c r="AQ772" s="210"/>
      <c r="AR772" s="210"/>
      <c r="AS772" s="210"/>
    </row>
    <row r="773" spans="1:45" ht="13.5" customHeight="1">
      <c r="A773" s="219"/>
      <c r="B773" s="210"/>
      <c r="C773" s="210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  <c r="AB773" s="221"/>
      <c r="AC773" s="221"/>
      <c r="AD773" s="221"/>
      <c r="AE773" s="221"/>
      <c r="AF773" s="221"/>
      <c r="AG773" s="221"/>
      <c r="AH773" s="219"/>
      <c r="AI773" s="219"/>
      <c r="AJ773" s="210"/>
      <c r="AK773" s="210"/>
      <c r="AL773" s="210"/>
      <c r="AM773" s="210"/>
      <c r="AN773" s="210"/>
      <c r="AO773" s="210"/>
      <c r="AP773" s="210"/>
      <c r="AQ773" s="210"/>
      <c r="AR773" s="210"/>
      <c r="AS773" s="210"/>
    </row>
    <row r="774" spans="1:45" ht="13.5" customHeight="1">
      <c r="A774" s="219"/>
      <c r="B774" s="210"/>
      <c r="C774" s="210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  <c r="AB774" s="221"/>
      <c r="AC774" s="221"/>
      <c r="AD774" s="221"/>
      <c r="AE774" s="221"/>
      <c r="AF774" s="221"/>
      <c r="AG774" s="221"/>
      <c r="AH774" s="219"/>
      <c r="AI774" s="219"/>
      <c r="AJ774" s="210"/>
      <c r="AK774" s="210"/>
      <c r="AL774" s="210"/>
      <c r="AM774" s="210"/>
      <c r="AN774" s="210"/>
      <c r="AO774" s="210"/>
      <c r="AP774" s="210"/>
      <c r="AQ774" s="210"/>
      <c r="AR774" s="210"/>
      <c r="AS774" s="210"/>
    </row>
    <row r="775" spans="1:45" ht="13.5" customHeight="1">
      <c r="A775" s="219"/>
      <c r="B775" s="210"/>
      <c r="C775" s="210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  <c r="AB775" s="221"/>
      <c r="AC775" s="221"/>
      <c r="AD775" s="221"/>
      <c r="AE775" s="221"/>
      <c r="AF775" s="221"/>
      <c r="AG775" s="221"/>
      <c r="AH775" s="219"/>
      <c r="AI775" s="219"/>
      <c r="AJ775" s="210"/>
      <c r="AK775" s="210"/>
      <c r="AL775" s="210"/>
      <c r="AM775" s="210"/>
      <c r="AN775" s="210"/>
      <c r="AO775" s="210"/>
      <c r="AP775" s="210"/>
      <c r="AQ775" s="210"/>
      <c r="AR775" s="210"/>
      <c r="AS775" s="210"/>
    </row>
    <row r="776" spans="1:45" ht="13.5" customHeight="1">
      <c r="A776" s="219"/>
      <c r="B776" s="210"/>
      <c r="C776" s="210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  <c r="AB776" s="221"/>
      <c r="AC776" s="221"/>
      <c r="AD776" s="221"/>
      <c r="AE776" s="221"/>
      <c r="AF776" s="221"/>
      <c r="AG776" s="221"/>
      <c r="AH776" s="219"/>
      <c r="AI776" s="219"/>
      <c r="AJ776" s="210"/>
      <c r="AK776" s="210"/>
      <c r="AL776" s="210"/>
      <c r="AM776" s="210"/>
      <c r="AN776" s="210"/>
      <c r="AO776" s="210"/>
      <c r="AP776" s="210"/>
      <c r="AQ776" s="210"/>
      <c r="AR776" s="210"/>
      <c r="AS776" s="210"/>
    </row>
    <row r="777" spans="1:45" ht="13.5" customHeight="1">
      <c r="A777" s="219"/>
      <c r="B777" s="210"/>
      <c r="C777" s="210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  <c r="AB777" s="221"/>
      <c r="AC777" s="221"/>
      <c r="AD777" s="221"/>
      <c r="AE777" s="221"/>
      <c r="AF777" s="221"/>
      <c r="AG777" s="221"/>
      <c r="AH777" s="219"/>
      <c r="AI777" s="219"/>
      <c r="AJ777" s="210"/>
      <c r="AK777" s="210"/>
      <c r="AL777" s="210"/>
      <c r="AM777" s="210"/>
      <c r="AN777" s="210"/>
      <c r="AO777" s="210"/>
      <c r="AP777" s="210"/>
      <c r="AQ777" s="210"/>
      <c r="AR777" s="210"/>
      <c r="AS777" s="210"/>
    </row>
    <row r="778" spans="1:45" ht="13.5" customHeight="1">
      <c r="A778" s="219"/>
      <c r="B778" s="210"/>
      <c r="C778" s="210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  <c r="AB778" s="221"/>
      <c r="AC778" s="221"/>
      <c r="AD778" s="221"/>
      <c r="AE778" s="221"/>
      <c r="AF778" s="221"/>
      <c r="AG778" s="221"/>
      <c r="AH778" s="219"/>
      <c r="AI778" s="219"/>
      <c r="AJ778" s="210"/>
      <c r="AK778" s="210"/>
      <c r="AL778" s="210"/>
      <c r="AM778" s="210"/>
      <c r="AN778" s="210"/>
      <c r="AO778" s="210"/>
      <c r="AP778" s="210"/>
      <c r="AQ778" s="210"/>
      <c r="AR778" s="210"/>
      <c r="AS778" s="210"/>
    </row>
    <row r="779" spans="1:45" ht="13.5" customHeight="1">
      <c r="A779" s="219"/>
      <c r="B779" s="210"/>
      <c r="C779" s="210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  <c r="AB779" s="221"/>
      <c r="AC779" s="221"/>
      <c r="AD779" s="221"/>
      <c r="AE779" s="221"/>
      <c r="AF779" s="221"/>
      <c r="AG779" s="221"/>
      <c r="AH779" s="219"/>
      <c r="AI779" s="219"/>
      <c r="AJ779" s="210"/>
      <c r="AK779" s="210"/>
      <c r="AL779" s="210"/>
      <c r="AM779" s="210"/>
      <c r="AN779" s="210"/>
      <c r="AO779" s="210"/>
      <c r="AP779" s="210"/>
      <c r="AQ779" s="210"/>
      <c r="AR779" s="210"/>
      <c r="AS779" s="210"/>
    </row>
    <row r="780" spans="1:45" ht="13.5" customHeight="1">
      <c r="A780" s="219"/>
      <c r="B780" s="210"/>
      <c r="C780" s="210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  <c r="AB780" s="221"/>
      <c r="AC780" s="221"/>
      <c r="AD780" s="221"/>
      <c r="AE780" s="221"/>
      <c r="AF780" s="221"/>
      <c r="AG780" s="221"/>
      <c r="AH780" s="219"/>
      <c r="AI780" s="219"/>
      <c r="AJ780" s="210"/>
      <c r="AK780" s="210"/>
      <c r="AL780" s="210"/>
      <c r="AM780" s="210"/>
      <c r="AN780" s="210"/>
      <c r="AO780" s="210"/>
      <c r="AP780" s="210"/>
      <c r="AQ780" s="210"/>
      <c r="AR780" s="210"/>
      <c r="AS780" s="210"/>
    </row>
    <row r="781" spans="1:45" ht="13.5" customHeight="1">
      <c r="A781" s="219"/>
      <c r="B781" s="210"/>
      <c r="C781" s="210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  <c r="AB781" s="221"/>
      <c r="AC781" s="221"/>
      <c r="AD781" s="221"/>
      <c r="AE781" s="221"/>
      <c r="AF781" s="221"/>
      <c r="AG781" s="221"/>
      <c r="AH781" s="219"/>
      <c r="AI781" s="219"/>
      <c r="AJ781" s="210"/>
      <c r="AK781" s="210"/>
      <c r="AL781" s="210"/>
      <c r="AM781" s="210"/>
      <c r="AN781" s="210"/>
      <c r="AO781" s="210"/>
      <c r="AP781" s="210"/>
      <c r="AQ781" s="210"/>
      <c r="AR781" s="210"/>
      <c r="AS781" s="210"/>
    </row>
    <row r="782" spans="1:45" ht="13.5" customHeight="1">
      <c r="A782" s="219"/>
      <c r="B782" s="210"/>
      <c r="C782" s="210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  <c r="AB782" s="221"/>
      <c r="AC782" s="221"/>
      <c r="AD782" s="221"/>
      <c r="AE782" s="221"/>
      <c r="AF782" s="221"/>
      <c r="AG782" s="221"/>
      <c r="AH782" s="219"/>
      <c r="AI782" s="219"/>
      <c r="AJ782" s="210"/>
      <c r="AK782" s="210"/>
      <c r="AL782" s="210"/>
      <c r="AM782" s="210"/>
      <c r="AN782" s="210"/>
      <c r="AO782" s="210"/>
      <c r="AP782" s="210"/>
      <c r="AQ782" s="210"/>
      <c r="AR782" s="210"/>
      <c r="AS782" s="210"/>
    </row>
    <row r="783" spans="1:45" ht="13.5" customHeight="1">
      <c r="A783" s="219"/>
      <c r="B783" s="210"/>
      <c r="C783" s="210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  <c r="AB783" s="221"/>
      <c r="AC783" s="221"/>
      <c r="AD783" s="221"/>
      <c r="AE783" s="221"/>
      <c r="AF783" s="221"/>
      <c r="AG783" s="221"/>
      <c r="AH783" s="219"/>
      <c r="AI783" s="219"/>
      <c r="AJ783" s="210"/>
      <c r="AK783" s="210"/>
      <c r="AL783" s="210"/>
      <c r="AM783" s="210"/>
      <c r="AN783" s="210"/>
      <c r="AO783" s="210"/>
      <c r="AP783" s="210"/>
      <c r="AQ783" s="210"/>
      <c r="AR783" s="210"/>
      <c r="AS783" s="210"/>
    </row>
    <row r="784" spans="1:45" ht="13.5" customHeight="1">
      <c r="A784" s="219"/>
      <c r="B784" s="210"/>
      <c r="C784" s="210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  <c r="AB784" s="221"/>
      <c r="AC784" s="221"/>
      <c r="AD784" s="221"/>
      <c r="AE784" s="221"/>
      <c r="AF784" s="221"/>
      <c r="AG784" s="221"/>
      <c r="AH784" s="219"/>
      <c r="AI784" s="219"/>
      <c r="AJ784" s="210"/>
      <c r="AK784" s="210"/>
      <c r="AL784" s="210"/>
      <c r="AM784" s="210"/>
      <c r="AN784" s="210"/>
      <c r="AO784" s="210"/>
      <c r="AP784" s="210"/>
      <c r="AQ784" s="210"/>
      <c r="AR784" s="210"/>
      <c r="AS784" s="210"/>
    </row>
    <row r="785" spans="1:45" ht="13.5" customHeight="1">
      <c r="A785" s="219"/>
      <c r="B785" s="210"/>
      <c r="C785" s="210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  <c r="AB785" s="221"/>
      <c r="AC785" s="221"/>
      <c r="AD785" s="221"/>
      <c r="AE785" s="221"/>
      <c r="AF785" s="221"/>
      <c r="AG785" s="221"/>
      <c r="AH785" s="219"/>
      <c r="AI785" s="219"/>
      <c r="AJ785" s="210"/>
      <c r="AK785" s="210"/>
      <c r="AL785" s="210"/>
      <c r="AM785" s="210"/>
      <c r="AN785" s="210"/>
      <c r="AO785" s="210"/>
      <c r="AP785" s="210"/>
      <c r="AQ785" s="210"/>
      <c r="AR785" s="210"/>
      <c r="AS785" s="210"/>
    </row>
    <row r="786" spans="1:45" ht="13.5" customHeight="1">
      <c r="A786" s="219"/>
      <c r="B786" s="210"/>
      <c r="C786" s="210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  <c r="AB786" s="221"/>
      <c r="AC786" s="221"/>
      <c r="AD786" s="221"/>
      <c r="AE786" s="221"/>
      <c r="AF786" s="221"/>
      <c r="AG786" s="221"/>
      <c r="AH786" s="219"/>
      <c r="AI786" s="219"/>
      <c r="AJ786" s="210"/>
      <c r="AK786" s="210"/>
      <c r="AL786" s="210"/>
      <c r="AM786" s="210"/>
      <c r="AN786" s="210"/>
      <c r="AO786" s="210"/>
      <c r="AP786" s="210"/>
      <c r="AQ786" s="210"/>
      <c r="AR786" s="210"/>
      <c r="AS786" s="210"/>
    </row>
    <row r="787" spans="1:45" ht="13.5" customHeight="1">
      <c r="A787" s="219"/>
      <c r="B787" s="210"/>
      <c r="C787" s="210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  <c r="AB787" s="221"/>
      <c r="AC787" s="221"/>
      <c r="AD787" s="221"/>
      <c r="AE787" s="221"/>
      <c r="AF787" s="221"/>
      <c r="AG787" s="221"/>
      <c r="AH787" s="219"/>
      <c r="AI787" s="219"/>
      <c r="AJ787" s="210"/>
      <c r="AK787" s="210"/>
      <c r="AL787" s="210"/>
      <c r="AM787" s="210"/>
      <c r="AN787" s="210"/>
      <c r="AO787" s="210"/>
      <c r="AP787" s="210"/>
      <c r="AQ787" s="210"/>
      <c r="AR787" s="210"/>
      <c r="AS787" s="210"/>
    </row>
    <row r="788" spans="1:45" ht="13.5" customHeight="1">
      <c r="A788" s="219"/>
      <c r="B788" s="210"/>
      <c r="C788" s="210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  <c r="AB788" s="221"/>
      <c r="AC788" s="221"/>
      <c r="AD788" s="221"/>
      <c r="AE788" s="221"/>
      <c r="AF788" s="221"/>
      <c r="AG788" s="221"/>
      <c r="AH788" s="219"/>
      <c r="AI788" s="219"/>
      <c r="AJ788" s="210"/>
      <c r="AK788" s="210"/>
      <c r="AL788" s="210"/>
      <c r="AM788" s="210"/>
      <c r="AN788" s="210"/>
      <c r="AO788" s="210"/>
      <c r="AP788" s="210"/>
      <c r="AQ788" s="210"/>
      <c r="AR788" s="210"/>
      <c r="AS788" s="210"/>
    </row>
    <row r="789" spans="1:45" ht="13.5" customHeight="1">
      <c r="A789" s="219"/>
      <c r="B789" s="210"/>
      <c r="C789" s="210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  <c r="AB789" s="221"/>
      <c r="AC789" s="221"/>
      <c r="AD789" s="221"/>
      <c r="AE789" s="221"/>
      <c r="AF789" s="221"/>
      <c r="AG789" s="221"/>
      <c r="AH789" s="219"/>
      <c r="AI789" s="219"/>
      <c r="AJ789" s="210"/>
      <c r="AK789" s="210"/>
      <c r="AL789" s="210"/>
      <c r="AM789" s="210"/>
      <c r="AN789" s="210"/>
      <c r="AO789" s="210"/>
      <c r="AP789" s="210"/>
      <c r="AQ789" s="210"/>
      <c r="AR789" s="210"/>
      <c r="AS789" s="210"/>
    </row>
    <row r="790" spans="1:45" ht="13.5" customHeight="1">
      <c r="A790" s="219"/>
      <c r="B790" s="210"/>
      <c r="C790" s="210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  <c r="AB790" s="221"/>
      <c r="AC790" s="221"/>
      <c r="AD790" s="221"/>
      <c r="AE790" s="221"/>
      <c r="AF790" s="221"/>
      <c r="AG790" s="221"/>
      <c r="AH790" s="219"/>
      <c r="AI790" s="219"/>
      <c r="AJ790" s="210"/>
      <c r="AK790" s="210"/>
      <c r="AL790" s="210"/>
      <c r="AM790" s="210"/>
      <c r="AN790" s="210"/>
      <c r="AO790" s="210"/>
      <c r="AP790" s="210"/>
      <c r="AQ790" s="210"/>
      <c r="AR790" s="210"/>
      <c r="AS790" s="210"/>
    </row>
    <row r="791" spans="1:45" ht="13.5" customHeight="1">
      <c r="A791" s="219"/>
      <c r="B791" s="210"/>
      <c r="C791" s="210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  <c r="AB791" s="221"/>
      <c r="AC791" s="221"/>
      <c r="AD791" s="221"/>
      <c r="AE791" s="221"/>
      <c r="AF791" s="221"/>
      <c r="AG791" s="221"/>
      <c r="AH791" s="219"/>
      <c r="AI791" s="219"/>
      <c r="AJ791" s="210"/>
      <c r="AK791" s="210"/>
      <c r="AL791" s="210"/>
      <c r="AM791" s="210"/>
      <c r="AN791" s="210"/>
      <c r="AO791" s="210"/>
      <c r="AP791" s="210"/>
      <c r="AQ791" s="210"/>
      <c r="AR791" s="210"/>
      <c r="AS791" s="210"/>
    </row>
    <row r="792" spans="1:45" ht="13.5" customHeight="1">
      <c r="A792" s="219"/>
      <c r="B792" s="210"/>
      <c r="C792" s="210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  <c r="AB792" s="221"/>
      <c r="AC792" s="221"/>
      <c r="AD792" s="221"/>
      <c r="AE792" s="221"/>
      <c r="AF792" s="221"/>
      <c r="AG792" s="221"/>
      <c r="AH792" s="219"/>
      <c r="AI792" s="219"/>
      <c r="AJ792" s="210"/>
      <c r="AK792" s="210"/>
      <c r="AL792" s="210"/>
      <c r="AM792" s="210"/>
      <c r="AN792" s="210"/>
      <c r="AO792" s="210"/>
      <c r="AP792" s="210"/>
      <c r="AQ792" s="210"/>
      <c r="AR792" s="210"/>
      <c r="AS792" s="210"/>
    </row>
    <row r="793" spans="1:45" ht="13.5" customHeight="1">
      <c r="A793" s="219"/>
      <c r="B793" s="210"/>
      <c r="C793" s="210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  <c r="AB793" s="221"/>
      <c r="AC793" s="221"/>
      <c r="AD793" s="221"/>
      <c r="AE793" s="221"/>
      <c r="AF793" s="221"/>
      <c r="AG793" s="221"/>
      <c r="AH793" s="219"/>
      <c r="AI793" s="219"/>
      <c r="AJ793" s="210"/>
      <c r="AK793" s="210"/>
      <c r="AL793" s="210"/>
      <c r="AM793" s="210"/>
      <c r="AN793" s="210"/>
      <c r="AO793" s="210"/>
      <c r="AP793" s="210"/>
      <c r="AQ793" s="210"/>
      <c r="AR793" s="210"/>
      <c r="AS793" s="210"/>
    </row>
    <row r="794" spans="1:45" ht="13.5" customHeight="1">
      <c r="A794" s="219"/>
      <c r="B794" s="210"/>
      <c r="C794" s="210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  <c r="AB794" s="221"/>
      <c r="AC794" s="221"/>
      <c r="AD794" s="221"/>
      <c r="AE794" s="221"/>
      <c r="AF794" s="221"/>
      <c r="AG794" s="221"/>
      <c r="AH794" s="219"/>
      <c r="AI794" s="219"/>
      <c r="AJ794" s="210"/>
      <c r="AK794" s="210"/>
      <c r="AL794" s="210"/>
      <c r="AM794" s="210"/>
      <c r="AN794" s="210"/>
      <c r="AO794" s="210"/>
      <c r="AP794" s="210"/>
      <c r="AQ794" s="210"/>
      <c r="AR794" s="210"/>
      <c r="AS794" s="210"/>
    </row>
    <row r="795" spans="1:45" ht="13.5" customHeight="1">
      <c r="A795" s="219"/>
      <c r="B795" s="210"/>
      <c r="C795" s="210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  <c r="AB795" s="221"/>
      <c r="AC795" s="221"/>
      <c r="AD795" s="221"/>
      <c r="AE795" s="221"/>
      <c r="AF795" s="221"/>
      <c r="AG795" s="221"/>
      <c r="AH795" s="219"/>
      <c r="AI795" s="219"/>
      <c r="AJ795" s="210"/>
      <c r="AK795" s="210"/>
      <c r="AL795" s="210"/>
      <c r="AM795" s="210"/>
      <c r="AN795" s="210"/>
      <c r="AO795" s="210"/>
      <c r="AP795" s="210"/>
      <c r="AQ795" s="210"/>
      <c r="AR795" s="210"/>
      <c r="AS795" s="210"/>
    </row>
    <row r="796" spans="1:45" ht="13.5" customHeight="1">
      <c r="A796" s="219"/>
      <c r="B796" s="210"/>
      <c r="C796" s="210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  <c r="AB796" s="221"/>
      <c r="AC796" s="221"/>
      <c r="AD796" s="221"/>
      <c r="AE796" s="221"/>
      <c r="AF796" s="221"/>
      <c r="AG796" s="221"/>
      <c r="AH796" s="219"/>
      <c r="AI796" s="219"/>
      <c r="AJ796" s="210"/>
      <c r="AK796" s="210"/>
      <c r="AL796" s="210"/>
      <c r="AM796" s="210"/>
      <c r="AN796" s="210"/>
      <c r="AO796" s="210"/>
      <c r="AP796" s="210"/>
      <c r="AQ796" s="210"/>
      <c r="AR796" s="210"/>
      <c r="AS796" s="210"/>
    </row>
    <row r="797" spans="1:45" ht="13.5" customHeight="1">
      <c r="A797" s="219"/>
      <c r="B797" s="210"/>
      <c r="C797" s="210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  <c r="AB797" s="221"/>
      <c r="AC797" s="221"/>
      <c r="AD797" s="221"/>
      <c r="AE797" s="221"/>
      <c r="AF797" s="221"/>
      <c r="AG797" s="221"/>
      <c r="AH797" s="219"/>
      <c r="AI797" s="219"/>
      <c r="AJ797" s="210"/>
      <c r="AK797" s="210"/>
      <c r="AL797" s="210"/>
      <c r="AM797" s="210"/>
      <c r="AN797" s="210"/>
      <c r="AO797" s="210"/>
      <c r="AP797" s="210"/>
      <c r="AQ797" s="210"/>
      <c r="AR797" s="210"/>
      <c r="AS797" s="210"/>
    </row>
    <row r="798" spans="1:45" ht="13.5" customHeight="1">
      <c r="A798" s="219"/>
      <c r="B798" s="210"/>
      <c r="C798" s="210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  <c r="AB798" s="221"/>
      <c r="AC798" s="221"/>
      <c r="AD798" s="221"/>
      <c r="AE798" s="221"/>
      <c r="AF798" s="221"/>
      <c r="AG798" s="221"/>
      <c r="AH798" s="219"/>
      <c r="AI798" s="219"/>
      <c r="AJ798" s="210"/>
      <c r="AK798" s="210"/>
      <c r="AL798" s="210"/>
      <c r="AM798" s="210"/>
      <c r="AN798" s="210"/>
      <c r="AO798" s="210"/>
      <c r="AP798" s="210"/>
      <c r="AQ798" s="210"/>
      <c r="AR798" s="210"/>
      <c r="AS798" s="210"/>
    </row>
    <row r="799" spans="1:45" ht="13.5" customHeight="1">
      <c r="A799" s="219"/>
      <c r="B799" s="210"/>
      <c r="C799" s="210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  <c r="AB799" s="221"/>
      <c r="AC799" s="221"/>
      <c r="AD799" s="221"/>
      <c r="AE799" s="221"/>
      <c r="AF799" s="221"/>
      <c r="AG799" s="221"/>
      <c r="AH799" s="219"/>
      <c r="AI799" s="219"/>
      <c r="AJ799" s="210"/>
      <c r="AK799" s="210"/>
      <c r="AL799" s="210"/>
      <c r="AM799" s="210"/>
      <c r="AN799" s="210"/>
      <c r="AO799" s="210"/>
      <c r="AP799" s="210"/>
      <c r="AQ799" s="210"/>
      <c r="AR799" s="210"/>
      <c r="AS799" s="210"/>
    </row>
    <row r="800" spans="1:45" ht="13.5" customHeight="1">
      <c r="A800" s="219"/>
      <c r="B800" s="210"/>
      <c r="C800" s="210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  <c r="AB800" s="221"/>
      <c r="AC800" s="221"/>
      <c r="AD800" s="221"/>
      <c r="AE800" s="221"/>
      <c r="AF800" s="221"/>
      <c r="AG800" s="221"/>
      <c r="AH800" s="219"/>
      <c r="AI800" s="219"/>
      <c r="AJ800" s="210"/>
      <c r="AK800" s="210"/>
      <c r="AL800" s="210"/>
      <c r="AM800" s="210"/>
      <c r="AN800" s="210"/>
      <c r="AO800" s="210"/>
      <c r="AP800" s="210"/>
      <c r="AQ800" s="210"/>
      <c r="AR800" s="210"/>
      <c r="AS800" s="210"/>
    </row>
    <row r="801" spans="1:45" ht="13.5" customHeight="1">
      <c r="A801" s="219"/>
      <c r="B801" s="210"/>
      <c r="C801" s="210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  <c r="AB801" s="221"/>
      <c r="AC801" s="221"/>
      <c r="AD801" s="221"/>
      <c r="AE801" s="221"/>
      <c r="AF801" s="221"/>
      <c r="AG801" s="221"/>
      <c r="AH801" s="219"/>
      <c r="AI801" s="219"/>
      <c r="AJ801" s="210"/>
      <c r="AK801" s="210"/>
      <c r="AL801" s="210"/>
      <c r="AM801" s="210"/>
      <c r="AN801" s="210"/>
      <c r="AO801" s="210"/>
      <c r="AP801" s="210"/>
      <c r="AQ801" s="210"/>
      <c r="AR801" s="210"/>
      <c r="AS801" s="210"/>
    </row>
    <row r="802" spans="1:45" ht="13.5" customHeight="1">
      <c r="A802" s="219"/>
      <c r="B802" s="210"/>
      <c r="C802" s="210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  <c r="AB802" s="221"/>
      <c r="AC802" s="221"/>
      <c r="AD802" s="221"/>
      <c r="AE802" s="221"/>
      <c r="AF802" s="221"/>
      <c r="AG802" s="221"/>
      <c r="AH802" s="219"/>
      <c r="AI802" s="219"/>
      <c r="AJ802" s="210"/>
      <c r="AK802" s="210"/>
      <c r="AL802" s="210"/>
      <c r="AM802" s="210"/>
      <c r="AN802" s="210"/>
      <c r="AO802" s="210"/>
      <c r="AP802" s="210"/>
      <c r="AQ802" s="210"/>
      <c r="AR802" s="210"/>
      <c r="AS802" s="210"/>
    </row>
    <row r="803" spans="1:45" ht="13.5" customHeight="1">
      <c r="A803" s="219"/>
      <c r="B803" s="210"/>
      <c r="C803" s="210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  <c r="AB803" s="221"/>
      <c r="AC803" s="221"/>
      <c r="AD803" s="221"/>
      <c r="AE803" s="221"/>
      <c r="AF803" s="221"/>
      <c r="AG803" s="221"/>
      <c r="AH803" s="219"/>
      <c r="AI803" s="219"/>
      <c r="AJ803" s="210"/>
      <c r="AK803" s="210"/>
      <c r="AL803" s="210"/>
      <c r="AM803" s="210"/>
      <c r="AN803" s="210"/>
      <c r="AO803" s="210"/>
      <c r="AP803" s="210"/>
      <c r="AQ803" s="210"/>
      <c r="AR803" s="210"/>
      <c r="AS803" s="210"/>
    </row>
    <row r="804" spans="1:45" ht="13.5" customHeight="1">
      <c r="A804" s="219"/>
      <c r="B804" s="210"/>
      <c r="C804" s="210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  <c r="AB804" s="221"/>
      <c r="AC804" s="221"/>
      <c r="AD804" s="221"/>
      <c r="AE804" s="221"/>
      <c r="AF804" s="221"/>
      <c r="AG804" s="221"/>
      <c r="AH804" s="219"/>
      <c r="AI804" s="219"/>
      <c r="AJ804" s="210"/>
      <c r="AK804" s="210"/>
      <c r="AL804" s="210"/>
      <c r="AM804" s="210"/>
      <c r="AN804" s="210"/>
      <c r="AO804" s="210"/>
      <c r="AP804" s="210"/>
      <c r="AQ804" s="210"/>
      <c r="AR804" s="210"/>
      <c r="AS804" s="210"/>
    </row>
    <row r="805" spans="1:45" ht="13.5" customHeight="1">
      <c r="A805" s="219"/>
      <c r="B805" s="210"/>
      <c r="C805" s="210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  <c r="AB805" s="221"/>
      <c r="AC805" s="221"/>
      <c r="AD805" s="221"/>
      <c r="AE805" s="221"/>
      <c r="AF805" s="221"/>
      <c r="AG805" s="221"/>
      <c r="AH805" s="219"/>
      <c r="AI805" s="219"/>
      <c r="AJ805" s="210"/>
      <c r="AK805" s="210"/>
      <c r="AL805" s="210"/>
      <c r="AM805" s="210"/>
      <c r="AN805" s="210"/>
      <c r="AO805" s="210"/>
      <c r="AP805" s="210"/>
      <c r="AQ805" s="210"/>
      <c r="AR805" s="210"/>
      <c r="AS805" s="210"/>
    </row>
    <row r="806" spans="1:45" ht="13.5" customHeight="1">
      <c r="A806" s="219"/>
      <c r="B806" s="210"/>
      <c r="C806" s="210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  <c r="AB806" s="221"/>
      <c r="AC806" s="221"/>
      <c r="AD806" s="221"/>
      <c r="AE806" s="221"/>
      <c r="AF806" s="221"/>
      <c r="AG806" s="221"/>
      <c r="AH806" s="219"/>
      <c r="AI806" s="219"/>
      <c r="AJ806" s="210"/>
      <c r="AK806" s="210"/>
      <c r="AL806" s="210"/>
      <c r="AM806" s="210"/>
      <c r="AN806" s="210"/>
      <c r="AO806" s="210"/>
      <c r="AP806" s="210"/>
      <c r="AQ806" s="210"/>
      <c r="AR806" s="210"/>
      <c r="AS806" s="210"/>
    </row>
    <row r="807" spans="1:45" ht="13.5" customHeight="1">
      <c r="A807" s="219"/>
      <c r="B807" s="210"/>
      <c r="C807" s="210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  <c r="AB807" s="221"/>
      <c r="AC807" s="221"/>
      <c r="AD807" s="221"/>
      <c r="AE807" s="221"/>
      <c r="AF807" s="221"/>
      <c r="AG807" s="221"/>
      <c r="AH807" s="219"/>
      <c r="AI807" s="219"/>
      <c r="AJ807" s="210"/>
      <c r="AK807" s="210"/>
      <c r="AL807" s="210"/>
      <c r="AM807" s="210"/>
      <c r="AN807" s="210"/>
      <c r="AO807" s="210"/>
      <c r="AP807" s="210"/>
      <c r="AQ807" s="210"/>
      <c r="AR807" s="210"/>
      <c r="AS807" s="210"/>
    </row>
    <row r="808" spans="1:45" ht="13.5" customHeight="1">
      <c r="A808" s="219"/>
      <c r="B808" s="210"/>
      <c r="C808" s="210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  <c r="AB808" s="221"/>
      <c r="AC808" s="221"/>
      <c r="AD808" s="221"/>
      <c r="AE808" s="221"/>
      <c r="AF808" s="221"/>
      <c r="AG808" s="221"/>
      <c r="AH808" s="219"/>
      <c r="AI808" s="219"/>
      <c r="AJ808" s="210"/>
      <c r="AK808" s="210"/>
      <c r="AL808" s="210"/>
      <c r="AM808" s="210"/>
      <c r="AN808" s="210"/>
      <c r="AO808" s="210"/>
      <c r="AP808" s="210"/>
      <c r="AQ808" s="210"/>
      <c r="AR808" s="210"/>
      <c r="AS808" s="210"/>
    </row>
    <row r="809" spans="1:45" ht="13.5" customHeight="1">
      <c r="A809" s="219"/>
      <c r="B809" s="210"/>
      <c r="C809" s="210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  <c r="AB809" s="221"/>
      <c r="AC809" s="221"/>
      <c r="AD809" s="221"/>
      <c r="AE809" s="221"/>
      <c r="AF809" s="221"/>
      <c r="AG809" s="221"/>
      <c r="AH809" s="219"/>
      <c r="AI809" s="219"/>
      <c r="AJ809" s="210"/>
      <c r="AK809" s="210"/>
      <c r="AL809" s="210"/>
      <c r="AM809" s="210"/>
      <c r="AN809" s="210"/>
      <c r="AO809" s="210"/>
      <c r="AP809" s="210"/>
      <c r="AQ809" s="210"/>
      <c r="AR809" s="210"/>
      <c r="AS809" s="210"/>
    </row>
    <row r="810" spans="1:45" ht="13.5" customHeight="1">
      <c r="A810" s="219"/>
      <c r="B810" s="210"/>
      <c r="C810" s="210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  <c r="AB810" s="221"/>
      <c r="AC810" s="221"/>
      <c r="AD810" s="221"/>
      <c r="AE810" s="221"/>
      <c r="AF810" s="221"/>
      <c r="AG810" s="221"/>
      <c r="AH810" s="219"/>
      <c r="AI810" s="219"/>
      <c r="AJ810" s="210"/>
      <c r="AK810" s="210"/>
      <c r="AL810" s="210"/>
      <c r="AM810" s="210"/>
      <c r="AN810" s="210"/>
      <c r="AO810" s="210"/>
      <c r="AP810" s="210"/>
      <c r="AQ810" s="210"/>
      <c r="AR810" s="210"/>
      <c r="AS810" s="210"/>
    </row>
    <row r="811" spans="1:45" ht="13.5" customHeight="1">
      <c r="A811" s="219"/>
      <c r="B811" s="210"/>
      <c r="C811" s="210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  <c r="AB811" s="221"/>
      <c r="AC811" s="221"/>
      <c r="AD811" s="221"/>
      <c r="AE811" s="221"/>
      <c r="AF811" s="221"/>
      <c r="AG811" s="221"/>
      <c r="AH811" s="219"/>
      <c r="AI811" s="219"/>
      <c r="AJ811" s="210"/>
      <c r="AK811" s="210"/>
      <c r="AL811" s="210"/>
      <c r="AM811" s="210"/>
      <c r="AN811" s="210"/>
      <c r="AO811" s="210"/>
      <c r="AP811" s="210"/>
      <c r="AQ811" s="210"/>
      <c r="AR811" s="210"/>
      <c r="AS811" s="210"/>
    </row>
    <row r="812" spans="1:45" ht="13.5" customHeight="1">
      <c r="A812" s="219"/>
      <c r="B812" s="210"/>
      <c r="C812" s="210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  <c r="AB812" s="221"/>
      <c r="AC812" s="221"/>
      <c r="AD812" s="221"/>
      <c r="AE812" s="221"/>
      <c r="AF812" s="221"/>
      <c r="AG812" s="221"/>
      <c r="AH812" s="219"/>
      <c r="AI812" s="219"/>
      <c r="AJ812" s="210"/>
      <c r="AK812" s="210"/>
      <c r="AL812" s="210"/>
      <c r="AM812" s="210"/>
      <c r="AN812" s="210"/>
      <c r="AO812" s="210"/>
      <c r="AP812" s="210"/>
      <c r="AQ812" s="210"/>
      <c r="AR812" s="210"/>
      <c r="AS812" s="210"/>
    </row>
    <row r="813" spans="1:45" ht="13.5" customHeight="1">
      <c r="A813" s="219"/>
      <c r="B813" s="210"/>
      <c r="C813" s="210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  <c r="AB813" s="221"/>
      <c r="AC813" s="221"/>
      <c r="AD813" s="221"/>
      <c r="AE813" s="221"/>
      <c r="AF813" s="221"/>
      <c r="AG813" s="221"/>
      <c r="AH813" s="219"/>
      <c r="AI813" s="219"/>
      <c r="AJ813" s="210"/>
      <c r="AK813" s="210"/>
      <c r="AL813" s="210"/>
      <c r="AM813" s="210"/>
      <c r="AN813" s="210"/>
      <c r="AO813" s="210"/>
      <c r="AP813" s="210"/>
      <c r="AQ813" s="210"/>
      <c r="AR813" s="210"/>
      <c r="AS813" s="210"/>
    </row>
    <row r="814" spans="1:45" ht="13.5" customHeight="1">
      <c r="A814" s="219"/>
      <c r="B814" s="210"/>
      <c r="C814" s="210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  <c r="AB814" s="221"/>
      <c r="AC814" s="221"/>
      <c r="AD814" s="221"/>
      <c r="AE814" s="221"/>
      <c r="AF814" s="221"/>
      <c r="AG814" s="221"/>
      <c r="AH814" s="219"/>
      <c r="AI814" s="219"/>
      <c r="AJ814" s="210"/>
      <c r="AK814" s="210"/>
      <c r="AL814" s="210"/>
      <c r="AM814" s="210"/>
      <c r="AN814" s="210"/>
      <c r="AO814" s="210"/>
      <c r="AP814" s="210"/>
      <c r="AQ814" s="210"/>
      <c r="AR814" s="210"/>
      <c r="AS814" s="210"/>
    </row>
    <row r="815" spans="1:45" ht="13.5" customHeight="1">
      <c r="A815" s="219"/>
      <c r="B815" s="210"/>
      <c r="C815" s="210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  <c r="AB815" s="221"/>
      <c r="AC815" s="221"/>
      <c r="AD815" s="221"/>
      <c r="AE815" s="221"/>
      <c r="AF815" s="221"/>
      <c r="AG815" s="221"/>
      <c r="AH815" s="219"/>
      <c r="AI815" s="219"/>
      <c r="AJ815" s="210"/>
      <c r="AK815" s="210"/>
      <c r="AL815" s="210"/>
      <c r="AM815" s="210"/>
      <c r="AN815" s="210"/>
      <c r="AO815" s="210"/>
      <c r="AP815" s="210"/>
      <c r="AQ815" s="210"/>
      <c r="AR815" s="210"/>
      <c r="AS815" s="210"/>
    </row>
    <row r="816" spans="1:45" ht="13.5" customHeight="1">
      <c r="A816" s="219"/>
      <c r="B816" s="210"/>
      <c r="C816" s="210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  <c r="AB816" s="221"/>
      <c r="AC816" s="221"/>
      <c r="AD816" s="221"/>
      <c r="AE816" s="221"/>
      <c r="AF816" s="221"/>
      <c r="AG816" s="221"/>
      <c r="AH816" s="219"/>
      <c r="AI816" s="219"/>
      <c r="AJ816" s="210"/>
      <c r="AK816" s="210"/>
      <c r="AL816" s="210"/>
      <c r="AM816" s="210"/>
      <c r="AN816" s="210"/>
      <c r="AO816" s="210"/>
      <c r="AP816" s="210"/>
      <c r="AQ816" s="210"/>
      <c r="AR816" s="210"/>
      <c r="AS816" s="210"/>
    </row>
    <row r="817" spans="1:45" ht="13.5" customHeight="1">
      <c r="A817" s="219"/>
      <c r="B817" s="210"/>
      <c r="C817" s="210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  <c r="AB817" s="221"/>
      <c r="AC817" s="221"/>
      <c r="AD817" s="221"/>
      <c r="AE817" s="221"/>
      <c r="AF817" s="221"/>
      <c r="AG817" s="221"/>
      <c r="AH817" s="219"/>
      <c r="AI817" s="219"/>
      <c r="AJ817" s="210"/>
      <c r="AK817" s="210"/>
      <c r="AL817" s="210"/>
      <c r="AM817" s="210"/>
      <c r="AN817" s="210"/>
      <c r="AO817" s="210"/>
      <c r="AP817" s="210"/>
      <c r="AQ817" s="210"/>
      <c r="AR817" s="210"/>
      <c r="AS817" s="210"/>
    </row>
    <row r="818" spans="1:45" ht="13.5" customHeight="1">
      <c r="A818" s="219"/>
      <c r="B818" s="210"/>
      <c r="C818" s="210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  <c r="AB818" s="221"/>
      <c r="AC818" s="221"/>
      <c r="AD818" s="221"/>
      <c r="AE818" s="221"/>
      <c r="AF818" s="221"/>
      <c r="AG818" s="221"/>
      <c r="AH818" s="219"/>
      <c r="AI818" s="219"/>
      <c r="AJ818" s="210"/>
      <c r="AK818" s="210"/>
      <c r="AL818" s="210"/>
      <c r="AM818" s="210"/>
      <c r="AN818" s="210"/>
      <c r="AO818" s="210"/>
      <c r="AP818" s="210"/>
      <c r="AQ818" s="210"/>
      <c r="AR818" s="210"/>
      <c r="AS818" s="210"/>
    </row>
    <row r="819" spans="1:45" ht="13.5" customHeight="1">
      <c r="A819" s="219"/>
      <c r="B819" s="210"/>
      <c r="C819" s="210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  <c r="AB819" s="221"/>
      <c r="AC819" s="221"/>
      <c r="AD819" s="221"/>
      <c r="AE819" s="221"/>
      <c r="AF819" s="221"/>
      <c r="AG819" s="221"/>
      <c r="AH819" s="219"/>
      <c r="AI819" s="219"/>
      <c r="AJ819" s="210"/>
      <c r="AK819" s="210"/>
      <c r="AL819" s="210"/>
      <c r="AM819" s="210"/>
      <c r="AN819" s="210"/>
      <c r="AO819" s="210"/>
      <c r="AP819" s="210"/>
      <c r="AQ819" s="210"/>
      <c r="AR819" s="210"/>
      <c r="AS819" s="210"/>
    </row>
    <row r="820" spans="1:45" ht="13.5" customHeight="1">
      <c r="A820" s="219"/>
      <c r="B820" s="210"/>
      <c r="C820" s="210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  <c r="AB820" s="221"/>
      <c r="AC820" s="221"/>
      <c r="AD820" s="221"/>
      <c r="AE820" s="221"/>
      <c r="AF820" s="221"/>
      <c r="AG820" s="221"/>
      <c r="AH820" s="219"/>
      <c r="AI820" s="219"/>
      <c r="AJ820" s="210"/>
      <c r="AK820" s="210"/>
      <c r="AL820" s="210"/>
      <c r="AM820" s="210"/>
      <c r="AN820" s="210"/>
      <c r="AO820" s="210"/>
      <c r="AP820" s="210"/>
      <c r="AQ820" s="210"/>
      <c r="AR820" s="210"/>
      <c r="AS820" s="210"/>
    </row>
    <row r="821" spans="1:45" ht="13.5" customHeight="1">
      <c r="A821" s="219"/>
      <c r="B821" s="210"/>
      <c r="C821" s="210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  <c r="AB821" s="221"/>
      <c r="AC821" s="221"/>
      <c r="AD821" s="221"/>
      <c r="AE821" s="221"/>
      <c r="AF821" s="221"/>
      <c r="AG821" s="221"/>
      <c r="AH821" s="219"/>
      <c r="AI821" s="219"/>
      <c r="AJ821" s="210"/>
      <c r="AK821" s="210"/>
      <c r="AL821" s="210"/>
      <c r="AM821" s="210"/>
      <c r="AN821" s="210"/>
      <c r="AO821" s="210"/>
      <c r="AP821" s="210"/>
      <c r="AQ821" s="210"/>
      <c r="AR821" s="210"/>
      <c r="AS821" s="210"/>
    </row>
    <row r="822" spans="1:45" ht="13.5" customHeight="1">
      <c r="A822" s="219"/>
      <c r="B822" s="210"/>
      <c r="C822" s="210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  <c r="AB822" s="221"/>
      <c r="AC822" s="221"/>
      <c r="AD822" s="221"/>
      <c r="AE822" s="221"/>
      <c r="AF822" s="221"/>
      <c r="AG822" s="221"/>
      <c r="AH822" s="219"/>
      <c r="AI822" s="219"/>
      <c r="AJ822" s="210"/>
      <c r="AK822" s="210"/>
      <c r="AL822" s="210"/>
      <c r="AM822" s="210"/>
      <c r="AN822" s="210"/>
      <c r="AO822" s="210"/>
      <c r="AP822" s="210"/>
      <c r="AQ822" s="210"/>
      <c r="AR822" s="210"/>
      <c r="AS822" s="210"/>
    </row>
    <row r="823" spans="1:45" ht="13.5" customHeight="1">
      <c r="A823" s="219"/>
      <c r="B823" s="210"/>
      <c r="C823" s="210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  <c r="AB823" s="221"/>
      <c r="AC823" s="221"/>
      <c r="AD823" s="221"/>
      <c r="AE823" s="221"/>
      <c r="AF823" s="221"/>
      <c r="AG823" s="221"/>
      <c r="AH823" s="219"/>
      <c r="AI823" s="219"/>
      <c r="AJ823" s="210"/>
      <c r="AK823" s="210"/>
      <c r="AL823" s="210"/>
      <c r="AM823" s="210"/>
      <c r="AN823" s="210"/>
      <c r="AO823" s="210"/>
      <c r="AP823" s="210"/>
      <c r="AQ823" s="210"/>
      <c r="AR823" s="210"/>
      <c r="AS823" s="210"/>
    </row>
    <row r="824" spans="1:45" ht="13.5" customHeight="1">
      <c r="A824" s="219"/>
      <c r="B824" s="210"/>
      <c r="C824" s="210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  <c r="AB824" s="221"/>
      <c r="AC824" s="221"/>
      <c r="AD824" s="221"/>
      <c r="AE824" s="221"/>
      <c r="AF824" s="221"/>
      <c r="AG824" s="221"/>
      <c r="AH824" s="219"/>
      <c r="AI824" s="219"/>
      <c r="AJ824" s="210"/>
      <c r="AK824" s="210"/>
      <c r="AL824" s="210"/>
      <c r="AM824" s="210"/>
      <c r="AN824" s="210"/>
      <c r="AO824" s="210"/>
      <c r="AP824" s="210"/>
      <c r="AQ824" s="210"/>
      <c r="AR824" s="210"/>
      <c r="AS824" s="210"/>
    </row>
    <row r="825" spans="1:45" ht="13.5" customHeight="1">
      <c r="A825" s="219"/>
      <c r="B825" s="210"/>
      <c r="C825" s="210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  <c r="AB825" s="221"/>
      <c r="AC825" s="221"/>
      <c r="AD825" s="221"/>
      <c r="AE825" s="221"/>
      <c r="AF825" s="221"/>
      <c r="AG825" s="221"/>
      <c r="AH825" s="219"/>
      <c r="AI825" s="219"/>
      <c r="AJ825" s="210"/>
      <c r="AK825" s="210"/>
      <c r="AL825" s="210"/>
      <c r="AM825" s="210"/>
      <c r="AN825" s="210"/>
      <c r="AO825" s="210"/>
      <c r="AP825" s="210"/>
      <c r="AQ825" s="210"/>
      <c r="AR825" s="210"/>
      <c r="AS825" s="210"/>
    </row>
    <row r="826" spans="1:45" ht="13.5" customHeight="1">
      <c r="A826" s="219"/>
      <c r="B826" s="210"/>
      <c r="C826" s="210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  <c r="AB826" s="221"/>
      <c r="AC826" s="221"/>
      <c r="AD826" s="221"/>
      <c r="AE826" s="221"/>
      <c r="AF826" s="221"/>
      <c r="AG826" s="221"/>
      <c r="AH826" s="219"/>
      <c r="AI826" s="219"/>
      <c r="AJ826" s="210"/>
      <c r="AK826" s="210"/>
      <c r="AL826" s="210"/>
      <c r="AM826" s="210"/>
      <c r="AN826" s="210"/>
      <c r="AO826" s="210"/>
      <c r="AP826" s="210"/>
      <c r="AQ826" s="210"/>
      <c r="AR826" s="210"/>
      <c r="AS826" s="210"/>
    </row>
  </sheetData>
  <mergeCells count="4">
    <mergeCell ref="AI4:AJ4"/>
    <mergeCell ref="C2:C3"/>
    <mergeCell ref="A2:A3"/>
    <mergeCell ref="B2:B3"/>
  </mergeCells>
  <conditionalFormatting sqref="B4">
    <cfRule type="duplicateValues" dxfId="10" priority="9"/>
  </conditionalFormatting>
  <conditionalFormatting sqref="B5">
    <cfRule type="duplicateValues" dxfId="9" priority="10"/>
  </conditionalFormatting>
  <conditionalFormatting sqref="B7">
    <cfRule type="duplicateValues" dxfId="8" priority="7"/>
  </conditionalFormatting>
  <conditionalFormatting sqref="B8">
    <cfRule type="duplicateValues" dxfId="7" priority="8"/>
  </conditionalFormatting>
  <conditionalFormatting sqref="B9">
    <cfRule type="duplicateValues" dxfId="6" priority="6"/>
  </conditionalFormatting>
  <conditionalFormatting sqref="B10">
    <cfRule type="duplicateValues" dxfId="5" priority="3"/>
  </conditionalFormatting>
  <conditionalFormatting sqref="B11">
    <cfRule type="duplicateValues" dxfId="4" priority="4"/>
  </conditionalFormatting>
  <conditionalFormatting sqref="B12">
    <cfRule type="duplicateValues" dxfId="3" priority="5"/>
  </conditionalFormatting>
  <conditionalFormatting sqref="B13:B22">
    <cfRule type="duplicateValues" dxfId="2" priority="2"/>
  </conditionalFormatting>
  <conditionalFormatting sqref="B23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C280"/>
  <sheetViews>
    <sheetView showGridLines="0" topLeftCell="A16" zoomScaleNormal="100" workbookViewId="0">
      <pane xSplit="7" topLeftCell="IU1" activePane="topRight" state="frozen"/>
      <selection pane="topRight" activeCell="B38" sqref="B38"/>
    </sheetView>
  </sheetViews>
  <sheetFormatPr defaultColWidth="14.453125" defaultRowHeight="15" customHeight="1"/>
  <cols>
    <col min="1" max="1" width="5.453125" style="255" customWidth="1"/>
    <col min="2" max="2" width="51.1796875" style="255" bestFit="1" customWidth="1"/>
    <col min="3" max="3" width="22" style="255" customWidth="1"/>
    <col min="4" max="5" width="19.453125" style="255" customWidth="1"/>
    <col min="6" max="6" width="7.1796875" style="255" customWidth="1"/>
    <col min="7" max="7" width="7.6328125" style="255" customWidth="1"/>
    <col min="8" max="8" width="7.81640625" style="255" customWidth="1"/>
    <col min="9" max="9" width="6.453125" style="255" hidden="1" customWidth="1"/>
    <col min="10" max="10" width="6.6328125" style="255" hidden="1" customWidth="1"/>
    <col min="11" max="11" width="5.81640625" style="255" hidden="1" customWidth="1"/>
    <col min="12" max="12" width="0.1796875" style="255" hidden="1" customWidth="1"/>
    <col min="13" max="13" width="5.453125" style="255" hidden="1" customWidth="1"/>
    <col min="14" max="14" width="12.453125" style="255" hidden="1" customWidth="1"/>
    <col min="15" max="16" width="0.1796875" style="255" hidden="1" customWidth="1"/>
    <col min="17" max="17" width="5.453125" style="255" hidden="1" customWidth="1"/>
    <col min="18" max="18" width="7.36328125" style="255" hidden="1" customWidth="1"/>
    <col min="19" max="20" width="7.6328125" style="255" hidden="1" customWidth="1"/>
    <col min="21" max="21" width="7.36328125" style="255" hidden="1" customWidth="1"/>
    <col min="22" max="22" width="7.6328125" style="255" hidden="1" customWidth="1"/>
    <col min="23" max="23" width="5.453125" style="255" hidden="1" customWidth="1"/>
    <col min="24" max="24" width="0.1796875" style="255" hidden="1" customWidth="1"/>
    <col min="25" max="25" width="7.6328125" style="255" hidden="1" customWidth="1"/>
    <col min="26" max="26" width="5.81640625" style="255" hidden="1" customWidth="1"/>
    <col min="27" max="27" width="7.36328125" style="255" hidden="1" customWidth="1"/>
    <col min="28" max="28" width="6.6328125" style="255" hidden="1" customWidth="1"/>
    <col min="29" max="29" width="7" style="255" hidden="1" customWidth="1"/>
    <col min="30" max="30" width="7.36328125" style="255" hidden="1" customWidth="1"/>
    <col min="31" max="31" width="6.6328125" style="255" hidden="1" customWidth="1"/>
    <col min="32" max="32" width="4.36328125" style="255" hidden="1" customWidth="1"/>
    <col min="33" max="33" width="7.36328125" style="255" hidden="1" customWidth="1"/>
    <col min="34" max="34" width="6.6328125" style="255" hidden="1" customWidth="1"/>
    <col min="35" max="35" width="0.36328125" style="255" hidden="1" customWidth="1"/>
    <col min="36" max="36" width="0.1796875" style="255" hidden="1" customWidth="1"/>
    <col min="37" max="37" width="6.6328125" style="255" hidden="1" customWidth="1"/>
    <col min="38" max="38" width="3.453125" style="255" hidden="1" customWidth="1"/>
    <col min="39" max="39" width="0.1796875" style="255" hidden="1" customWidth="1"/>
    <col min="40" max="40" width="0.453125" style="255" hidden="1" customWidth="1"/>
    <col min="41" max="41" width="7" style="255" hidden="1" customWidth="1"/>
    <col min="42" max="42" width="0.1796875" style="255" hidden="1" customWidth="1"/>
    <col min="43" max="43" width="6.6328125" style="255" hidden="1" customWidth="1"/>
    <col min="44" max="44" width="5.6328125" style="255" hidden="1" customWidth="1"/>
    <col min="45" max="45" width="7.36328125" style="255" hidden="1" customWidth="1"/>
    <col min="46" max="46" width="6.6328125" style="255" hidden="1" customWidth="1"/>
    <col min="47" max="47" width="5.81640625" style="255" hidden="1" customWidth="1"/>
    <col min="48" max="48" width="7.36328125" style="255" hidden="1" customWidth="1"/>
    <col min="49" max="49" width="4.453125" style="255" hidden="1" customWidth="1"/>
    <col min="50" max="50" width="3.453125" style="255" hidden="1" customWidth="1"/>
    <col min="51" max="51" width="5.36328125" style="255" hidden="1" customWidth="1"/>
    <col min="52" max="52" width="5" style="255" hidden="1" customWidth="1"/>
    <col min="53" max="53" width="4.1796875" style="255" hidden="1" customWidth="1"/>
    <col min="54" max="54" width="5.453125" style="255" hidden="1" customWidth="1"/>
    <col min="55" max="55" width="5" style="255" hidden="1" customWidth="1"/>
    <col min="56" max="56" width="4.6328125" style="255" hidden="1" customWidth="1"/>
    <col min="57" max="57" width="6.1796875" style="255" hidden="1" customWidth="1"/>
    <col min="58" max="58" width="5.453125" style="255" hidden="1" customWidth="1"/>
    <col min="59" max="59" width="5" style="255" hidden="1" customWidth="1"/>
    <col min="60" max="60" width="6.1796875" style="255" hidden="1" customWidth="1"/>
    <col min="61" max="61" width="5.453125" style="255" hidden="1" customWidth="1"/>
    <col min="62" max="62" width="5" style="255" hidden="1" customWidth="1"/>
    <col min="63" max="63" width="6.1796875" style="255" hidden="1" customWidth="1"/>
    <col min="64" max="64" width="5.453125" style="255" hidden="1" customWidth="1"/>
    <col min="65" max="65" width="5" style="255" hidden="1" customWidth="1"/>
    <col min="66" max="66" width="6.1796875" style="255" hidden="1" customWidth="1"/>
    <col min="67" max="67" width="5.453125" style="255" hidden="1" customWidth="1"/>
    <col min="68" max="68" width="5" style="255" hidden="1" customWidth="1"/>
    <col min="69" max="69" width="0.1796875" style="255" hidden="1" customWidth="1"/>
    <col min="70" max="70" width="5.453125" style="255" hidden="1" customWidth="1"/>
    <col min="71" max="71" width="5" style="255" hidden="1" customWidth="1"/>
    <col min="72" max="72" width="7.81640625" style="255" hidden="1" customWidth="1"/>
    <col min="73" max="74" width="6.453125" style="255" hidden="1" customWidth="1"/>
    <col min="75" max="75" width="7.81640625" style="255" hidden="1" customWidth="1"/>
    <col min="76" max="77" width="6.453125" style="255" hidden="1" customWidth="1"/>
    <col min="78" max="78" width="7.81640625" style="255" hidden="1" customWidth="1"/>
    <col min="79" max="80" width="6.453125" style="255" hidden="1" customWidth="1"/>
    <col min="81" max="81" width="7.81640625" style="255" hidden="1" customWidth="1"/>
    <col min="82" max="83" width="6.453125" style="255" hidden="1" customWidth="1"/>
    <col min="84" max="84" width="0.1796875" style="255" customWidth="1"/>
    <col min="85" max="85" width="6.453125" style="255" hidden="1" customWidth="1"/>
    <col min="86" max="86" width="5.81640625" style="255" hidden="1" customWidth="1"/>
    <col min="87" max="87" width="7.81640625" style="255" hidden="1" customWidth="1"/>
    <col min="88" max="89" width="6.453125" style="255" hidden="1" customWidth="1"/>
    <col min="90" max="90" width="7.81640625" style="255" hidden="1" customWidth="1"/>
    <col min="91" max="92" width="6.453125" style="255" hidden="1" customWidth="1"/>
    <col min="93" max="93" width="0.36328125" style="255" hidden="1" customWidth="1"/>
    <col min="94" max="95" width="6.453125" style="255" hidden="1" customWidth="1"/>
    <col min="96" max="96" width="7.81640625" style="255" hidden="1" customWidth="1"/>
    <col min="97" max="98" width="6.453125" style="255" hidden="1" customWidth="1"/>
    <col min="99" max="99" width="7.81640625" style="255" hidden="1" customWidth="1"/>
    <col min="100" max="101" width="6.453125" style="255" hidden="1" customWidth="1"/>
    <col min="102" max="102" width="7.81640625" style="255" customWidth="1"/>
    <col min="103" max="104" width="6.453125" style="255" customWidth="1"/>
    <col min="105" max="105" width="7.81640625" style="255" hidden="1" customWidth="1"/>
    <col min="106" max="107" width="6.453125" style="255" hidden="1" customWidth="1"/>
    <col min="108" max="108" width="7.81640625" style="255" hidden="1" customWidth="1"/>
    <col min="109" max="110" width="6.453125" style="255" hidden="1" customWidth="1"/>
    <col min="111" max="111" width="7.81640625" style="255" hidden="1" customWidth="1"/>
    <col min="112" max="113" width="6.453125" style="255" hidden="1" customWidth="1"/>
    <col min="114" max="114" width="9.453125" style="255" hidden="1" customWidth="1"/>
    <col min="115" max="115" width="0.1796875" style="255" hidden="1" customWidth="1"/>
    <col min="116" max="116" width="6.453125" style="255" hidden="1" customWidth="1"/>
    <col min="117" max="117" width="7.81640625" style="255" hidden="1" customWidth="1"/>
    <col min="118" max="119" width="6.453125" style="255" hidden="1" customWidth="1"/>
    <col min="120" max="120" width="7.81640625" style="255" hidden="1" customWidth="1"/>
    <col min="121" max="122" width="6.453125" style="255" hidden="1" customWidth="1"/>
    <col min="123" max="123" width="7.81640625" style="255" hidden="1" customWidth="1"/>
    <col min="124" max="125" width="6.453125" style="255" hidden="1" customWidth="1"/>
    <col min="126" max="126" width="7.81640625" style="255" hidden="1" customWidth="1"/>
    <col min="127" max="128" width="6.453125" style="255" hidden="1" customWidth="1"/>
    <col min="129" max="129" width="7.81640625" style="255" hidden="1" customWidth="1"/>
    <col min="130" max="131" width="6.453125" style="255" hidden="1" customWidth="1"/>
    <col min="132" max="132" width="7.81640625" style="255" hidden="1" customWidth="1"/>
    <col min="133" max="134" width="6.453125" style="255" hidden="1" customWidth="1"/>
    <col min="135" max="135" width="7.81640625" style="255" hidden="1" customWidth="1"/>
    <col min="136" max="137" width="6.453125" style="255" hidden="1" customWidth="1"/>
    <col min="138" max="138" width="7.81640625" style="255" hidden="1" customWidth="1"/>
    <col min="139" max="139" width="6.453125" style="255" hidden="1" customWidth="1"/>
    <col min="140" max="140" width="8.81640625" style="255" hidden="1" customWidth="1"/>
    <col min="141" max="141" width="10" style="255" hidden="1" customWidth="1"/>
    <col min="142" max="143" width="9.6328125" style="255" hidden="1" customWidth="1"/>
    <col min="144" max="144" width="10.1796875" style="255" hidden="1" customWidth="1"/>
    <col min="145" max="145" width="10.36328125" style="255" hidden="1" customWidth="1"/>
    <col min="146" max="146" width="6.453125" style="255" hidden="1" customWidth="1"/>
    <col min="147" max="147" width="8.81640625" style="255" hidden="1" customWidth="1"/>
    <col min="148" max="148" width="9.453125" style="255" hidden="1" customWidth="1"/>
    <col min="149" max="149" width="9" style="255" hidden="1" customWidth="1"/>
    <col min="150" max="150" width="11.36328125" style="255" hidden="1" customWidth="1"/>
    <col min="151" max="151" width="7.453125" style="255" hidden="1" customWidth="1"/>
    <col min="152" max="152" width="10.81640625" style="255" hidden="1" customWidth="1"/>
    <col min="153" max="153" width="11" style="255" hidden="1" customWidth="1"/>
    <col min="154" max="154" width="10.81640625" style="255" hidden="1" customWidth="1"/>
    <col min="155" max="157" width="9.6328125" style="255" hidden="1" customWidth="1"/>
    <col min="158" max="158" width="10.1796875" style="255" hidden="1" customWidth="1"/>
    <col min="159" max="159" width="13" style="255" hidden="1" customWidth="1"/>
    <col min="160" max="169" width="9.1796875" style="255" hidden="1" customWidth="1"/>
    <col min="170" max="170" width="12.6328125" style="255" hidden="1" customWidth="1"/>
    <col min="171" max="172" width="9.1796875" style="255" hidden="1" customWidth="1"/>
    <col min="173" max="173" width="12.453125" style="255" hidden="1" customWidth="1"/>
    <col min="174" max="185" width="9.1796875" style="255" hidden="1" customWidth="1"/>
    <col min="186" max="186" width="10.36328125" style="255" hidden="1" customWidth="1"/>
    <col min="187" max="187" width="9.81640625" style="255" hidden="1" customWidth="1"/>
    <col min="188" max="188" width="9.6328125" style="255" hidden="1" customWidth="1"/>
    <col min="189" max="190" width="10" style="255" hidden="1" customWidth="1"/>
    <col min="191" max="191" width="9.6328125" style="255" hidden="1" customWidth="1"/>
    <col min="192" max="205" width="9.1796875" style="255" hidden="1" customWidth="1"/>
    <col min="206" max="218" width="10.453125" style="255" hidden="1" customWidth="1"/>
    <col min="219" max="239" width="9.1796875" style="255" hidden="1" customWidth="1"/>
    <col min="240" max="240" width="13.1796875" style="255" customWidth="1"/>
    <col min="241" max="257" width="16.1796875" style="255" customWidth="1"/>
    <col min="258" max="258" width="23.453125" style="255" customWidth="1"/>
    <col min="259" max="262" width="14.453125" style="255" customWidth="1"/>
    <col min="263" max="16384" width="14.453125" style="255"/>
  </cols>
  <sheetData>
    <row r="1" spans="1:263" ht="13.5" customHeight="1">
      <c r="A1" s="49"/>
      <c r="B1" s="279" t="s">
        <v>84</v>
      </c>
      <c r="C1" s="2"/>
      <c r="D1" s="2"/>
      <c r="E1" s="2"/>
      <c r="F1" s="2"/>
      <c r="G1" s="2"/>
      <c r="H1" s="2"/>
      <c r="I1" s="1"/>
      <c r="J1" s="2"/>
      <c r="K1" s="2"/>
      <c r="L1" s="1"/>
      <c r="M1" s="2"/>
      <c r="N1" s="2"/>
      <c r="O1" s="1"/>
      <c r="P1" s="2"/>
      <c r="Q1" s="2"/>
      <c r="R1" s="1"/>
      <c r="S1" s="2"/>
      <c r="T1" s="2"/>
      <c r="U1" s="1"/>
      <c r="V1" s="2"/>
      <c r="W1" s="2"/>
      <c r="X1" s="1"/>
      <c r="Y1" s="2"/>
      <c r="Z1" s="2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</row>
    <row r="2" spans="1:263" ht="13.5" customHeight="1">
      <c r="A2" s="49"/>
      <c r="B2" s="280"/>
      <c r="C2" s="2"/>
      <c r="D2" s="2"/>
      <c r="E2" s="2"/>
      <c r="F2" s="2"/>
      <c r="G2" s="2"/>
      <c r="H2" s="2"/>
      <c r="I2" s="1"/>
      <c r="J2" s="2"/>
      <c r="K2" s="2"/>
      <c r="L2" s="1"/>
      <c r="M2" s="2"/>
      <c r="N2" s="2"/>
      <c r="O2" s="1"/>
      <c r="P2" s="2"/>
      <c r="Q2" s="2"/>
      <c r="R2" s="1"/>
      <c r="S2" s="2"/>
      <c r="T2" s="2"/>
      <c r="U2" s="1"/>
      <c r="V2" s="2"/>
      <c r="W2" s="2"/>
      <c r="X2" s="1"/>
      <c r="Y2" s="2"/>
      <c r="Z2" s="2"/>
      <c r="AA2" s="1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</row>
    <row r="3" spans="1:263" ht="26.25" customHeight="1" thickBot="1">
      <c r="A3" s="49"/>
      <c r="B3" s="280"/>
      <c r="C3" s="2"/>
      <c r="D3" s="2"/>
      <c r="E3" s="2"/>
      <c r="F3" s="285" t="s">
        <v>85</v>
      </c>
      <c r="G3" s="280"/>
      <c r="H3" s="280"/>
      <c r="I3" s="1"/>
      <c r="J3" s="2"/>
      <c r="K3" s="2"/>
      <c r="L3" s="1"/>
      <c r="M3" s="2"/>
      <c r="N3" s="2"/>
      <c r="O3" s="1"/>
      <c r="P3" s="2"/>
      <c r="Q3" s="2"/>
      <c r="R3" s="1"/>
      <c r="S3" s="2"/>
      <c r="T3" s="2"/>
      <c r="U3" s="1"/>
      <c r="V3" s="2"/>
      <c r="W3" s="2"/>
      <c r="X3" s="1"/>
      <c r="Y3" s="2"/>
      <c r="Z3" s="2"/>
      <c r="AA3" s="1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</row>
    <row r="4" spans="1:263" ht="30.75" customHeight="1">
      <c r="A4" s="286" t="s">
        <v>57</v>
      </c>
      <c r="B4" s="281" t="s">
        <v>86</v>
      </c>
      <c r="C4" s="281" t="s">
        <v>87</v>
      </c>
      <c r="D4" s="281" t="s">
        <v>88</v>
      </c>
      <c r="E4" s="283" t="s">
        <v>89</v>
      </c>
      <c r="F4" s="288">
        <v>42500</v>
      </c>
      <c r="G4" s="277"/>
      <c r="H4" s="278"/>
      <c r="I4" s="276">
        <v>42551</v>
      </c>
      <c r="J4" s="277"/>
      <c r="K4" s="278"/>
      <c r="L4" s="276">
        <v>42582</v>
      </c>
      <c r="M4" s="277"/>
      <c r="N4" s="278"/>
      <c r="O4" s="276">
        <v>42613</v>
      </c>
      <c r="P4" s="277"/>
      <c r="Q4" s="278"/>
      <c r="R4" s="276">
        <v>42643</v>
      </c>
      <c r="S4" s="277"/>
      <c r="T4" s="278"/>
      <c r="U4" s="276">
        <v>42674</v>
      </c>
      <c r="V4" s="277"/>
      <c r="W4" s="278"/>
      <c r="X4" s="276">
        <v>42704</v>
      </c>
      <c r="Y4" s="277"/>
      <c r="Z4" s="278"/>
      <c r="AA4" s="276">
        <v>42734</v>
      </c>
      <c r="AB4" s="277"/>
      <c r="AC4" s="278"/>
      <c r="AD4" s="276">
        <v>42766</v>
      </c>
      <c r="AE4" s="277"/>
      <c r="AF4" s="278"/>
      <c r="AG4" s="276">
        <v>42794</v>
      </c>
      <c r="AH4" s="277"/>
      <c r="AI4" s="278"/>
      <c r="AJ4" s="276">
        <v>42825</v>
      </c>
      <c r="AK4" s="277"/>
      <c r="AL4" s="278"/>
      <c r="AM4" s="276">
        <v>42855</v>
      </c>
      <c r="AN4" s="277"/>
      <c r="AO4" s="278"/>
      <c r="AP4" s="276">
        <v>42886</v>
      </c>
      <c r="AQ4" s="277"/>
      <c r="AR4" s="278"/>
      <c r="AS4" s="276">
        <v>42916</v>
      </c>
      <c r="AT4" s="277"/>
      <c r="AU4" s="278"/>
      <c r="AV4" s="276">
        <v>42947</v>
      </c>
      <c r="AW4" s="277"/>
      <c r="AX4" s="278"/>
      <c r="AY4" s="276">
        <v>42978</v>
      </c>
      <c r="AZ4" s="277"/>
      <c r="BA4" s="278"/>
      <c r="BB4" s="276">
        <v>43011</v>
      </c>
      <c r="BC4" s="277"/>
      <c r="BD4" s="278"/>
      <c r="BE4" s="276">
        <v>43039</v>
      </c>
      <c r="BF4" s="277"/>
      <c r="BG4" s="278"/>
      <c r="BH4" s="276">
        <v>43069</v>
      </c>
      <c r="BI4" s="277"/>
      <c r="BJ4" s="278"/>
      <c r="BK4" s="276">
        <v>43102</v>
      </c>
      <c r="BL4" s="277"/>
      <c r="BM4" s="278"/>
      <c r="BN4" s="276">
        <v>43132</v>
      </c>
      <c r="BO4" s="277"/>
      <c r="BP4" s="278"/>
      <c r="BQ4" s="276">
        <v>43160</v>
      </c>
      <c r="BR4" s="277"/>
      <c r="BS4" s="278"/>
      <c r="BT4" s="276">
        <v>43192</v>
      </c>
      <c r="BU4" s="277"/>
      <c r="BV4" s="278"/>
      <c r="BW4" s="276">
        <v>43221</v>
      </c>
      <c r="BX4" s="277"/>
      <c r="BY4" s="278"/>
      <c r="BZ4" s="276">
        <v>43256</v>
      </c>
      <c r="CA4" s="277"/>
      <c r="CB4" s="278"/>
      <c r="CC4" s="276">
        <v>43285</v>
      </c>
      <c r="CD4" s="277"/>
      <c r="CE4" s="278"/>
      <c r="CF4" s="276">
        <v>43314</v>
      </c>
      <c r="CG4" s="277"/>
      <c r="CH4" s="278"/>
      <c r="CI4" s="276">
        <v>43355</v>
      </c>
      <c r="CJ4" s="277"/>
      <c r="CK4" s="278"/>
      <c r="CL4" s="276">
        <v>43377</v>
      </c>
      <c r="CM4" s="277"/>
      <c r="CN4" s="278"/>
      <c r="CO4" s="276">
        <v>43406</v>
      </c>
      <c r="CP4" s="277"/>
      <c r="CQ4" s="278"/>
      <c r="CR4" s="276">
        <v>43435</v>
      </c>
      <c r="CS4" s="277"/>
      <c r="CT4" s="278"/>
      <c r="CU4" s="276">
        <v>43467</v>
      </c>
      <c r="CV4" s="277"/>
      <c r="CW4" s="278"/>
      <c r="CX4" s="276">
        <v>43500</v>
      </c>
      <c r="CY4" s="277"/>
      <c r="CZ4" s="278"/>
      <c r="DA4" s="276">
        <v>43528</v>
      </c>
      <c r="DB4" s="277"/>
      <c r="DC4" s="278"/>
      <c r="DD4" s="276">
        <v>43557</v>
      </c>
      <c r="DE4" s="277"/>
      <c r="DF4" s="278"/>
      <c r="DG4" s="276">
        <v>43588</v>
      </c>
      <c r="DH4" s="277"/>
      <c r="DI4" s="278"/>
      <c r="DJ4" s="276">
        <v>43620</v>
      </c>
      <c r="DK4" s="277"/>
      <c r="DL4" s="278"/>
      <c r="DM4" s="276">
        <v>43649</v>
      </c>
      <c r="DN4" s="277"/>
      <c r="DO4" s="278"/>
      <c r="DP4" s="276">
        <v>43679</v>
      </c>
      <c r="DQ4" s="277"/>
      <c r="DR4" s="278"/>
      <c r="DS4" s="276">
        <v>43711</v>
      </c>
      <c r="DT4" s="277"/>
      <c r="DU4" s="278"/>
      <c r="DV4" s="276">
        <v>43741</v>
      </c>
      <c r="DW4" s="277"/>
      <c r="DX4" s="278"/>
      <c r="DY4" s="276">
        <v>43774</v>
      </c>
      <c r="DZ4" s="277"/>
      <c r="EA4" s="278"/>
      <c r="EB4" s="276">
        <v>43802</v>
      </c>
      <c r="EC4" s="277"/>
      <c r="ED4" s="278"/>
      <c r="EE4" s="276">
        <v>43833</v>
      </c>
      <c r="EF4" s="277"/>
      <c r="EG4" s="278"/>
      <c r="EH4" s="276">
        <v>43865</v>
      </c>
      <c r="EI4" s="277"/>
      <c r="EJ4" s="278"/>
      <c r="EK4" s="276">
        <v>43895</v>
      </c>
      <c r="EL4" s="277"/>
      <c r="EM4" s="278"/>
      <c r="EN4" s="276">
        <v>43929</v>
      </c>
      <c r="EO4" s="277"/>
      <c r="EP4" s="278"/>
      <c r="EQ4" s="276">
        <v>43958</v>
      </c>
      <c r="ER4" s="277"/>
      <c r="ES4" s="278"/>
      <c r="ET4" s="276">
        <v>43987</v>
      </c>
      <c r="EU4" s="277"/>
      <c r="EV4" s="278"/>
      <c r="EW4" s="276">
        <v>44019</v>
      </c>
      <c r="EX4" s="277"/>
      <c r="EY4" s="278"/>
      <c r="EZ4" s="276">
        <v>44048</v>
      </c>
      <c r="FA4" s="277"/>
      <c r="FB4" s="278"/>
      <c r="FC4" s="276">
        <v>44076</v>
      </c>
      <c r="FD4" s="277"/>
      <c r="FE4" s="278"/>
      <c r="FF4" s="276">
        <v>44110</v>
      </c>
      <c r="FG4" s="277"/>
      <c r="FH4" s="278"/>
      <c r="FI4" s="276">
        <v>44139</v>
      </c>
      <c r="FJ4" s="277"/>
      <c r="FK4" s="278"/>
      <c r="FL4" s="276">
        <v>44168</v>
      </c>
      <c r="FM4" s="277"/>
      <c r="FN4" s="278"/>
      <c r="FO4" s="276">
        <v>44203</v>
      </c>
      <c r="FP4" s="277"/>
      <c r="FQ4" s="278"/>
      <c r="FR4" s="276">
        <v>44229</v>
      </c>
      <c r="FS4" s="277"/>
      <c r="FT4" s="278"/>
      <c r="FU4" s="276">
        <v>44257</v>
      </c>
      <c r="FV4" s="277"/>
      <c r="FW4" s="278"/>
      <c r="FX4" s="276">
        <v>44287</v>
      </c>
      <c r="FY4" s="277"/>
      <c r="FZ4" s="278"/>
      <c r="GA4" s="276">
        <v>44319</v>
      </c>
      <c r="GB4" s="277"/>
      <c r="GC4" s="278"/>
      <c r="GD4" s="276">
        <v>44349</v>
      </c>
      <c r="GE4" s="277"/>
      <c r="GF4" s="278"/>
      <c r="GG4" s="276">
        <v>44379</v>
      </c>
      <c r="GH4" s="277"/>
      <c r="GI4" s="278"/>
      <c r="GJ4" s="276">
        <v>44411</v>
      </c>
      <c r="GK4" s="277"/>
      <c r="GL4" s="278"/>
      <c r="GM4" s="276">
        <v>44442</v>
      </c>
      <c r="GN4" s="277"/>
      <c r="GO4" s="278"/>
      <c r="GP4" s="276">
        <v>44518</v>
      </c>
      <c r="GQ4" s="277"/>
      <c r="GR4" s="278"/>
      <c r="GS4" s="276">
        <v>44543</v>
      </c>
      <c r="GT4" s="277"/>
      <c r="GU4" s="278"/>
      <c r="GV4" s="276">
        <v>44565</v>
      </c>
      <c r="GW4" s="277"/>
      <c r="GX4" s="278"/>
      <c r="GY4" s="276">
        <v>44601</v>
      </c>
      <c r="GZ4" s="277"/>
      <c r="HA4" s="278"/>
      <c r="HB4" s="276">
        <v>44631</v>
      </c>
      <c r="HC4" s="277"/>
      <c r="HD4" s="278"/>
      <c r="HE4" s="276">
        <v>44655</v>
      </c>
      <c r="HF4" s="277"/>
      <c r="HG4" s="278"/>
      <c r="HH4" s="276">
        <v>44685</v>
      </c>
      <c r="HI4" s="277"/>
      <c r="HJ4" s="278"/>
      <c r="HK4" s="276">
        <v>44718</v>
      </c>
      <c r="HL4" s="277"/>
      <c r="HM4" s="278"/>
      <c r="HN4" s="276">
        <v>44747</v>
      </c>
      <c r="HO4" s="277"/>
      <c r="HP4" s="278"/>
      <c r="HQ4" s="276">
        <v>44777</v>
      </c>
      <c r="HR4" s="277"/>
      <c r="HS4" s="278"/>
      <c r="HT4" s="276">
        <v>44803</v>
      </c>
      <c r="HU4" s="277"/>
      <c r="HV4" s="278"/>
      <c r="HW4" s="276">
        <v>44840</v>
      </c>
      <c r="HX4" s="277"/>
      <c r="HY4" s="278"/>
      <c r="HZ4" s="276">
        <v>44866</v>
      </c>
      <c r="IA4" s="277"/>
      <c r="IB4" s="278"/>
      <c r="IC4" s="276">
        <v>44896</v>
      </c>
      <c r="ID4" s="277"/>
      <c r="IE4" s="278"/>
      <c r="IF4" s="254">
        <v>44930</v>
      </c>
      <c r="IG4" s="254">
        <v>44959</v>
      </c>
      <c r="IH4" s="254">
        <v>44986</v>
      </c>
      <c r="II4" s="254">
        <v>45020</v>
      </c>
      <c r="IJ4" s="254">
        <v>45048</v>
      </c>
      <c r="IK4" s="254">
        <v>45082</v>
      </c>
      <c r="IL4" s="254">
        <v>45113</v>
      </c>
      <c r="IM4" s="254">
        <v>45140</v>
      </c>
      <c r="IN4" s="254">
        <v>45175</v>
      </c>
      <c r="IO4" s="254">
        <v>45204</v>
      </c>
      <c r="IP4" s="254">
        <v>45235</v>
      </c>
      <c r="IQ4" s="254">
        <v>45265</v>
      </c>
      <c r="IR4" s="242">
        <v>45294</v>
      </c>
      <c r="IS4" s="242">
        <v>45327</v>
      </c>
      <c r="IT4" s="243">
        <v>45390</v>
      </c>
      <c r="IU4" s="243">
        <v>45415</v>
      </c>
      <c r="IV4" s="243">
        <v>45447</v>
      </c>
      <c r="IW4" s="244">
        <v>45475</v>
      </c>
      <c r="IX4" s="245" t="s">
        <v>90</v>
      </c>
      <c r="IY4" s="2"/>
      <c r="IZ4" s="2"/>
      <c r="JA4" s="2"/>
      <c r="JB4" s="2"/>
      <c r="JC4" s="2"/>
    </row>
    <row r="5" spans="1:263" ht="28.5" customHeight="1">
      <c r="A5" s="287"/>
      <c r="B5" s="282"/>
      <c r="C5" s="282"/>
      <c r="D5" s="282"/>
      <c r="E5" s="284"/>
      <c r="F5" s="134" t="s">
        <v>43</v>
      </c>
      <c r="G5" s="50" t="s">
        <v>45</v>
      </c>
      <c r="H5" s="50" t="s">
        <v>47</v>
      </c>
      <c r="I5" s="113" t="s">
        <v>43</v>
      </c>
      <c r="J5" s="113" t="s">
        <v>45</v>
      </c>
      <c r="K5" s="113" t="s">
        <v>47</v>
      </c>
      <c r="L5" s="113" t="s">
        <v>43</v>
      </c>
      <c r="M5" s="113" t="s">
        <v>45</v>
      </c>
      <c r="N5" s="113" t="s">
        <v>47</v>
      </c>
      <c r="O5" s="113" t="s">
        <v>43</v>
      </c>
      <c r="P5" s="113" t="s">
        <v>45</v>
      </c>
      <c r="Q5" s="113" t="s">
        <v>47</v>
      </c>
      <c r="R5" s="113" t="s">
        <v>43</v>
      </c>
      <c r="S5" s="113" t="s">
        <v>45</v>
      </c>
      <c r="T5" s="113" t="s">
        <v>47</v>
      </c>
      <c r="U5" s="113" t="s">
        <v>43</v>
      </c>
      <c r="V5" s="113" t="s">
        <v>45</v>
      </c>
      <c r="W5" s="113" t="s">
        <v>47</v>
      </c>
      <c r="X5" s="113" t="s">
        <v>43</v>
      </c>
      <c r="Y5" s="113" t="s">
        <v>45</v>
      </c>
      <c r="Z5" s="113" t="s">
        <v>47</v>
      </c>
      <c r="AA5" s="113" t="s">
        <v>43</v>
      </c>
      <c r="AB5" s="113" t="s">
        <v>45</v>
      </c>
      <c r="AC5" s="113" t="s">
        <v>47</v>
      </c>
      <c r="AD5" s="113" t="s">
        <v>43</v>
      </c>
      <c r="AE5" s="113" t="s">
        <v>45</v>
      </c>
      <c r="AF5" s="113" t="s">
        <v>47</v>
      </c>
      <c r="AG5" s="113" t="s">
        <v>43</v>
      </c>
      <c r="AH5" s="113" t="s">
        <v>45</v>
      </c>
      <c r="AI5" s="113" t="s">
        <v>47</v>
      </c>
      <c r="AJ5" s="113" t="s">
        <v>43</v>
      </c>
      <c r="AK5" s="113" t="s">
        <v>45</v>
      </c>
      <c r="AL5" s="113" t="s">
        <v>47</v>
      </c>
      <c r="AM5" s="113" t="s">
        <v>43</v>
      </c>
      <c r="AN5" s="113" t="s">
        <v>45</v>
      </c>
      <c r="AO5" s="113" t="s">
        <v>47</v>
      </c>
      <c r="AP5" s="113" t="s">
        <v>43</v>
      </c>
      <c r="AQ5" s="113" t="s">
        <v>45</v>
      </c>
      <c r="AR5" s="113" t="s">
        <v>47</v>
      </c>
      <c r="AS5" s="113" t="s">
        <v>43</v>
      </c>
      <c r="AT5" s="113" t="s">
        <v>45</v>
      </c>
      <c r="AU5" s="113" t="s">
        <v>47</v>
      </c>
      <c r="AV5" s="113" t="s">
        <v>43</v>
      </c>
      <c r="AW5" s="113" t="s">
        <v>45</v>
      </c>
      <c r="AX5" s="113" t="s">
        <v>47</v>
      </c>
      <c r="AY5" s="113" t="s">
        <v>43</v>
      </c>
      <c r="AZ5" s="113" t="s">
        <v>45</v>
      </c>
      <c r="BA5" s="113" t="s">
        <v>47</v>
      </c>
      <c r="BB5" s="113" t="s">
        <v>43</v>
      </c>
      <c r="BC5" s="113" t="s">
        <v>45</v>
      </c>
      <c r="BD5" s="113" t="s">
        <v>47</v>
      </c>
      <c r="BE5" s="113" t="s">
        <v>43</v>
      </c>
      <c r="BF5" s="113" t="s">
        <v>45</v>
      </c>
      <c r="BG5" s="113" t="s">
        <v>47</v>
      </c>
      <c r="BH5" s="113" t="s">
        <v>43</v>
      </c>
      <c r="BI5" s="113" t="s">
        <v>45</v>
      </c>
      <c r="BJ5" s="113" t="s">
        <v>47</v>
      </c>
      <c r="BK5" s="113" t="s">
        <v>43</v>
      </c>
      <c r="BL5" s="113" t="s">
        <v>45</v>
      </c>
      <c r="BM5" s="113" t="s">
        <v>47</v>
      </c>
      <c r="BN5" s="113" t="s">
        <v>43</v>
      </c>
      <c r="BO5" s="113" t="s">
        <v>45</v>
      </c>
      <c r="BP5" s="113" t="s">
        <v>47</v>
      </c>
      <c r="BQ5" s="113" t="s">
        <v>43</v>
      </c>
      <c r="BR5" s="113" t="s">
        <v>45</v>
      </c>
      <c r="BS5" s="113" t="s">
        <v>47</v>
      </c>
      <c r="BT5" s="113" t="s">
        <v>43</v>
      </c>
      <c r="BU5" s="113" t="s">
        <v>45</v>
      </c>
      <c r="BV5" s="113" t="s">
        <v>47</v>
      </c>
      <c r="BW5" s="113" t="s">
        <v>43</v>
      </c>
      <c r="BX5" s="113" t="s">
        <v>45</v>
      </c>
      <c r="BY5" s="113" t="s">
        <v>47</v>
      </c>
      <c r="BZ5" s="113" t="s">
        <v>43</v>
      </c>
      <c r="CA5" s="113" t="s">
        <v>45</v>
      </c>
      <c r="CB5" s="113" t="s">
        <v>47</v>
      </c>
      <c r="CC5" s="113" t="s">
        <v>43</v>
      </c>
      <c r="CD5" s="113" t="s">
        <v>45</v>
      </c>
      <c r="CE5" s="113" t="s">
        <v>47</v>
      </c>
      <c r="CF5" s="113" t="s">
        <v>43</v>
      </c>
      <c r="CG5" s="113" t="s">
        <v>45</v>
      </c>
      <c r="CH5" s="113" t="s">
        <v>47</v>
      </c>
      <c r="CI5" s="113" t="s">
        <v>43</v>
      </c>
      <c r="CJ5" s="113" t="s">
        <v>45</v>
      </c>
      <c r="CK5" s="113" t="s">
        <v>47</v>
      </c>
      <c r="CL5" s="113" t="s">
        <v>43</v>
      </c>
      <c r="CM5" s="113" t="s">
        <v>45</v>
      </c>
      <c r="CN5" s="113" t="s">
        <v>47</v>
      </c>
      <c r="CO5" s="113" t="s">
        <v>43</v>
      </c>
      <c r="CP5" s="113" t="s">
        <v>45</v>
      </c>
      <c r="CQ5" s="113" t="s">
        <v>47</v>
      </c>
      <c r="CR5" s="113" t="s">
        <v>43</v>
      </c>
      <c r="CS5" s="113" t="s">
        <v>45</v>
      </c>
      <c r="CT5" s="113" t="s">
        <v>47</v>
      </c>
      <c r="CU5" s="113" t="s">
        <v>43</v>
      </c>
      <c r="CV5" s="113" t="s">
        <v>45</v>
      </c>
      <c r="CW5" s="113" t="s">
        <v>47</v>
      </c>
      <c r="CX5" s="113" t="s">
        <v>43</v>
      </c>
      <c r="CY5" s="113" t="s">
        <v>45</v>
      </c>
      <c r="CZ5" s="113" t="s">
        <v>47</v>
      </c>
      <c r="DA5" s="113" t="s">
        <v>43</v>
      </c>
      <c r="DB5" s="113" t="s">
        <v>45</v>
      </c>
      <c r="DC5" s="113" t="s">
        <v>47</v>
      </c>
      <c r="DD5" s="113" t="s">
        <v>43</v>
      </c>
      <c r="DE5" s="113" t="s">
        <v>45</v>
      </c>
      <c r="DF5" s="113" t="s">
        <v>47</v>
      </c>
      <c r="DG5" s="113" t="s">
        <v>43</v>
      </c>
      <c r="DH5" s="113" t="s">
        <v>45</v>
      </c>
      <c r="DI5" s="113" t="s">
        <v>47</v>
      </c>
      <c r="DJ5" s="113" t="s">
        <v>43</v>
      </c>
      <c r="DK5" s="113" t="s">
        <v>45</v>
      </c>
      <c r="DL5" s="113" t="s">
        <v>47</v>
      </c>
      <c r="DM5" s="113" t="s">
        <v>43</v>
      </c>
      <c r="DN5" s="113" t="s">
        <v>45</v>
      </c>
      <c r="DO5" s="113" t="s">
        <v>47</v>
      </c>
      <c r="DP5" s="113" t="s">
        <v>43</v>
      </c>
      <c r="DQ5" s="113" t="s">
        <v>45</v>
      </c>
      <c r="DR5" s="113" t="s">
        <v>47</v>
      </c>
      <c r="DS5" s="113" t="s">
        <v>43</v>
      </c>
      <c r="DT5" s="113" t="s">
        <v>45</v>
      </c>
      <c r="DU5" s="113" t="s">
        <v>47</v>
      </c>
      <c r="DV5" s="113" t="s">
        <v>43</v>
      </c>
      <c r="DW5" s="113" t="s">
        <v>45</v>
      </c>
      <c r="DX5" s="113" t="s">
        <v>47</v>
      </c>
      <c r="DY5" s="113" t="s">
        <v>43</v>
      </c>
      <c r="DZ5" s="113" t="s">
        <v>45</v>
      </c>
      <c r="EA5" s="113" t="s">
        <v>47</v>
      </c>
      <c r="EB5" s="113" t="s">
        <v>43</v>
      </c>
      <c r="EC5" s="113" t="s">
        <v>45</v>
      </c>
      <c r="ED5" s="113" t="s">
        <v>47</v>
      </c>
      <c r="EE5" s="113" t="s">
        <v>43</v>
      </c>
      <c r="EF5" s="113" t="s">
        <v>45</v>
      </c>
      <c r="EG5" s="113" t="s">
        <v>47</v>
      </c>
      <c r="EH5" s="113" t="s">
        <v>43</v>
      </c>
      <c r="EI5" s="113" t="s">
        <v>45</v>
      </c>
      <c r="EJ5" s="113" t="s">
        <v>47</v>
      </c>
      <c r="EK5" s="113" t="s">
        <v>43</v>
      </c>
      <c r="EL5" s="113" t="s">
        <v>45</v>
      </c>
      <c r="EM5" s="113" t="s">
        <v>47</v>
      </c>
      <c r="EN5" s="113" t="s">
        <v>43</v>
      </c>
      <c r="EO5" s="113" t="s">
        <v>45</v>
      </c>
      <c r="EP5" s="113" t="s">
        <v>47</v>
      </c>
      <c r="EQ5" s="113" t="s">
        <v>43</v>
      </c>
      <c r="ER5" s="113" t="s">
        <v>45</v>
      </c>
      <c r="ES5" s="113" t="s">
        <v>47</v>
      </c>
      <c r="ET5" s="113" t="s">
        <v>43</v>
      </c>
      <c r="EU5" s="113" t="s">
        <v>45</v>
      </c>
      <c r="EV5" s="113" t="s">
        <v>47</v>
      </c>
      <c r="EW5" s="113" t="s">
        <v>43</v>
      </c>
      <c r="EX5" s="113" t="s">
        <v>45</v>
      </c>
      <c r="EY5" s="113" t="s">
        <v>47</v>
      </c>
      <c r="EZ5" s="113" t="s">
        <v>43</v>
      </c>
      <c r="FA5" s="113" t="s">
        <v>45</v>
      </c>
      <c r="FB5" s="113" t="s">
        <v>47</v>
      </c>
      <c r="FC5" s="113" t="s">
        <v>43</v>
      </c>
      <c r="FD5" s="113" t="s">
        <v>45</v>
      </c>
      <c r="FE5" s="113" t="s">
        <v>47</v>
      </c>
      <c r="FF5" s="113" t="s">
        <v>43</v>
      </c>
      <c r="FG5" s="113" t="s">
        <v>45</v>
      </c>
      <c r="FH5" s="113" t="s">
        <v>47</v>
      </c>
      <c r="FI5" s="113" t="s">
        <v>43</v>
      </c>
      <c r="FJ5" s="113" t="s">
        <v>45</v>
      </c>
      <c r="FK5" s="113" t="s">
        <v>47</v>
      </c>
      <c r="FL5" s="113" t="s">
        <v>43</v>
      </c>
      <c r="FM5" s="113" t="s">
        <v>45</v>
      </c>
      <c r="FN5" s="113" t="s">
        <v>47</v>
      </c>
      <c r="FO5" s="113" t="s">
        <v>43</v>
      </c>
      <c r="FP5" s="113" t="s">
        <v>45</v>
      </c>
      <c r="FQ5" s="113" t="s">
        <v>47</v>
      </c>
      <c r="FR5" s="113" t="s">
        <v>43</v>
      </c>
      <c r="FS5" s="113" t="s">
        <v>45</v>
      </c>
      <c r="FT5" s="113" t="s">
        <v>47</v>
      </c>
      <c r="FU5" s="113" t="s">
        <v>43</v>
      </c>
      <c r="FV5" s="113" t="s">
        <v>45</v>
      </c>
      <c r="FW5" s="113" t="s">
        <v>47</v>
      </c>
      <c r="FX5" s="113" t="s">
        <v>43</v>
      </c>
      <c r="FY5" s="113" t="s">
        <v>45</v>
      </c>
      <c r="FZ5" s="113" t="s">
        <v>47</v>
      </c>
      <c r="GA5" s="113" t="s">
        <v>43</v>
      </c>
      <c r="GB5" s="113" t="s">
        <v>45</v>
      </c>
      <c r="GC5" s="113" t="s">
        <v>47</v>
      </c>
      <c r="GD5" s="113" t="s">
        <v>43</v>
      </c>
      <c r="GE5" s="113" t="s">
        <v>45</v>
      </c>
      <c r="GF5" s="113" t="s">
        <v>47</v>
      </c>
      <c r="GG5" s="113" t="s">
        <v>43</v>
      </c>
      <c r="GH5" s="113" t="s">
        <v>45</v>
      </c>
      <c r="GI5" s="113" t="s">
        <v>47</v>
      </c>
      <c r="GJ5" s="113" t="s">
        <v>43</v>
      </c>
      <c r="GK5" s="113" t="s">
        <v>45</v>
      </c>
      <c r="GL5" s="113" t="s">
        <v>47</v>
      </c>
      <c r="GM5" s="113" t="s">
        <v>43</v>
      </c>
      <c r="GN5" s="113" t="s">
        <v>45</v>
      </c>
      <c r="GO5" s="113" t="s">
        <v>47</v>
      </c>
      <c r="GP5" s="113" t="s">
        <v>43</v>
      </c>
      <c r="GQ5" s="113" t="s">
        <v>45</v>
      </c>
      <c r="GR5" s="113" t="s">
        <v>47</v>
      </c>
      <c r="GS5" s="113" t="s">
        <v>43</v>
      </c>
      <c r="GT5" s="113" t="s">
        <v>45</v>
      </c>
      <c r="GU5" s="113" t="s">
        <v>47</v>
      </c>
      <c r="GV5" s="113" t="s">
        <v>43</v>
      </c>
      <c r="GW5" s="113" t="s">
        <v>45</v>
      </c>
      <c r="GX5" s="113" t="s">
        <v>47</v>
      </c>
      <c r="GY5" s="113" t="s">
        <v>43</v>
      </c>
      <c r="GZ5" s="113" t="s">
        <v>45</v>
      </c>
      <c r="HA5" s="113" t="s">
        <v>47</v>
      </c>
      <c r="HB5" s="113" t="s">
        <v>43</v>
      </c>
      <c r="HC5" s="113" t="s">
        <v>45</v>
      </c>
      <c r="HD5" s="113" t="s">
        <v>47</v>
      </c>
      <c r="HE5" s="113" t="s">
        <v>43</v>
      </c>
      <c r="HF5" s="113" t="s">
        <v>45</v>
      </c>
      <c r="HG5" s="113" t="s">
        <v>47</v>
      </c>
      <c r="HH5" s="113" t="s">
        <v>43</v>
      </c>
      <c r="HI5" s="113" t="s">
        <v>45</v>
      </c>
      <c r="HJ5" s="113" t="s">
        <v>47</v>
      </c>
      <c r="HK5" s="113" t="s">
        <v>43</v>
      </c>
      <c r="HL5" s="113" t="s">
        <v>45</v>
      </c>
      <c r="HM5" s="113" t="s">
        <v>47</v>
      </c>
      <c r="HN5" s="113" t="s">
        <v>43</v>
      </c>
      <c r="HO5" s="113" t="s">
        <v>45</v>
      </c>
      <c r="HP5" s="113" t="s">
        <v>47</v>
      </c>
      <c r="HQ5" s="113" t="s">
        <v>43</v>
      </c>
      <c r="HR5" s="113" t="s">
        <v>45</v>
      </c>
      <c r="HS5" s="113" t="s">
        <v>47</v>
      </c>
      <c r="HT5" s="113" t="s">
        <v>43</v>
      </c>
      <c r="HU5" s="113" t="s">
        <v>45</v>
      </c>
      <c r="HV5" s="113" t="s">
        <v>47</v>
      </c>
      <c r="HW5" s="113" t="s">
        <v>43</v>
      </c>
      <c r="HX5" s="113" t="s">
        <v>45</v>
      </c>
      <c r="HY5" s="113" t="s">
        <v>47</v>
      </c>
      <c r="HZ5" s="113" t="s">
        <v>43</v>
      </c>
      <c r="IA5" s="113" t="s">
        <v>45</v>
      </c>
      <c r="IB5" s="113" t="s">
        <v>47</v>
      </c>
      <c r="IC5" s="113" t="s">
        <v>43</v>
      </c>
      <c r="ID5" s="113" t="s">
        <v>45</v>
      </c>
      <c r="IE5" s="113" t="s">
        <v>47</v>
      </c>
      <c r="IF5" s="113" t="s">
        <v>43</v>
      </c>
      <c r="IG5" s="113" t="s">
        <v>43</v>
      </c>
      <c r="IH5" s="113" t="s">
        <v>43</v>
      </c>
      <c r="II5" s="113" t="s">
        <v>43</v>
      </c>
      <c r="IJ5" s="113" t="s">
        <v>43</v>
      </c>
      <c r="IK5" s="113" t="s">
        <v>43</v>
      </c>
      <c r="IL5" s="113" t="s">
        <v>43</v>
      </c>
      <c r="IM5" s="113" t="s">
        <v>43</v>
      </c>
      <c r="IN5" s="113" t="s">
        <v>43</v>
      </c>
      <c r="IO5" s="113" t="s">
        <v>43</v>
      </c>
      <c r="IP5" s="113" t="s">
        <v>43</v>
      </c>
      <c r="IQ5" s="113" t="s">
        <v>43</v>
      </c>
      <c r="IR5" s="119" t="s">
        <v>43</v>
      </c>
      <c r="IS5" s="119" t="s">
        <v>43</v>
      </c>
      <c r="IT5" s="119" t="s">
        <v>43</v>
      </c>
      <c r="IU5" s="119" t="s">
        <v>43</v>
      </c>
      <c r="IV5" s="119" t="s">
        <v>43</v>
      </c>
      <c r="IW5" s="119" t="s">
        <v>43</v>
      </c>
      <c r="IX5" s="150" t="s">
        <v>43</v>
      </c>
      <c r="IY5" s="2"/>
      <c r="IZ5" s="2"/>
      <c r="JA5" s="2"/>
      <c r="JB5" s="2"/>
      <c r="JC5" s="2"/>
    </row>
    <row r="6" spans="1:263" ht="13.5" customHeight="1">
      <c r="A6" s="246"/>
      <c r="B6" s="247"/>
      <c r="C6" s="247"/>
      <c r="D6" s="247"/>
      <c r="E6" s="248"/>
      <c r="F6" s="116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120"/>
      <c r="IS6" s="25">
        <v>100</v>
      </c>
      <c r="IT6" s="25">
        <v>100</v>
      </c>
      <c r="IU6" s="25">
        <v>100</v>
      </c>
      <c r="IV6" s="25">
        <v>100</v>
      </c>
      <c r="IW6" s="25">
        <v>100</v>
      </c>
      <c r="IX6" s="151"/>
      <c r="IY6" s="2"/>
      <c r="IZ6" s="2"/>
      <c r="JA6" s="2"/>
      <c r="JB6" s="2"/>
      <c r="JC6" s="2"/>
    </row>
    <row r="7" spans="1:263" ht="13.5" customHeight="1">
      <c r="A7" s="246"/>
      <c r="B7" s="249" t="s">
        <v>91</v>
      </c>
      <c r="C7" s="247"/>
      <c r="D7" s="247"/>
      <c r="E7" s="248"/>
      <c r="F7" s="116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120"/>
      <c r="IS7" s="25">
        <v>100</v>
      </c>
      <c r="IT7" s="25">
        <v>100</v>
      </c>
      <c r="IU7" s="25">
        <v>100</v>
      </c>
      <c r="IV7" s="25">
        <v>100</v>
      </c>
      <c r="IW7" s="25">
        <v>100</v>
      </c>
      <c r="IX7" s="151"/>
      <c r="IY7" s="2"/>
      <c r="IZ7" s="2"/>
      <c r="JA7" s="2"/>
      <c r="JB7" s="2"/>
      <c r="JC7" s="2"/>
    </row>
    <row r="8" spans="1:263" ht="13.5" customHeight="1">
      <c r="A8" s="55">
        <v>1</v>
      </c>
      <c r="B8" s="52" t="s">
        <v>92</v>
      </c>
      <c r="C8" s="6">
        <v>320</v>
      </c>
      <c r="D8" s="6">
        <v>320</v>
      </c>
      <c r="E8" s="23">
        <v>90</v>
      </c>
      <c r="F8" s="117"/>
      <c r="G8" s="53"/>
      <c r="H8" s="53"/>
      <c r="I8" s="53"/>
      <c r="J8" s="53"/>
      <c r="K8" s="53"/>
      <c r="L8" s="53"/>
      <c r="M8" s="53"/>
      <c r="N8" s="53"/>
      <c r="O8" s="70">
        <v>100</v>
      </c>
      <c r="P8" s="70">
        <v>100</v>
      </c>
      <c r="Q8" s="70">
        <v>100</v>
      </c>
      <c r="R8" s="70">
        <v>100</v>
      </c>
      <c r="S8" s="70">
        <v>100</v>
      </c>
      <c r="T8" s="70">
        <v>100</v>
      </c>
      <c r="U8" s="54">
        <v>55</v>
      </c>
      <c r="V8" s="70">
        <v>100</v>
      </c>
      <c r="W8" s="70">
        <v>100</v>
      </c>
      <c r="X8" s="54">
        <v>69</v>
      </c>
      <c r="Y8" s="70">
        <v>100</v>
      </c>
      <c r="Z8" s="70">
        <v>100</v>
      </c>
      <c r="AA8" s="54">
        <v>50</v>
      </c>
      <c r="AB8" s="54">
        <v>55</v>
      </c>
      <c r="AC8" s="70">
        <v>100</v>
      </c>
      <c r="AD8" s="54">
        <v>41</v>
      </c>
      <c r="AE8" s="54">
        <v>52</v>
      </c>
      <c r="AF8" s="70">
        <v>100</v>
      </c>
      <c r="AG8" s="54">
        <v>36</v>
      </c>
      <c r="AH8" s="54">
        <v>49</v>
      </c>
      <c r="AI8" s="70">
        <v>100</v>
      </c>
      <c r="AJ8" s="54">
        <v>34</v>
      </c>
      <c r="AK8" s="54">
        <v>46</v>
      </c>
      <c r="AL8" s="70">
        <v>100</v>
      </c>
      <c r="AM8" s="54">
        <v>65</v>
      </c>
      <c r="AN8" s="54">
        <v>52</v>
      </c>
      <c r="AO8" s="70">
        <v>100</v>
      </c>
      <c r="AP8" s="54">
        <v>78</v>
      </c>
      <c r="AQ8" s="54">
        <v>56</v>
      </c>
      <c r="AR8" s="54">
        <v>92</v>
      </c>
      <c r="AS8" s="54">
        <v>72</v>
      </c>
      <c r="AT8" s="54">
        <v>57</v>
      </c>
      <c r="AU8" s="54">
        <v>89</v>
      </c>
      <c r="AV8" s="54">
        <v>85</v>
      </c>
      <c r="AW8" s="54">
        <v>60</v>
      </c>
      <c r="AX8" s="54">
        <v>78</v>
      </c>
      <c r="AY8" s="54">
        <v>82</v>
      </c>
      <c r="AZ8" s="54">
        <v>59</v>
      </c>
      <c r="BA8" s="54">
        <v>73</v>
      </c>
      <c r="BB8" s="54">
        <v>88</v>
      </c>
      <c r="BC8" s="54">
        <v>65</v>
      </c>
      <c r="BD8" s="54">
        <v>79</v>
      </c>
      <c r="BE8" s="54">
        <v>85</v>
      </c>
      <c r="BF8" s="54">
        <v>69</v>
      </c>
      <c r="BG8" s="54">
        <v>82</v>
      </c>
      <c r="BH8" s="54">
        <v>74</v>
      </c>
      <c r="BI8" s="70">
        <v>100</v>
      </c>
      <c r="BJ8" s="54">
        <v>79</v>
      </c>
      <c r="BK8" s="54">
        <v>69</v>
      </c>
      <c r="BL8" s="70">
        <v>100</v>
      </c>
      <c r="BM8" s="54">
        <v>72</v>
      </c>
      <c r="BN8" s="54">
        <v>81</v>
      </c>
      <c r="BO8" s="54">
        <v>87</v>
      </c>
      <c r="BP8" s="54">
        <v>68</v>
      </c>
      <c r="BQ8" s="54">
        <v>78</v>
      </c>
      <c r="BR8" s="54">
        <v>90</v>
      </c>
      <c r="BS8" s="54">
        <v>82</v>
      </c>
      <c r="BT8" s="54">
        <v>72</v>
      </c>
      <c r="BU8" s="54">
        <v>83</v>
      </c>
      <c r="BV8" s="54">
        <v>80</v>
      </c>
      <c r="BW8" s="54">
        <v>68</v>
      </c>
      <c r="BX8" s="54">
        <v>82</v>
      </c>
      <c r="BY8" s="54">
        <v>70</v>
      </c>
      <c r="BZ8" s="54">
        <v>65</v>
      </c>
      <c r="CA8" s="54">
        <v>74</v>
      </c>
      <c r="CB8" s="54">
        <v>66</v>
      </c>
      <c r="CC8" s="54">
        <v>61</v>
      </c>
      <c r="CD8" s="54">
        <v>68</v>
      </c>
      <c r="CE8" s="54">
        <v>60</v>
      </c>
      <c r="CF8" s="54">
        <v>58</v>
      </c>
      <c r="CG8" s="54">
        <v>62</v>
      </c>
      <c r="CH8" s="54">
        <v>69</v>
      </c>
      <c r="CI8" s="54">
        <v>52</v>
      </c>
      <c r="CJ8" s="54">
        <v>71</v>
      </c>
      <c r="CK8" s="54">
        <v>68</v>
      </c>
      <c r="CL8" s="54">
        <v>48</v>
      </c>
      <c r="CM8" s="54">
        <v>61</v>
      </c>
      <c r="CN8" s="54">
        <v>64</v>
      </c>
      <c r="CO8" s="54">
        <v>61</v>
      </c>
      <c r="CP8" s="54">
        <v>52</v>
      </c>
      <c r="CQ8" s="54">
        <v>62</v>
      </c>
      <c r="CR8" s="54">
        <v>59</v>
      </c>
      <c r="CS8" s="54">
        <v>50</v>
      </c>
      <c r="CT8" s="54">
        <v>57</v>
      </c>
      <c r="CU8" s="54">
        <v>52</v>
      </c>
      <c r="CV8" s="54">
        <v>44</v>
      </c>
      <c r="CW8" s="54">
        <v>51</v>
      </c>
      <c r="CX8" s="54">
        <v>49</v>
      </c>
      <c r="CY8" s="54">
        <v>43</v>
      </c>
      <c r="CZ8" s="54">
        <v>36</v>
      </c>
      <c r="DA8" s="54">
        <v>46</v>
      </c>
      <c r="DB8" s="54">
        <v>57</v>
      </c>
      <c r="DC8" s="54">
        <v>33</v>
      </c>
      <c r="DD8" s="54">
        <v>58</v>
      </c>
      <c r="DE8" s="54">
        <v>53</v>
      </c>
      <c r="DF8" s="54">
        <v>31</v>
      </c>
      <c r="DG8" s="54">
        <v>54</v>
      </c>
      <c r="DH8" s="54">
        <v>55</v>
      </c>
      <c r="DI8" s="54">
        <v>37</v>
      </c>
      <c r="DJ8" s="54">
        <v>49</v>
      </c>
      <c r="DK8" s="54">
        <v>46</v>
      </c>
      <c r="DL8" s="54">
        <v>33</v>
      </c>
      <c r="DM8" s="54">
        <v>54</v>
      </c>
      <c r="DN8" s="54">
        <v>42</v>
      </c>
      <c r="DO8" s="54">
        <v>32</v>
      </c>
      <c r="DP8" s="54">
        <v>48</v>
      </c>
      <c r="DQ8" s="54">
        <v>41</v>
      </c>
      <c r="DR8" s="54">
        <v>30</v>
      </c>
      <c r="DS8" s="54">
        <v>43</v>
      </c>
      <c r="DT8" s="54">
        <v>38</v>
      </c>
      <c r="DU8" s="54">
        <v>36</v>
      </c>
      <c r="DV8" s="54">
        <v>41</v>
      </c>
      <c r="DW8" s="54">
        <v>32</v>
      </c>
      <c r="DX8" s="54">
        <v>34</v>
      </c>
      <c r="DY8" s="54">
        <v>48</v>
      </c>
      <c r="DZ8" s="54">
        <v>36</v>
      </c>
      <c r="EA8" s="54">
        <v>32</v>
      </c>
      <c r="EB8" s="54">
        <v>56</v>
      </c>
      <c r="EC8" s="54">
        <v>35</v>
      </c>
      <c r="ED8" s="54">
        <v>53</v>
      </c>
      <c r="EE8" s="54">
        <v>65</v>
      </c>
      <c r="EF8" s="54">
        <v>33</v>
      </c>
      <c r="EG8" s="54">
        <v>52</v>
      </c>
      <c r="EH8" s="54">
        <v>62</v>
      </c>
      <c r="EI8" s="54">
        <v>38</v>
      </c>
      <c r="EJ8" s="54">
        <v>56</v>
      </c>
      <c r="EK8" s="54">
        <v>66</v>
      </c>
      <c r="EL8" s="54">
        <v>43</v>
      </c>
      <c r="EM8" s="54">
        <v>52</v>
      </c>
      <c r="EN8" s="54">
        <v>58</v>
      </c>
      <c r="EO8" s="54">
        <v>42</v>
      </c>
      <c r="EP8" s="54">
        <v>51</v>
      </c>
      <c r="EQ8" s="54">
        <v>54</v>
      </c>
      <c r="ER8" s="54">
        <v>52</v>
      </c>
      <c r="ES8" s="54">
        <v>69</v>
      </c>
      <c r="ET8" s="54">
        <v>62</v>
      </c>
      <c r="EU8" s="54">
        <v>58</v>
      </c>
      <c r="EV8" s="54">
        <v>61</v>
      </c>
      <c r="EW8" s="54">
        <v>59</v>
      </c>
      <c r="EX8" s="54">
        <v>54</v>
      </c>
      <c r="EY8" s="54">
        <v>63</v>
      </c>
      <c r="EZ8" s="54">
        <v>64</v>
      </c>
      <c r="FA8" s="54">
        <v>51</v>
      </c>
      <c r="FB8" s="54">
        <v>59</v>
      </c>
      <c r="FC8" s="54">
        <v>62</v>
      </c>
      <c r="FD8" s="54">
        <v>49</v>
      </c>
      <c r="FE8" s="54">
        <v>55</v>
      </c>
      <c r="FF8" s="54">
        <v>83</v>
      </c>
      <c r="FG8" s="54">
        <v>55</v>
      </c>
      <c r="FH8" s="54">
        <v>75</v>
      </c>
      <c r="FI8" s="54">
        <v>74</v>
      </c>
      <c r="FJ8" s="54">
        <v>62</v>
      </c>
      <c r="FK8" s="54">
        <v>71</v>
      </c>
      <c r="FL8" s="54">
        <v>68</v>
      </c>
      <c r="FM8" s="54">
        <v>75</v>
      </c>
      <c r="FN8" s="54">
        <v>76</v>
      </c>
      <c r="FO8" s="6">
        <v>82</v>
      </c>
      <c r="FP8" s="6">
        <v>72</v>
      </c>
      <c r="FQ8" s="6">
        <v>81</v>
      </c>
      <c r="FR8" s="16">
        <v>75</v>
      </c>
      <c r="FS8" s="16">
        <v>75</v>
      </c>
      <c r="FT8" s="16">
        <v>71</v>
      </c>
      <c r="FU8" s="16">
        <v>72</v>
      </c>
      <c r="FV8" s="16">
        <v>78</v>
      </c>
      <c r="FW8" s="16">
        <v>69</v>
      </c>
      <c r="FX8" s="16">
        <v>78</v>
      </c>
      <c r="FY8" s="16">
        <v>85</v>
      </c>
      <c r="FZ8" s="16">
        <v>63</v>
      </c>
      <c r="GA8" s="16">
        <v>85</v>
      </c>
      <c r="GB8" s="16">
        <v>81</v>
      </c>
      <c r="GC8" s="16">
        <v>67</v>
      </c>
      <c r="GD8" s="16">
        <v>89</v>
      </c>
      <c r="GE8" s="16">
        <v>86</v>
      </c>
      <c r="GF8" s="16">
        <v>73</v>
      </c>
      <c r="GG8" s="16">
        <v>83</v>
      </c>
      <c r="GH8" s="16">
        <v>81</v>
      </c>
      <c r="GI8" s="16">
        <v>75</v>
      </c>
      <c r="GJ8" s="16">
        <v>81</v>
      </c>
      <c r="GK8" s="16">
        <v>79</v>
      </c>
      <c r="GL8" s="16">
        <v>76</v>
      </c>
      <c r="GM8" s="16">
        <v>89</v>
      </c>
      <c r="GN8" s="16">
        <v>72</v>
      </c>
      <c r="GO8" s="16">
        <v>70</v>
      </c>
      <c r="GP8" s="16">
        <v>85</v>
      </c>
      <c r="GQ8" s="16">
        <v>75</v>
      </c>
      <c r="GR8" s="16">
        <v>79</v>
      </c>
      <c r="GS8" s="16">
        <v>82</v>
      </c>
      <c r="GT8" s="16">
        <v>79</v>
      </c>
      <c r="GU8" s="16">
        <v>85</v>
      </c>
      <c r="GV8" s="16">
        <v>89</v>
      </c>
      <c r="GW8" s="16">
        <v>80</v>
      </c>
      <c r="GX8" s="16">
        <v>81</v>
      </c>
      <c r="GY8" s="14">
        <v>100</v>
      </c>
      <c r="GZ8" s="16">
        <v>79</v>
      </c>
      <c r="HA8" s="16">
        <v>85</v>
      </c>
      <c r="HB8" s="14">
        <v>100</v>
      </c>
      <c r="HC8" s="16">
        <v>72</v>
      </c>
      <c r="HD8" s="16">
        <v>81</v>
      </c>
      <c r="HE8" s="14">
        <v>100</v>
      </c>
      <c r="HF8" s="16">
        <v>69</v>
      </c>
      <c r="HG8" s="16">
        <v>75</v>
      </c>
      <c r="HH8" s="14">
        <v>100</v>
      </c>
      <c r="HI8" s="16">
        <v>72</v>
      </c>
      <c r="HJ8" s="16">
        <v>78</v>
      </c>
      <c r="HK8" s="14">
        <v>100</v>
      </c>
      <c r="HL8" s="16">
        <v>70</v>
      </c>
      <c r="HM8" s="16">
        <v>73</v>
      </c>
      <c r="HN8" s="14">
        <v>100</v>
      </c>
      <c r="HO8" s="16">
        <v>69</v>
      </c>
      <c r="HP8" s="16">
        <v>70</v>
      </c>
      <c r="HQ8" s="34">
        <v>100</v>
      </c>
      <c r="HR8" s="6">
        <v>65</v>
      </c>
      <c r="HS8" s="6">
        <v>61</v>
      </c>
      <c r="HT8" s="14">
        <v>100</v>
      </c>
      <c r="HU8" s="16">
        <v>68</v>
      </c>
      <c r="HV8" s="16">
        <v>69</v>
      </c>
      <c r="HW8" s="14">
        <v>100</v>
      </c>
      <c r="HX8" s="16">
        <v>70</v>
      </c>
      <c r="HY8" s="16">
        <v>78</v>
      </c>
      <c r="HZ8" s="14">
        <v>100</v>
      </c>
      <c r="IA8" s="16">
        <v>70</v>
      </c>
      <c r="IB8" s="16">
        <v>74</v>
      </c>
      <c r="IC8" s="34">
        <v>100</v>
      </c>
      <c r="ID8" s="6">
        <v>69</v>
      </c>
      <c r="IE8" s="6">
        <v>71</v>
      </c>
      <c r="IF8" s="14">
        <v>100</v>
      </c>
      <c r="IG8" s="14">
        <v>100</v>
      </c>
      <c r="IH8" s="14">
        <v>100</v>
      </c>
      <c r="II8" s="14">
        <v>100</v>
      </c>
      <c r="IJ8" s="14">
        <v>100</v>
      </c>
      <c r="IK8" s="14">
        <v>100</v>
      </c>
      <c r="IL8" s="14">
        <v>100</v>
      </c>
      <c r="IM8" s="14">
        <v>100</v>
      </c>
      <c r="IN8" s="14">
        <v>100</v>
      </c>
      <c r="IO8" s="14">
        <v>100</v>
      </c>
      <c r="IP8" s="14">
        <v>100</v>
      </c>
      <c r="IQ8" s="14">
        <v>100</v>
      </c>
      <c r="IR8" s="25">
        <v>100</v>
      </c>
      <c r="IS8" s="25">
        <v>100</v>
      </c>
      <c r="IT8" s="25">
        <v>100</v>
      </c>
      <c r="IU8" s="25">
        <v>100</v>
      </c>
      <c r="IV8" s="25">
        <v>100</v>
      </c>
      <c r="IW8" s="25">
        <v>100</v>
      </c>
      <c r="IX8" s="58">
        <f t="shared" ref="IX8:IX52" si="0">IFERROR(IV8-IW8,0)</f>
        <v>0</v>
      </c>
      <c r="IY8" s="2"/>
      <c r="IZ8" s="2"/>
      <c r="JA8" s="2"/>
      <c r="JB8" s="2"/>
      <c r="JC8" s="2"/>
    </row>
    <row r="9" spans="1:263" ht="13.5" customHeight="1">
      <c r="A9" s="55">
        <v>2</v>
      </c>
      <c r="B9" s="52" t="s">
        <v>93</v>
      </c>
      <c r="C9" s="5">
        <v>14800</v>
      </c>
      <c r="D9" s="5">
        <v>22200</v>
      </c>
      <c r="E9" s="23">
        <v>40500</v>
      </c>
      <c r="F9" s="117"/>
      <c r="G9" s="53"/>
      <c r="H9" s="53"/>
      <c r="I9" s="53"/>
      <c r="J9" s="53"/>
      <c r="K9" s="53"/>
      <c r="L9" s="53">
        <v>70</v>
      </c>
      <c r="M9" s="53"/>
      <c r="N9" s="53"/>
      <c r="O9" s="53">
        <v>37</v>
      </c>
      <c r="P9" s="70">
        <v>100</v>
      </c>
      <c r="Q9" s="70">
        <v>100</v>
      </c>
      <c r="R9" s="53">
        <v>34</v>
      </c>
      <c r="S9" s="70">
        <v>100</v>
      </c>
      <c r="T9" s="70">
        <v>100</v>
      </c>
      <c r="U9" s="53">
        <v>9</v>
      </c>
      <c r="V9" s="70">
        <v>100</v>
      </c>
      <c r="W9" s="70">
        <v>100</v>
      </c>
      <c r="X9" s="53">
        <v>12</v>
      </c>
      <c r="Y9" s="70">
        <v>100</v>
      </c>
      <c r="Z9" s="70">
        <v>100</v>
      </c>
      <c r="AA9" s="53">
        <v>22</v>
      </c>
      <c r="AB9" s="54">
        <v>20</v>
      </c>
      <c r="AC9" s="54">
        <v>92</v>
      </c>
      <c r="AD9" s="53">
        <v>15</v>
      </c>
      <c r="AE9" s="54">
        <v>20</v>
      </c>
      <c r="AF9" s="54">
        <v>89</v>
      </c>
      <c r="AG9" s="53">
        <v>10</v>
      </c>
      <c r="AH9" s="54">
        <v>19</v>
      </c>
      <c r="AI9" s="54">
        <v>80</v>
      </c>
      <c r="AJ9" s="53">
        <v>9</v>
      </c>
      <c r="AK9" s="54">
        <v>29</v>
      </c>
      <c r="AL9" s="54">
        <v>72</v>
      </c>
      <c r="AM9" s="53">
        <v>9</v>
      </c>
      <c r="AN9" s="54">
        <v>22</v>
      </c>
      <c r="AO9" s="54">
        <v>68</v>
      </c>
      <c r="AP9" s="53">
        <v>5</v>
      </c>
      <c r="AQ9" s="54">
        <v>21</v>
      </c>
      <c r="AR9" s="54">
        <v>62</v>
      </c>
      <c r="AS9" s="53">
        <v>5</v>
      </c>
      <c r="AT9" s="54">
        <v>18</v>
      </c>
      <c r="AU9" s="54">
        <v>58</v>
      </c>
      <c r="AV9" s="53">
        <v>5</v>
      </c>
      <c r="AW9" s="54">
        <v>21</v>
      </c>
      <c r="AX9" s="54">
        <v>55</v>
      </c>
      <c r="AY9" s="53">
        <v>4</v>
      </c>
      <c r="AZ9" s="54">
        <v>21</v>
      </c>
      <c r="BA9" s="54">
        <v>49</v>
      </c>
      <c r="BB9" s="53">
        <v>4</v>
      </c>
      <c r="BC9" s="54">
        <v>20</v>
      </c>
      <c r="BD9" s="54">
        <v>46</v>
      </c>
      <c r="BE9" s="53">
        <v>3</v>
      </c>
      <c r="BF9" s="54">
        <v>25</v>
      </c>
      <c r="BG9" s="54">
        <v>45</v>
      </c>
      <c r="BH9" s="53">
        <v>4</v>
      </c>
      <c r="BI9" s="54">
        <v>29</v>
      </c>
      <c r="BJ9" s="54">
        <v>42</v>
      </c>
      <c r="BK9" s="53">
        <v>4</v>
      </c>
      <c r="BL9" s="54">
        <v>19</v>
      </c>
      <c r="BM9" s="54">
        <v>30</v>
      </c>
      <c r="BN9" s="53">
        <v>3</v>
      </c>
      <c r="BO9" s="54">
        <v>17</v>
      </c>
      <c r="BP9" s="54">
        <v>15</v>
      </c>
      <c r="BQ9" s="53">
        <v>3</v>
      </c>
      <c r="BR9" s="54">
        <v>13</v>
      </c>
      <c r="BS9" s="54">
        <v>14</v>
      </c>
      <c r="BT9" s="53">
        <v>8</v>
      </c>
      <c r="BU9" s="54">
        <v>18</v>
      </c>
      <c r="BV9" s="54">
        <v>21</v>
      </c>
      <c r="BW9" s="53">
        <v>6</v>
      </c>
      <c r="BX9" s="54">
        <v>16</v>
      </c>
      <c r="BY9" s="54">
        <v>15</v>
      </c>
      <c r="BZ9" s="53">
        <v>12</v>
      </c>
      <c r="CA9" s="54">
        <v>14</v>
      </c>
      <c r="CB9" s="54">
        <v>16</v>
      </c>
      <c r="CC9" s="53">
        <v>17</v>
      </c>
      <c r="CD9" s="54">
        <v>16</v>
      </c>
      <c r="CE9" s="54">
        <v>13</v>
      </c>
      <c r="CF9" s="53">
        <v>35</v>
      </c>
      <c r="CG9" s="54">
        <v>22</v>
      </c>
      <c r="CH9" s="54">
        <v>19</v>
      </c>
      <c r="CI9" s="53">
        <v>10</v>
      </c>
      <c r="CJ9" s="54">
        <v>27</v>
      </c>
      <c r="CK9" s="54">
        <v>35</v>
      </c>
      <c r="CL9" s="53">
        <v>15</v>
      </c>
      <c r="CM9" s="54">
        <v>22</v>
      </c>
      <c r="CN9" s="54">
        <v>26</v>
      </c>
      <c r="CO9" s="53">
        <v>28</v>
      </c>
      <c r="CP9" s="54">
        <v>22</v>
      </c>
      <c r="CQ9" s="54">
        <v>26</v>
      </c>
      <c r="CR9" s="53">
        <v>9</v>
      </c>
      <c r="CS9" s="54">
        <v>26</v>
      </c>
      <c r="CT9" s="54">
        <v>23</v>
      </c>
      <c r="CU9" s="53">
        <v>9</v>
      </c>
      <c r="CV9" s="54">
        <v>23</v>
      </c>
      <c r="CW9" s="54">
        <v>28</v>
      </c>
      <c r="CX9" s="53">
        <v>12</v>
      </c>
      <c r="CY9" s="54">
        <v>31</v>
      </c>
      <c r="CZ9" s="54">
        <v>26</v>
      </c>
      <c r="DA9" s="53">
        <v>10</v>
      </c>
      <c r="DB9" s="54">
        <v>28</v>
      </c>
      <c r="DC9" s="54">
        <v>21</v>
      </c>
      <c r="DD9" s="53">
        <v>22</v>
      </c>
      <c r="DE9" s="54">
        <v>21</v>
      </c>
      <c r="DF9" s="54">
        <v>29</v>
      </c>
      <c r="DG9" s="53">
        <v>18</v>
      </c>
      <c r="DH9" s="54">
        <v>20</v>
      </c>
      <c r="DI9" s="54">
        <v>23</v>
      </c>
      <c r="DJ9" s="53">
        <v>23</v>
      </c>
      <c r="DK9" s="54">
        <v>19</v>
      </c>
      <c r="DL9" s="54">
        <v>18</v>
      </c>
      <c r="DM9" s="53">
        <v>58</v>
      </c>
      <c r="DN9" s="54">
        <v>25</v>
      </c>
      <c r="DO9" s="54">
        <v>17</v>
      </c>
      <c r="DP9" s="53">
        <v>43</v>
      </c>
      <c r="DQ9" s="54">
        <v>28</v>
      </c>
      <c r="DR9" s="54">
        <v>23</v>
      </c>
      <c r="DS9" s="53">
        <v>39</v>
      </c>
      <c r="DT9" s="54">
        <v>25</v>
      </c>
      <c r="DU9" s="54">
        <v>20</v>
      </c>
      <c r="DV9" s="53">
        <v>36</v>
      </c>
      <c r="DW9" s="54">
        <v>38</v>
      </c>
      <c r="DX9" s="54">
        <v>28</v>
      </c>
      <c r="DY9" s="53">
        <v>34</v>
      </c>
      <c r="DZ9" s="54">
        <v>31</v>
      </c>
      <c r="EA9" s="54">
        <v>46</v>
      </c>
      <c r="EB9" s="53">
        <v>31</v>
      </c>
      <c r="EC9" s="54">
        <v>38</v>
      </c>
      <c r="ED9" s="54">
        <v>43</v>
      </c>
      <c r="EE9" s="53">
        <v>26</v>
      </c>
      <c r="EF9" s="54">
        <v>32</v>
      </c>
      <c r="EG9" s="54">
        <v>35</v>
      </c>
      <c r="EH9" s="53">
        <v>20</v>
      </c>
      <c r="EI9" s="54">
        <v>31</v>
      </c>
      <c r="EJ9" s="54">
        <v>32</v>
      </c>
      <c r="EK9" s="53">
        <v>26</v>
      </c>
      <c r="EL9" s="54">
        <v>28</v>
      </c>
      <c r="EM9" s="54">
        <v>22</v>
      </c>
      <c r="EN9" s="53">
        <v>25</v>
      </c>
      <c r="EO9" s="54">
        <v>34</v>
      </c>
      <c r="EP9" s="54">
        <v>26</v>
      </c>
      <c r="EQ9" s="53">
        <v>14</v>
      </c>
      <c r="ER9" s="54">
        <v>28</v>
      </c>
      <c r="ES9" s="54">
        <v>23</v>
      </c>
      <c r="ET9" s="53">
        <v>11</v>
      </c>
      <c r="EU9" s="54">
        <v>22</v>
      </c>
      <c r="EV9" s="54">
        <v>25</v>
      </c>
      <c r="EW9" s="53">
        <v>10</v>
      </c>
      <c r="EX9" s="54">
        <v>18</v>
      </c>
      <c r="EY9" s="54">
        <v>16</v>
      </c>
      <c r="EZ9" s="53">
        <v>11</v>
      </c>
      <c r="FA9" s="54">
        <v>15</v>
      </c>
      <c r="FB9" s="54">
        <v>19</v>
      </c>
      <c r="FC9" s="54">
        <v>10</v>
      </c>
      <c r="FD9" s="54">
        <v>12</v>
      </c>
      <c r="FE9" s="54">
        <v>17</v>
      </c>
      <c r="FF9" s="54">
        <v>9</v>
      </c>
      <c r="FG9" s="54">
        <v>18</v>
      </c>
      <c r="FH9" s="54">
        <v>13</v>
      </c>
      <c r="FI9" s="54">
        <v>8</v>
      </c>
      <c r="FJ9" s="54">
        <v>16</v>
      </c>
      <c r="FK9" s="54">
        <v>15</v>
      </c>
      <c r="FL9" s="54">
        <v>10</v>
      </c>
      <c r="FM9" s="54">
        <v>14</v>
      </c>
      <c r="FN9" s="54">
        <v>13</v>
      </c>
      <c r="FO9" s="6">
        <v>8</v>
      </c>
      <c r="FP9" s="6">
        <v>13</v>
      </c>
      <c r="FQ9" s="6">
        <v>15</v>
      </c>
      <c r="FR9" s="6">
        <v>5</v>
      </c>
      <c r="FS9" s="16">
        <v>12</v>
      </c>
      <c r="FT9" s="16">
        <v>14</v>
      </c>
      <c r="FU9" s="6">
        <v>4</v>
      </c>
      <c r="FV9" s="16">
        <v>11</v>
      </c>
      <c r="FW9" s="16">
        <v>13</v>
      </c>
      <c r="FX9" s="6">
        <v>6</v>
      </c>
      <c r="FY9" s="16">
        <v>13</v>
      </c>
      <c r="FZ9" s="16">
        <v>15</v>
      </c>
      <c r="GA9" s="6">
        <v>8</v>
      </c>
      <c r="GB9" s="16">
        <v>16</v>
      </c>
      <c r="GC9" s="16">
        <v>6</v>
      </c>
      <c r="GD9" s="6">
        <v>6</v>
      </c>
      <c r="GE9" s="16">
        <v>14</v>
      </c>
      <c r="GF9" s="16">
        <v>5</v>
      </c>
      <c r="GG9" s="6">
        <v>5</v>
      </c>
      <c r="GH9" s="16">
        <v>12</v>
      </c>
      <c r="GI9" s="16">
        <v>8</v>
      </c>
      <c r="GJ9" s="6">
        <v>4</v>
      </c>
      <c r="GK9" s="16">
        <v>16</v>
      </c>
      <c r="GL9" s="16">
        <v>6</v>
      </c>
      <c r="GM9" s="6">
        <v>7</v>
      </c>
      <c r="GN9" s="16">
        <v>13</v>
      </c>
      <c r="GO9" s="16">
        <v>5</v>
      </c>
      <c r="GP9" s="6">
        <v>6</v>
      </c>
      <c r="GQ9" s="16">
        <v>18</v>
      </c>
      <c r="GR9" s="16">
        <v>8</v>
      </c>
      <c r="GS9" s="16">
        <v>6</v>
      </c>
      <c r="GT9" s="16">
        <v>14</v>
      </c>
      <c r="GU9" s="16">
        <v>7</v>
      </c>
      <c r="GV9" s="16">
        <v>8</v>
      </c>
      <c r="GW9" s="16">
        <v>18</v>
      </c>
      <c r="GX9" s="16">
        <v>10</v>
      </c>
      <c r="GY9" s="16">
        <v>10</v>
      </c>
      <c r="GZ9" s="16">
        <v>15</v>
      </c>
      <c r="HA9" s="16">
        <v>10</v>
      </c>
      <c r="HB9" s="16">
        <v>61</v>
      </c>
      <c r="HC9" s="16">
        <v>18</v>
      </c>
      <c r="HD9" s="16">
        <v>13</v>
      </c>
      <c r="HE9" s="16">
        <v>16</v>
      </c>
      <c r="HF9" s="16">
        <v>13</v>
      </c>
      <c r="HG9" s="16">
        <v>12</v>
      </c>
      <c r="HH9" s="16">
        <v>20</v>
      </c>
      <c r="HI9" s="16">
        <v>15</v>
      </c>
      <c r="HJ9" s="16">
        <v>11</v>
      </c>
      <c r="HK9" s="16">
        <v>38</v>
      </c>
      <c r="HL9" s="16">
        <v>14</v>
      </c>
      <c r="HM9" s="16">
        <v>13</v>
      </c>
      <c r="HN9" s="16">
        <v>36</v>
      </c>
      <c r="HO9" s="16">
        <v>13</v>
      </c>
      <c r="HP9" s="16">
        <v>11</v>
      </c>
      <c r="HQ9" s="6">
        <v>58</v>
      </c>
      <c r="HR9" s="6">
        <v>16</v>
      </c>
      <c r="HS9" s="6">
        <v>18</v>
      </c>
      <c r="HT9" s="16">
        <v>64</v>
      </c>
      <c r="HU9" s="16">
        <v>18</v>
      </c>
      <c r="HV9" s="16">
        <v>14</v>
      </c>
      <c r="HW9" s="16">
        <v>61</v>
      </c>
      <c r="HX9" s="16">
        <v>14</v>
      </c>
      <c r="HY9" s="16">
        <v>12</v>
      </c>
      <c r="HZ9" s="16">
        <v>48</v>
      </c>
      <c r="IA9" s="16">
        <v>14</v>
      </c>
      <c r="IB9" s="16">
        <v>12</v>
      </c>
      <c r="IC9" s="6">
        <v>31</v>
      </c>
      <c r="ID9" s="6">
        <v>15</v>
      </c>
      <c r="IE9" s="6">
        <v>14</v>
      </c>
      <c r="IF9" s="16">
        <v>15</v>
      </c>
      <c r="IG9" s="86">
        <v>6</v>
      </c>
      <c r="IH9" s="86">
        <v>6</v>
      </c>
      <c r="II9" s="86">
        <v>7</v>
      </c>
      <c r="IJ9" s="16">
        <v>14</v>
      </c>
      <c r="IK9" s="16">
        <v>18</v>
      </c>
      <c r="IL9" s="16">
        <v>30</v>
      </c>
      <c r="IM9" s="16">
        <v>19</v>
      </c>
      <c r="IN9" s="16">
        <v>40</v>
      </c>
      <c r="IO9" s="16">
        <v>30</v>
      </c>
      <c r="IP9" s="16">
        <v>22</v>
      </c>
      <c r="IQ9" s="16">
        <v>23</v>
      </c>
      <c r="IR9" s="23">
        <v>31</v>
      </c>
      <c r="IS9" s="23">
        <v>26</v>
      </c>
      <c r="IT9" s="25">
        <v>100</v>
      </c>
      <c r="IU9" s="25">
        <v>100</v>
      </c>
      <c r="IV9" s="25">
        <v>100</v>
      </c>
      <c r="IW9" s="25">
        <v>100</v>
      </c>
      <c r="IX9" s="58">
        <f t="shared" si="0"/>
        <v>0</v>
      </c>
      <c r="IY9" s="2"/>
      <c r="IZ9" s="2"/>
      <c r="JA9" s="2"/>
      <c r="JB9" s="2"/>
      <c r="JC9" s="2"/>
    </row>
    <row r="10" spans="1:263" ht="13.5" customHeight="1">
      <c r="A10" s="55">
        <v>3</v>
      </c>
      <c r="B10" s="52" t="s">
        <v>94</v>
      </c>
      <c r="C10" s="5">
        <v>4400</v>
      </c>
      <c r="D10" s="5">
        <v>4400</v>
      </c>
      <c r="E10" s="130">
        <v>5400</v>
      </c>
      <c r="F10" s="117"/>
      <c r="G10" s="53"/>
      <c r="H10" s="53"/>
      <c r="I10" s="53"/>
      <c r="J10" s="53"/>
      <c r="K10" s="53"/>
      <c r="L10" s="53"/>
      <c r="M10" s="53"/>
      <c r="N10" s="53"/>
      <c r="O10" s="122">
        <v>100</v>
      </c>
      <c r="P10" s="70">
        <v>100</v>
      </c>
      <c r="Q10" s="70">
        <v>100</v>
      </c>
      <c r="R10" s="122">
        <v>100</v>
      </c>
      <c r="S10" s="70">
        <v>100</v>
      </c>
      <c r="T10" s="70">
        <v>100</v>
      </c>
      <c r="U10" s="122">
        <v>100</v>
      </c>
      <c r="V10" s="70">
        <v>100</v>
      </c>
      <c r="W10" s="70">
        <v>100</v>
      </c>
      <c r="X10" s="122">
        <v>100</v>
      </c>
      <c r="Y10" s="70">
        <v>100</v>
      </c>
      <c r="Z10" s="70">
        <v>100</v>
      </c>
      <c r="AA10" s="122">
        <v>100</v>
      </c>
      <c r="AB10" s="70">
        <v>100</v>
      </c>
      <c r="AC10" s="70">
        <v>100</v>
      </c>
      <c r="AD10" s="122">
        <v>100</v>
      </c>
      <c r="AE10" s="70">
        <v>100</v>
      </c>
      <c r="AF10" s="70">
        <v>100</v>
      </c>
      <c r="AG10" s="122">
        <v>100</v>
      </c>
      <c r="AH10" s="70">
        <v>100</v>
      </c>
      <c r="AI10" s="70">
        <v>100</v>
      </c>
      <c r="AJ10" s="122">
        <v>100</v>
      </c>
      <c r="AK10" s="70">
        <v>100</v>
      </c>
      <c r="AL10" s="70">
        <v>100</v>
      </c>
      <c r="AM10" s="122">
        <v>100</v>
      </c>
      <c r="AN10" s="70">
        <v>100</v>
      </c>
      <c r="AO10" s="70">
        <v>100</v>
      </c>
      <c r="AP10" s="122">
        <v>100</v>
      </c>
      <c r="AQ10" s="70">
        <v>100</v>
      </c>
      <c r="AR10" s="70">
        <v>100</v>
      </c>
      <c r="AS10" s="122">
        <v>100</v>
      </c>
      <c r="AT10" s="70">
        <v>100</v>
      </c>
      <c r="AU10" s="70">
        <v>100</v>
      </c>
      <c r="AV10" s="122">
        <v>100</v>
      </c>
      <c r="AW10" s="70">
        <v>100</v>
      </c>
      <c r="AX10" s="70">
        <v>100</v>
      </c>
      <c r="AY10" s="122">
        <v>100</v>
      </c>
      <c r="AZ10" s="70">
        <v>100</v>
      </c>
      <c r="BA10" s="70">
        <v>100</v>
      </c>
      <c r="BB10" s="122">
        <v>100</v>
      </c>
      <c r="BC10" s="70">
        <v>100</v>
      </c>
      <c r="BD10" s="70">
        <v>100</v>
      </c>
      <c r="BE10" s="122">
        <v>100</v>
      </c>
      <c r="BF10" s="70">
        <v>100</v>
      </c>
      <c r="BG10" s="70">
        <v>100</v>
      </c>
      <c r="BH10" s="122">
        <v>100</v>
      </c>
      <c r="BI10" s="70">
        <v>100</v>
      </c>
      <c r="BJ10" s="70">
        <v>100</v>
      </c>
      <c r="BK10" s="122">
        <v>100</v>
      </c>
      <c r="BL10" s="70">
        <v>100</v>
      </c>
      <c r="BM10" s="70">
        <v>100</v>
      </c>
      <c r="BN10" s="122">
        <v>100</v>
      </c>
      <c r="BO10" s="70">
        <v>100</v>
      </c>
      <c r="BP10" s="70">
        <v>100</v>
      </c>
      <c r="BQ10" s="122">
        <v>100</v>
      </c>
      <c r="BR10" s="70">
        <v>100</v>
      </c>
      <c r="BS10" s="70">
        <v>100</v>
      </c>
      <c r="BT10" s="122">
        <v>100</v>
      </c>
      <c r="BU10" s="70">
        <v>100</v>
      </c>
      <c r="BV10" s="70">
        <v>100</v>
      </c>
      <c r="BW10" s="122">
        <v>100</v>
      </c>
      <c r="BX10" s="70">
        <v>100</v>
      </c>
      <c r="BY10" s="70">
        <v>100</v>
      </c>
      <c r="BZ10" s="122">
        <v>100</v>
      </c>
      <c r="CA10" s="70">
        <v>100</v>
      </c>
      <c r="CB10" s="54">
        <v>89</v>
      </c>
      <c r="CC10" s="122">
        <v>100</v>
      </c>
      <c r="CD10" s="70">
        <v>100</v>
      </c>
      <c r="CE10" s="54">
        <v>64</v>
      </c>
      <c r="CF10" s="53">
        <v>89</v>
      </c>
      <c r="CG10" s="54">
        <v>91</v>
      </c>
      <c r="CH10" s="54">
        <v>61</v>
      </c>
      <c r="CI10" s="53">
        <v>86</v>
      </c>
      <c r="CJ10" s="54">
        <v>88</v>
      </c>
      <c r="CK10" s="54">
        <v>57</v>
      </c>
      <c r="CL10" s="53">
        <v>82</v>
      </c>
      <c r="CM10" s="54">
        <v>77</v>
      </c>
      <c r="CN10" s="54">
        <v>59</v>
      </c>
      <c r="CO10" s="53">
        <v>72</v>
      </c>
      <c r="CP10" s="54">
        <v>78</v>
      </c>
      <c r="CQ10" s="54">
        <v>56</v>
      </c>
      <c r="CR10" s="53">
        <v>61</v>
      </c>
      <c r="CS10" s="54">
        <v>66</v>
      </c>
      <c r="CT10" s="54">
        <v>48</v>
      </c>
      <c r="CU10" s="53">
        <v>57</v>
      </c>
      <c r="CV10" s="54">
        <v>61</v>
      </c>
      <c r="CW10" s="54">
        <v>56</v>
      </c>
      <c r="CX10" s="53">
        <v>53</v>
      </c>
      <c r="CY10" s="54">
        <v>58</v>
      </c>
      <c r="CZ10" s="54">
        <v>56</v>
      </c>
      <c r="DA10" s="53">
        <v>49</v>
      </c>
      <c r="DB10" s="54">
        <v>52</v>
      </c>
      <c r="DC10" s="54">
        <v>55</v>
      </c>
      <c r="DD10" s="53">
        <v>46</v>
      </c>
      <c r="DE10" s="54">
        <v>43</v>
      </c>
      <c r="DF10" s="54">
        <v>52</v>
      </c>
      <c r="DG10" s="53">
        <v>44</v>
      </c>
      <c r="DH10" s="54">
        <v>37</v>
      </c>
      <c r="DI10" s="54">
        <v>48</v>
      </c>
      <c r="DJ10" s="53">
        <v>49</v>
      </c>
      <c r="DK10" s="54">
        <v>34</v>
      </c>
      <c r="DL10" s="54">
        <v>46</v>
      </c>
      <c r="DM10" s="53">
        <v>46</v>
      </c>
      <c r="DN10" s="54">
        <v>28</v>
      </c>
      <c r="DO10" s="54">
        <v>44</v>
      </c>
      <c r="DP10" s="53">
        <v>43</v>
      </c>
      <c r="DQ10" s="54">
        <v>24</v>
      </c>
      <c r="DR10" s="54">
        <v>37</v>
      </c>
      <c r="DS10" s="53">
        <v>48</v>
      </c>
      <c r="DT10" s="54">
        <v>28</v>
      </c>
      <c r="DU10" s="54">
        <v>36</v>
      </c>
      <c r="DV10" s="53">
        <v>46</v>
      </c>
      <c r="DW10" s="54">
        <v>31</v>
      </c>
      <c r="DX10" s="54">
        <v>35</v>
      </c>
      <c r="DY10" s="53">
        <v>57</v>
      </c>
      <c r="DZ10" s="54">
        <v>28</v>
      </c>
      <c r="EA10" s="54">
        <v>53</v>
      </c>
      <c r="EB10" s="53">
        <v>53</v>
      </c>
      <c r="EC10" s="54">
        <v>36</v>
      </c>
      <c r="ED10" s="54">
        <v>51</v>
      </c>
      <c r="EE10" s="53">
        <v>51</v>
      </c>
      <c r="EF10" s="54">
        <v>38</v>
      </c>
      <c r="EG10" s="54">
        <v>46</v>
      </c>
      <c r="EH10" s="53">
        <v>47</v>
      </c>
      <c r="EI10" s="54">
        <v>36</v>
      </c>
      <c r="EJ10" s="54">
        <v>43</v>
      </c>
      <c r="EK10" s="53">
        <v>45</v>
      </c>
      <c r="EL10" s="54">
        <v>38</v>
      </c>
      <c r="EM10" s="54">
        <v>40</v>
      </c>
      <c r="EN10" s="53">
        <v>48</v>
      </c>
      <c r="EO10" s="54">
        <v>36</v>
      </c>
      <c r="EP10" s="54">
        <v>37</v>
      </c>
      <c r="EQ10" s="53">
        <v>56</v>
      </c>
      <c r="ER10" s="54">
        <v>34</v>
      </c>
      <c r="ES10" s="54">
        <v>35</v>
      </c>
      <c r="ET10" s="53">
        <v>53</v>
      </c>
      <c r="EU10" s="54">
        <v>39</v>
      </c>
      <c r="EV10" s="54">
        <v>36</v>
      </c>
      <c r="EW10" s="53">
        <v>56</v>
      </c>
      <c r="EX10" s="54">
        <v>34</v>
      </c>
      <c r="EY10" s="54">
        <v>42</v>
      </c>
      <c r="EZ10" s="53">
        <v>49</v>
      </c>
      <c r="FA10" s="54">
        <v>30</v>
      </c>
      <c r="FB10" s="54">
        <v>36</v>
      </c>
      <c r="FC10" s="54">
        <v>58</v>
      </c>
      <c r="FD10" s="54">
        <v>29</v>
      </c>
      <c r="FE10" s="54">
        <v>28</v>
      </c>
      <c r="FF10" s="54">
        <v>65</v>
      </c>
      <c r="FG10" s="54">
        <v>38</v>
      </c>
      <c r="FH10" s="54">
        <v>44</v>
      </c>
      <c r="FI10" s="54">
        <v>84</v>
      </c>
      <c r="FJ10" s="54">
        <v>35</v>
      </c>
      <c r="FK10" s="54">
        <v>45</v>
      </c>
      <c r="FL10" s="54">
        <v>82</v>
      </c>
      <c r="FM10" s="54">
        <v>37</v>
      </c>
      <c r="FN10" s="54">
        <v>49</v>
      </c>
      <c r="FO10" s="6">
        <v>79</v>
      </c>
      <c r="FP10" s="6">
        <v>20</v>
      </c>
      <c r="FQ10" s="6">
        <v>43</v>
      </c>
      <c r="FR10" s="16">
        <v>70</v>
      </c>
      <c r="FS10" s="6">
        <v>25</v>
      </c>
      <c r="FT10" s="16">
        <v>40</v>
      </c>
      <c r="FU10" s="16">
        <v>62</v>
      </c>
      <c r="FV10" s="16">
        <v>28</v>
      </c>
      <c r="FW10" s="16">
        <v>37</v>
      </c>
      <c r="FX10" s="16">
        <v>60</v>
      </c>
      <c r="FY10" s="16">
        <v>25</v>
      </c>
      <c r="FZ10" s="16">
        <v>36</v>
      </c>
      <c r="GA10" s="16">
        <v>52</v>
      </c>
      <c r="GB10" s="16">
        <v>26</v>
      </c>
      <c r="GC10" s="16">
        <v>26</v>
      </c>
      <c r="GD10" s="16">
        <v>38</v>
      </c>
      <c r="GE10" s="16">
        <v>24</v>
      </c>
      <c r="GF10" s="16">
        <v>29</v>
      </c>
      <c r="GG10" s="84">
        <v>29</v>
      </c>
      <c r="GH10" s="16">
        <v>19</v>
      </c>
      <c r="GI10" s="16">
        <v>25</v>
      </c>
      <c r="GJ10" s="84">
        <v>36</v>
      </c>
      <c r="GK10" s="16">
        <v>24</v>
      </c>
      <c r="GL10" s="16">
        <v>38</v>
      </c>
      <c r="GM10" s="84">
        <v>39</v>
      </c>
      <c r="GN10" s="16">
        <v>20</v>
      </c>
      <c r="GO10" s="16">
        <v>32</v>
      </c>
      <c r="GP10" s="16">
        <v>43</v>
      </c>
      <c r="GQ10" s="16">
        <v>24</v>
      </c>
      <c r="GR10" s="16">
        <v>28</v>
      </c>
      <c r="GS10" s="16">
        <v>9</v>
      </c>
      <c r="GT10" s="16">
        <v>21</v>
      </c>
      <c r="GU10" s="16">
        <v>25</v>
      </c>
      <c r="GV10" s="16">
        <v>6</v>
      </c>
      <c r="GW10" s="16">
        <v>19</v>
      </c>
      <c r="GX10" s="16">
        <v>23</v>
      </c>
      <c r="GY10" s="16">
        <v>13</v>
      </c>
      <c r="GZ10" s="16">
        <v>23</v>
      </c>
      <c r="HA10" s="16">
        <v>29</v>
      </c>
      <c r="HB10" s="16">
        <v>25</v>
      </c>
      <c r="HC10" s="16">
        <v>28</v>
      </c>
      <c r="HD10" s="16">
        <v>24</v>
      </c>
      <c r="HE10" s="16">
        <v>28</v>
      </c>
      <c r="HF10" s="16">
        <v>23</v>
      </c>
      <c r="HG10" s="16">
        <v>32</v>
      </c>
      <c r="HH10" s="16">
        <v>35</v>
      </c>
      <c r="HI10" s="16">
        <v>28</v>
      </c>
      <c r="HJ10" s="16">
        <v>27</v>
      </c>
      <c r="HK10" s="16">
        <v>39</v>
      </c>
      <c r="HL10" s="16">
        <v>26</v>
      </c>
      <c r="HM10" s="16">
        <v>32</v>
      </c>
      <c r="HN10" s="16">
        <v>35</v>
      </c>
      <c r="HO10" s="16">
        <v>32</v>
      </c>
      <c r="HP10" s="16">
        <v>27</v>
      </c>
      <c r="HQ10" s="6">
        <v>43</v>
      </c>
      <c r="HR10" s="6">
        <v>30</v>
      </c>
      <c r="HS10" s="6">
        <v>30</v>
      </c>
      <c r="HT10" s="16">
        <v>72</v>
      </c>
      <c r="HU10" s="16">
        <v>27</v>
      </c>
      <c r="HV10" s="16">
        <v>36</v>
      </c>
      <c r="HW10" s="16">
        <v>77</v>
      </c>
      <c r="HX10" s="16">
        <v>30</v>
      </c>
      <c r="HY10" s="16">
        <v>32</v>
      </c>
      <c r="HZ10" s="16">
        <v>71</v>
      </c>
      <c r="IA10" s="16">
        <v>32</v>
      </c>
      <c r="IB10" s="16">
        <v>33</v>
      </c>
      <c r="IC10" s="6">
        <v>46</v>
      </c>
      <c r="ID10" s="6">
        <v>32</v>
      </c>
      <c r="IE10" s="6">
        <v>32</v>
      </c>
      <c r="IF10" s="16">
        <v>28</v>
      </c>
      <c r="IG10" s="16">
        <v>16</v>
      </c>
      <c r="IH10" s="16">
        <v>23</v>
      </c>
      <c r="II10" s="16">
        <v>19</v>
      </c>
      <c r="IJ10" s="16">
        <v>23</v>
      </c>
      <c r="IK10" s="16">
        <v>21</v>
      </c>
      <c r="IL10" s="16">
        <v>62</v>
      </c>
      <c r="IM10" s="16">
        <v>36</v>
      </c>
      <c r="IN10" s="16">
        <v>52</v>
      </c>
      <c r="IO10" s="16">
        <v>17</v>
      </c>
      <c r="IP10" s="16">
        <v>34</v>
      </c>
      <c r="IQ10" s="16">
        <v>33</v>
      </c>
      <c r="IR10" s="23">
        <v>65</v>
      </c>
      <c r="IS10" s="23">
        <v>89</v>
      </c>
      <c r="IT10" s="25">
        <v>100</v>
      </c>
      <c r="IU10" s="25">
        <v>100</v>
      </c>
      <c r="IV10" s="25">
        <v>100</v>
      </c>
      <c r="IW10" s="25">
        <v>100</v>
      </c>
      <c r="IX10" s="58">
        <f t="shared" si="0"/>
        <v>0</v>
      </c>
      <c r="IY10" s="2"/>
      <c r="IZ10" s="2"/>
      <c r="JA10" s="2"/>
      <c r="JB10" s="2"/>
      <c r="JC10" s="2"/>
    </row>
    <row r="11" spans="1:263" ht="16.5" customHeight="1">
      <c r="A11" s="55">
        <v>4</v>
      </c>
      <c r="B11" s="52" t="s">
        <v>95</v>
      </c>
      <c r="C11" s="6">
        <v>10</v>
      </c>
      <c r="D11" s="6">
        <v>10</v>
      </c>
      <c r="E11" s="6">
        <v>10</v>
      </c>
      <c r="F11" s="117"/>
      <c r="G11" s="53"/>
      <c r="H11" s="53"/>
      <c r="I11" s="53"/>
      <c r="J11" s="53"/>
      <c r="K11" s="53"/>
      <c r="L11" s="53"/>
      <c r="M11" s="53"/>
      <c r="N11" s="53"/>
      <c r="O11" s="122">
        <v>100</v>
      </c>
      <c r="P11" s="70">
        <v>100</v>
      </c>
      <c r="Q11" s="70">
        <v>100</v>
      </c>
      <c r="R11" s="122">
        <v>100</v>
      </c>
      <c r="S11" s="70">
        <v>100</v>
      </c>
      <c r="T11" s="70">
        <v>100</v>
      </c>
      <c r="U11" s="53">
        <v>74</v>
      </c>
      <c r="V11" s="70">
        <v>100</v>
      </c>
      <c r="W11" s="70">
        <v>100</v>
      </c>
      <c r="X11" s="53">
        <v>15</v>
      </c>
      <c r="Y11" s="70">
        <v>100</v>
      </c>
      <c r="Z11" s="70">
        <v>100</v>
      </c>
      <c r="AA11" s="53">
        <v>14</v>
      </c>
      <c r="AB11" s="54">
        <v>16</v>
      </c>
      <c r="AC11" s="70">
        <v>100</v>
      </c>
      <c r="AD11" s="53">
        <v>21</v>
      </c>
      <c r="AE11" s="54">
        <v>25</v>
      </c>
      <c r="AF11" s="70">
        <v>100</v>
      </c>
      <c r="AG11" s="53">
        <v>20</v>
      </c>
      <c r="AH11" s="54">
        <v>22</v>
      </c>
      <c r="AI11" s="54">
        <v>36</v>
      </c>
      <c r="AJ11" s="53">
        <v>35</v>
      </c>
      <c r="AK11" s="54">
        <v>22</v>
      </c>
      <c r="AL11" s="54">
        <v>31</v>
      </c>
      <c r="AM11" s="53">
        <v>61</v>
      </c>
      <c r="AN11" s="54">
        <v>21</v>
      </c>
      <c r="AO11" s="54">
        <v>28</v>
      </c>
      <c r="AP11" s="53">
        <v>58</v>
      </c>
      <c r="AQ11" s="54">
        <v>28</v>
      </c>
      <c r="AR11" s="54">
        <v>25</v>
      </c>
      <c r="AS11" s="53">
        <v>52</v>
      </c>
      <c r="AT11" s="54">
        <v>26</v>
      </c>
      <c r="AU11" s="54">
        <v>25</v>
      </c>
      <c r="AV11" s="53">
        <v>48</v>
      </c>
      <c r="AW11" s="54">
        <v>24</v>
      </c>
      <c r="AX11" s="54">
        <v>25</v>
      </c>
      <c r="AY11" s="53">
        <v>55</v>
      </c>
      <c r="AZ11" s="54">
        <v>35</v>
      </c>
      <c r="BA11" s="54">
        <v>32</v>
      </c>
      <c r="BB11" s="53">
        <v>52</v>
      </c>
      <c r="BC11" s="54">
        <v>39</v>
      </c>
      <c r="BD11" s="54">
        <v>30</v>
      </c>
      <c r="BE11" s="53">
        <v>60</v>
      </c>
      <c r="BF11" s="54">
        <v>39</v>
      </c>
      <c r="BG11" s="54">
        <v>30</v>
      </c>
      <c r="BH11" s="53">
        <v>57</v>
      </c>
      <c r="BI11" s="54">
        <v>48</v>
      </c>
      <c r="BJ11" s="54">
        <v>35</v>
      </c>
      <c r="BK11" s="53">
        <v>62</v>
      </c>
      <c r="BL11" s="54">
        <v>45</v>
      </c>
      <c r="BM11" s="54">
        <v>41</v>
      </c>
      <c r="BN11" s="53">
        <v>58</v>
      </c>
      <c r="BO11" s="54">
        <v>38</v>
      </c>
      <c r="BP11" s="54">
        <v>36</v>
      </c>
      <c r="BQ11" s="53">
        <v>53</v>
      </c>
      <c r="BR11" s="54">
        <v>48</v>
      </c>
      <c r="BS11" s="54">
        <v>64</v>
      </c>
      <c r="BT11" s="53">
        <v>35</v>
      </c>
      <c r="BU11" s="54">
        <v>52</v>
      </c>
      <c r="BV11" s="54">
        <v>58</v>
      </c>
      <c r="BW11" s="53">
        <v>33</v>
      </c>
      <c r="BX11" s="54">
        <v>50</v>
      </c>
      <c r="BY11" s="54">
        <v>62</v>
      </c>
      <c r="BZ11" s="53">
        <v>28</v>
      </c>
      <c r="CA11" s="54">
        <v>56</v>
      </c>
      <c r="CB11" s="54">
        <v>60</v>
      </c>
      <c r="CC11" s="53">
        <v>19</v>
      </c>
      <c r="CD11" s="54">
        <v>54</v>
      </c>
      <c r="CE11" s="54">
        <v>58</v>
      </c>
      <c r="CF11" s="53">
        <v>25</v>
      </c>
      <c r="CG11" s="54">
        <v>42</v>
      </c>
      <c r="CH11" s="54">
        <v>47</v>
      </c>
      <c r="CI11" s="53">
        <v>28</v>
      </c>
      <c r="CJ11" s="54">
        <v>34</v>
      </c>
      <c r="CK11" s="54">
        <v>37</v>
      </c>
      <c r="CL11" s="53">
        <v>35</v>
      </c>
      <c r="CM11" s="54">
        <v>26</v>
      </c>
      <c r="CN11" s="54">
        <v>23</v>
      </c>
      <c r="CO11" s="53">
        <v>32</v>
      </c>
      <c r="CP11" s="54">
        <v>25</v>
      </c>
      <c r="CQ11" s="54">
        <v>29</v>
      </c>
      <c r="CR11" s="53">
        <v>54</v>
      </c>
      <c r="CS11" s="54">
        <v>29</v>
      </c>
      <c r="CT11" s="54">
        <v>25</v>
      </c>
      <c r="CU11" s="53">
        <v>64</v>
      </c>
      <c r="CV11" s="54">
        <v>54</v>
      </c>
      <c r="CW11" s="54">
        <v>52</v>
      </c>
      <c r="CX11" s="53">
        <v>58</v>
      </c>
      <c r="CY11" s="54">
        <v>51</v>
      </c>
      <c r="CZ11" s="54">
        <v>56</v>
      </c>
      <c r="DA11" s="53">
        <v>45</v>
      </c>
      <c r="DB11" s="54">
        <v>27</v>
      </c>
      <c r="DC11" s="54">
        <v>54</v>
      </c>
      <c r="DD11" s="53">
        <v>57</v>
      </c>
      <c r="DE11" s="54">
        <v>27</v>
      </c>
      <c r="DF11" s="54">
        <v>40</v>
      </c>
      <c r="DG11" s="53">
        <v>62</v>
      </c>
      <c r="DH11" s="54">
        <v>29</v>
      </c>
      <c r="DI11" s="54">
        <v>36</v>
      </c>
      <c r="DJ11" s="53">
        <v>58</v>
      </c>
      <c r="DK11" s="54">
        <v>23</v>
      </c>
      <c r="DL11" s="54">
        <v>32</v>
      </c>
      <c r="DM11" s="53">
        <v>52</v>
      </c>
      <c r="DN11" s="54">
        <v>21</v>
      </c>
      <c r="DO11" s="54">
        <v>29</v>
      </c>
      <c r="DP11" s="53">
        <v>49</v>
      </c>
      <c r="DQ11" s="54">
        <v>29</v>
      </c>
      <c r="DR11" s="54">
        <v>27</v>
      </c>
      <c r="DS11" s="53">
        <v>54</v>
      </c>
      <c r="DT11" s="54">
        <v>37</v>
      </c>
      <c r="DU11" s="54">
        <v>29</v>
      </c>
      <c r="DV11" s="53">
        <v>57</v>
      </c>
      <c r="DW11" s="54">
        <v>28</v>
      </c>
      <c r="DX11" s="54">
        <v>27</v>
      </c>
      <c r="DY11" s="53">
        <v>52</v>
      </c>
      <c r="DZ11" s="54">
        <v>34</v>
      </c>
      <c r="EA11" s="54">
        <v>25</v>
      </c>
      <c r="EB11" s="53">
        <v>31</v>
      </c>
      <c r="EC11" s="54">
        <v>32</v>
      </c>
      <c r="ED11" s="54">
        <v>30</v>
      </c>
      <c r="EE11" s="53">
        <v>10</v>
      </c>
      <c r="EF11" s="54">
        <v>23</v>
      </c>
      <c r="EG11" s="54">
        <v>29</v>
      </c>
      <c r="EH11" s="53">
        <v>6</v>
      </c>
      <c r="EI11" s="54">
        <v>18</v>
      </c>
      <c r="EJ11" s="54">
        <v>19</v>
      </c>
      <c r="EK11" s="53">
        <v>4</v>
      </c>
      <c r="EL11" s="54">
        <v>16</v>
      </c>
      <c r="EM11" s="54">
        <v>18</v>
      </c>
      <c r="EN11" s="53">
        <v>3</v>
      </c>
      <c r="EO11" s="54">
        <v>11</v>
      </c>
      <c r="EP11" s="54">
        <v>13</v>
      </c>
      <c r="EQ11" s="53">
        <v>2</v>
      </c>
      <c r="ER11" s="54">
        <v>10</v>
      </c>
      <c r="ES11" s="54">
        <v>12</v>
      </c>
      <c r="ET11" s="53">
        <v>3</v>
      </c>
      <c r="EU11" s="54">
        <v>9</v>
      </c>
      <c r="EV11" s="54">
        <v>11</v>
      </c>
      <c r="EW11" s="53">
        <v>4</v>
      </c>
      <c r="EX11" s="54">
        <v>8</v>
      </c>
      <c r="EY11" s="54">
        <v>18</v>
      </c>
      <c r="EZ11" s="53">
        <v>3</v>
      </c>
      <c r="FA11" s="54">
        <v>5</v>
      </c>
      <c r="FB11" s="54">
        <v>13</v>
      </c>
      <c r="FC11" s="54">
        <v>2</v>
      </c>
      <c r="FD11" s="54">
        <v>4</v>
      </c>
      <c r="FE11" s="54">
        <v>11</v>
      </c>
      <c r="FF11" s="54">
        <v>4</v>
      </c>
      <c r="FG11" s="54">
        <v>2</v>
      </c>
      <c r="FH11" s="54">
        <v>8</v>
      </c>
      <c r="FI11" s="54">
        <v>2</v>
      </c>
      <c r="FJ11" s="54">
        <v>5</v>
      </c>
      <c r="FK11" s="54">
        <v>7</v>
      </c>
      <c r="FL11" s="54">
        <v>2</v>
      </c>
      <c r="FM11" s="54">
        <v>4</v>
      </c>
      <c r="FN11" s="54">
        <v>1</v>
      </c>
      <c r="FO11" s="6">
        <v>1</v>
      </c>
      <c r="FP11" s="6">
        <v>15</v>
      </c>
      <c r="FQ11" s="6">
        <v>15</v>
      </c>
      <c r="FR11" s="6">
        <v>2</v>
      </c>
      <c r="FS11" s="6">
        <v>18</v>
      </c>
      <c r="FT11" s="6">
        <v>18</v>
      </c>
      <c r="FU11" s="6">
        <v>4</v>
      </c>
      <c r="FV11" s="6">
        <v>14</v>
      </c>
      <c r="FW11" s="6">
        <v>15</v>
      </c>
      <c r="FX11" s="6">
        <v>3</v>
      </c>
      <c r="FY11" s="6">
        <v>12</v>
      </c>
      <c r="FZ11" s="6">
        <v>13</v>
      </c>
      <c r="GA11" s="6">
        <v>2</v>
      </c>
      <c r="GB11" s="6">
        <v>15</v>
      </c>
      <c r="GC11" s="6">
        <v>12</v>
      </c>
      <c r="GD11" s="6">
        <v>4</v>
      </c>
      <c r="GE11" s="6">
        <v>12</v>
      </c>
      <c r="GF11" s="6">
        <v>15</v>
      </c>
      <c r="GG11" s="6">
        <v>3</v>
      </c>
      <c r="GH11" s="16">
        <v>11</v>
      </c>
      <c r="GI11" s="16">
        <v>16</v>
      </c>
      <c r="GJ11" s="6">
        <v>3</v>
      </c>
      <c r="GK11" s="16">
        <v>15</v>
      </c>
      <c r="GL11" s="16">
        <v>14</v>
      </c>
      <c r="GM11" s="6">
        <v>2</v>
      </c>
      <c r="GN11" s="16">
        <v>16</v>
      </c>
      <c r="GO11" s="16">
        <v>11</v>
      </c>
      <c r="GP11" s="6">
        <v>4</v>
      </c>
      <c r="GQ11" s="16">
        <v>13</v>
      </c>
      <c r="GR11" s="16">
        <v>15</v>
      </c>
      <c r="GS11" s="16">
        <v>3</v>
      </c>
      <c r="GT11" s="16">
        <v>11</v>
      </c>
      <c r="GU11" s="16">
        <v>14</v>
      </c>
      <c r="GV11" s="16">
        <v>2</v>
      </c>
      <c r="GW11" s="16">
        <v>15</v>
      </c>
      <c r="GX11" s="16">
        <v>11</v>
      </c>
      <c r="GY11" s="16">
        <v>4</v>
      </c>
      <c r="GZ11" s="16">
        <v>12</v>
      </c>
      <c r="HA11" s="16">
        <v>10</v>
      </c>
      <c r="HB11" s="16">
        <v>3</v>
      </c>
      <c r="HC11" s="16">
        <v>10</v>
      </c>
      <c r="HD11" s="16">
        <v>8</v>
      </c>
      <c r="HE11" s="16">
        <v>2</v>
      </c>
      <c r="HF11" s="16">
        <v>8</v>
      </c>
      <c r="HG11" s="16">
        <v>7</v>
      </c>
      <c r="HH11" s="16">
        <v>2</v>
      </c>
      <c r="HI11" s="16">
        <v>6</v>
      </c>
      <c r="HJ11" s="16">
        <v>6</v>
      </c>
      <c r="HK11" s="16">
        <v>5</v>
      </c>
      <c r="HL11" s="16">
        <v>4</v>
      </c>
      <c r="HM11" s="16">
        <v>4</v>
      </c>
      <c r="HN11" s="16">
        <v>4</v>
      </c>
      <c r="HO11" s="16">
        <v>4</v>
      </c>
      <c r="HP11" s="16">
        <v>7</v>
      </c>
      <c r="HQ11" s="6">
        <v>3</v>
      </c>
      <c r="HR11" s="6">
        <v>3</v>
      </c>
      <c r="HS11" s="6">
        <v>5</v>
      </c>
      <c r="HT11" s="16">
        <v>4</v>
      </c>
      <c r="HU11" s="16">
        <v>3</v>
      </c>
      <c r="HV11" s="16">
        <v>4</v>
      </c>
      <c r="HW11" s="16">
        <v>3</v>
      </c>
      <c r="HX11" s="16">
        <v>5</v>
      </c>
      <c r="HY11" s="16">
        <v>5</v>
      </c>
      <c r="HZ11" s="16">
        <v>5</v>
      </c>
      <c r="IA11" s="16">
        <v>8</v>
      </c>
      <c r="IB11" s="16">
        <v>5</v>
      </c>
      <c r="IC11" s="6">
        <v>4</v>
      </c>
      <c r="ID11" s="6">
        <v>6</v>
      </c>
      <c r="IE11" s="6">
        <v>5</v>
      </c>
      <c r="IF11" s="16">
        <v>5</v>
      </c>
      <c r="IG11" s="86">
        <v>4</v>
      </c>
      <c r="IH11" s="86">
        <v>5</v>
      </c>
      <c r="II11" s="86">
        <v>4</v>
      </c>
      <c r="IJ11" s="86">
        <v>5</v>
      </c>
      <c r="IK11" s="86">
        <v>4</v>
      </c>
      <c r="IL11" s="123">
        <v>4</v>
      </c>
      <c r="IM11" s="123">
        <v>4</v>
      </c>
      <c r="IN11" s="123">
        <v>4</v>
      </c>
      <c r="IO11" s="123">
        <v>4</v>
      </c>
      <c r="IP11" s="123">
        <v>4</v>
      </c>
      <c r="IQ11" s="123">
        <v>4</v>
      </c>
      <c r="IR11" s="144">
        <v>100</v>
      </c>
      <c r="IS11" s="146">
        <v>7</v>
      </c>
      <c r="IT11" s="25">
        <v>100</v>
      </c>
      <c r="IU11" s="25">
        <v>100</v>
      </c>
      <c r="IV11" s="25">
        <v>100</v>
      </c>
      <c r="IW11" s="25">
        <v>100</v>
      </c>
      <c r="IX11" s="58">
        <f t="shared" si="0"/>
        <v>0</v>
      </c>
      <c r="IY11" s="2"/>
      <c r="IZ11" s="2"/>
      <c r="JA11" s="2"/>
      <c r="JB11" s="2"/>
      <c r="JC11" s="2"/>
    </row>
    <row r="12" spans="1:263" ht="13.5" customHeight="1">
      <c r="A12" s="55">
        <v>5</v>
      </c>
      <c r="B12" s="52" t="s">
        <v>96</v>
      </c>
      <c r="C12" s="5">
        <v>2900</v>
      </c>
      <c r="D12" s="5">
        <v>4400</v>
      </c>
      <c r="E12" s="130">
        <v>3600</v>
      </c>
      <c r="F12" s="117"/>
      <c r="G12" s="53"/>
      <c r="H12" s="53"/>
      <c r="I12" s="53"/>
      <c r="J12" s="53"/>
      <c r="K12" s="53"/>
      <c r="L12" s="53"/>
      <c r="M12" s="53"/>
      <c r="N12" s="53"/>
      <c r="O12" s="122">
        <v>100</v>
      </c>
      <c r="P12" s="70">
        <v>100</v>
      </c>
      <c r="Q12" s="70">
        <v>100</v>
      </c>
      <c r="R12" s="122">
        <v>100</v>
      </c>
      <c r="S12" s="70">
        <v>100</v>
      </c>
      <c r="T12" s="70">
        <v>100</v>
      </c>
      <c r="U12" s="122">
        <v>100</v>
      </c>
      <c r="V12" s="70">
        <v>100</v>
      </c>
      <c r="W12" s="70">
        <v>100</v>
      </c>
      <c r="X12" s="122">
        <v>100</v>
      </c>
      <c r="Y12" s="70">
        <v>100</v>
      </c>
      <c r="Z12" s="70">
        <v>100</v>
      </c>
      <c r="AA12" s="122">
        <v>100</v>
      </c>
      <c r="AB12" s="70">
        <v>100</v>
      </c>
      <c r="AC12" s="70">
        <v>100</v>
      </c>
      <c r="AD12" s="122">
        <v>100</v>
      </c>
      <c r="AE12" s="70">
        <v>100</v>
      </c>
      <c r="AF12" s="70">
        <v>100</v>
      </c>
      <c r="AG12" s="122">
        <v>100</v>
      </c>
      <c r="AH12" s="70">
        <v>100</v>
      </c>
      <c r="AI12" s="70">
        <v>100</v>
      </c>
      <c r="AJ12" s="122">
        <v>100</v>
      </c>
      <c r="AK12" s="70">
        <v>100</v>
      </c>
      <c r="AL12" s="70">
        <v>100</v>
      </c>
      <c r="AM12" s="122">
        <v>100</v>
      </c>
      <c r="AN12" s="70">
        <v>100</v>
      </c>
      <c r="AO12" s="70">
        <v>100</v>
      </c>
      <c r="AP12" s="122">
        <v>100</v>
      </c>
      <c r="AQ12" s="70">
        <v>100</v>
      </c>
      <c r="AR12" s="70">
        <v>100</v>
      </c>
      <c r="AS12" s="122">
        <v>100</v>
      </c>
      <c r="AT12" s="70">
        <v>100</v>
      </c>
      <c r="AU12" s="70">
        <v>100</v>
      </c>
      <c r="AV12" s="122">
        <v>100</v>
      </c>
      <c r="AW12" s="70">
        <v>100</v>
      </c>
      <c r="AX12" s="70">
        <v>100</v>
      </c>
      <c r="AY12" s="122">
        <v>100</v>
      </c>
      <c r="AZ12" s="70">
        <v>100</v>
      </c>
      <c r="BA12" s="70">
        <v>100</v>
      </c>
      <c r="BB12" s="122">
        <v>100</v>
      </c>
      <c r="BC12" s="70">
        <v>100</v>
      </c>
      <c r="BD12" s="70">
        <v>100</v>
      </c>
      <c r="BE12" s="122">
        <v>100</v>
      </c>
      <c r="BF12" s="70">
        <v>100</v>
      </c>
      <c r="BG12" s="70">
        <v>100</v>
      </c>
      <c r="BH12" s="122">
        <v>100</v>
      </c>
      <c r="BI12" s="70">
        <v>100</v>
      </c>
      <c r="BJ12" s="70">
        <v>100</v>
      </c>
      <c r="BK12" s="122">
        <v>100</v>
      </c>
      <c r="BL12" s="70">
        <v>100</v>
      </c>
      <c r="BM12" s="70">
        <v>100</v>
      </c>
      <c r="BN12" s="122">
        <v>100</v>
      </c>
      <c r="BO12" s="70">
        <v>100</v>
      </c>
      <c r="BP12" s="70">
        <v>100</v>
      </c>
      <c r="BQ12" s="122">
        <v>100</v>
      </c>
      <c r="BR12" s="70">
        <v>100</v>
      </c>
      <c r="BS12" s="70">
        <v>100</v>
      </c>
      <c r="BT12" s="122">
        <v>100</v>
      </c>
      <c r="BU12" s="70">
        <v>100</v>
      </c>
      <c r="BV12" s="70">
        <v>100</v>
      </c>
      <c r="BW12" s="122">
        <v>100</v>
      </c>
      <c r="BX12" s="70">
        <v>100</v>
      </c>
      <c r="BY12" s="70">
        <v>100</v>
      </c>
      <c r="BZ12" s="122">
        <v>100</v>
      </c>
      <c r="CA12" s="70">
        <v>100</v>
      </c>
      <c r="CB12" s="70">
        <v>100</v>
      </c>
      <c r="CC12" s="122">
        <v>100</v>
      </c>
      <c r="CD12" s="70">
        <v>100</v>
      </c>
      <c r="CE12" s="70">
        <v>100</v>
      </c>
      <c r="CF12" s="122">
        <v>100</v>
      </c>
      <c r="CG12" s="70">
        <v>100</v>
      </c>
      <c r="CH12" s="70">
        <v>100</v>
      </c>
      <c r="CI12" s="53">
        <v>94</v>
      </c>
      <c r="CJ12" s="70">
        <v>100</v>
      </c>
      <c r="CK12" s="70">
        <v>100</v>
      </c>
      <c r="CL12" s="53">
        <v>83</v>
      </c>
      <c r="CM12" s="70">
        <v>100</v>
      </c>
      <c r="CN12" s="54">
        <v>92</v>
      </c>
      <c r="CO12" s="53">
        <v>76</v>
      </c>
      <c r="CP12" s="54">
        <v>96</v>
      </c>
      <c r="CQ12" s="54">
        <v>83</v>
      </c>
      <c r="CR12" s="53">
        <v>65</v>
      </c>
      <c r="CS12" s="54">
        <v>78</v>
      </c>
      <c r="CT12" s="54">
        <v>80</v>
      </c>
      <c r="CU12" s="53">
        <v>59</v>
      </c>
      <c r="CV12" s="54">
        <v>73</v>
      </c>
      <c r="CW12" s="54">
        <v>75</v>
      </c>
      <c r="CX12" s="53">
        <v>62</v>
      </c>
      <c r="CY12" s="54">
        <v>65</v>
      </c>
      <c r="CZ12" s="54">
        <v>72</v>
      </c>
      <c r="DA12" s="53">
        <v>65</v>
      </c>
      <c r="DB12" s="54">
        <v>59</v>
      </c>
      <c r="DC12" s="54">
        <v>64</v>
      </c>
      <c r="DD12" s="53">
        <v>59</v>
      </c>
      <c r="DE12" s="54">
        <v>55</v>
      </c>
      <c r="DF12" s="54">
        <v>61</v>
      </c>
      <c r="DG12" s="53">
        <v>54</v>
      </c>
      <c r="DH12" s="54">
        <v>53</v>
      </c>
      <c r="DI12" s="54">
        <v>60</v>
      </c>
      <c r="DJ12" s="53">
        <v>56</v>
      </c>
      <c r="DK12" s="54">
        <v>47</v>
      </c>
      <c r="DL12" s="54">
        <v>52</v>
      </c>
      <c r="DM12" s="53">
        <v>55</v>
      </c>
      <c r="DN12" s="54">
        <v>43</v>
      </c>
      <c r="DO12" s="54">
        <v>50</v>
      </c>
      <c r="DP12" s="53">
        <v>58</v>
      </c>
      <c r="DQ12" s="54">
        <v>33</v>
      </c>
      <c r="DR12" s="54">
        <v>42</v>
      </c>
      <c r="DS12" s="53">
        <v>53</v>
      </c>
      <c r="DT12" s="54">
        <v>35</v>
      </c>
      <c r="DU12" s="54">
        <v>38</v>
      </c>
      <c r="DV12" s="53">
        <v>52</v>
      </c>
      <c r="DW12" s="54">
        <v>32</v>
      </c>
      <c r="DX12" s="54">
        <v>36</v>
      </c>
      <c r="DY12" s="53">
        <v>58</v>
      </c>
      <c r="DZ12" s="54">
        <v>31</v>
      </c>
      <c r="EA12" s="54">
        <v>33</v>
      </c>
      <c r="EB12" s="53">
        <v>53</v>
      </c>
      <c r="EC12" s="54">
        <v>38</v>
      </c>
      <c r="ED12" s="54">
        <v>46</v>
      </c>
      <c r="EE12" s="53">
        <v>65</v>
      </c>
      <c r="EF12" s="54">
        <v>34</v>
      </c>
      <c r="EG12" s="54">
        <v>48</v>
      </c>
      <c r="EH12" s="53">
        <v>62</v>
      </c>
      <c r="EI12" s="54">
        <v>39</v>
      </c>
      <c r="EJ12" s="54">
        <v>43</v>
      </c>
      <c r="EK12" s="53">
        <v>59</v>
      </c>
      <c r="EL12" s="54">
        <v>35</v>
      </c>
      <c r="EM12" s="54">
        <v>42</v>
      </c>
      <c r="EN12" s="53">
        <v>53</v>
      </c>
      <c r="EO12" s="54">
        <v>37</v>
      </c>
      <c r="EP12" s="54">
        <v>48</v>
      </c>
      <c r="EQ12" s="53">
        <v>46</v>
      </c>
      <c r="ER12" s="54">
        <v>39</v>
      </c>
      <c r="ES12" s="54">
        <v>43</v>
      </c>
      <c r="ET12" s="53">
        <v>49</v>
      </c>
      <c r="EU12" s="54">
        <v>42</v>
      </c>
      <c r="EV12" s="54">
        <v>40</v>
      </c>
      <c r="EW12" s="53">
        <v>40</v>
      </c>
      <c r="EX12" s="54">
        <v>38</v>
      </c>
      <c r="EY12" s="54">
        <v>43</v>
      </c>
      <c r="EZ12" s="53">
        <v>37</v>
      </c>
      <c r="FA12" s="54">
        <v>42</v>
      </c>
      <c r="FB12" s="54">
        <v>45</v>
      </c>
      <c r="FC12" s="54">
        <v>39</v>
      </c>
      <c r="FD12" s="54">
        <v>48</v>
      </c>
      <c r="FE12" s="54">
        <v>52</v>
      </c>
      <c r="FF12" s="54">
        <v>48</v>
      </c>
      <c r="FG12" s="54">
        <v>56</v>
      </c>
      <c r="FH12" s="54">
        <v>43</v>
      </c>
      <c r="FI12" s="54">
        <v>52</v>
      </c>
      <c r="FJ12" s="54">
        <v>58</v>
      </c>
      <c r="FK12" s="54">
        <v>42</v>
      </c>
      <c r="FL12" s="54">
        <v>58</v>
      </c>
      <c r="FM12" s="54">
        <v>53</v>
      </c>
      <c r="FN12" s="54">
        <v>46</v>
      </c>
      <c r="FO12" s="6">
        <v>72</v>
      </c>
      <c r="FP12" s="6">
        <v>56</v>
      </c>
      <c r="FQ12" s="6">
        <v>43</v>
      </c>
      <c r="FR12" s="16">
        <v>65</v>
      </c>
      <c r="FS12" s="16">
        <v>52</v>
      </c>
      <c r="FT12" s="16">
        <v>40</v>
      </c>
      <c r="FU12" s="16">
        <v>68</v>
      </c>
      <c r="FV12" s="16">
        <v>51</v>
      </c>
      <c r="FW12" s="16">
        <v>45</v>
      </c>
      <c r="FX12" s="16">
        <v>75</v>
      </c>
      <c r="FY12" s="16">
        <v>55</v>
      </c>
      <c r="FZ12" s="16">
        <v>59</v>
      </c>
      <c r="GA12" s="16">
        <v>72</v>
      </c>
      <c r="GB12" s="16">
        <v>51</v>
      </c>
      <c r="GC12" s="16">
        <v>57</v>
      </c>
      <c r="GD12" s="16">
        <v>76</v>
      </c>
      <c r="GE12" s="16">
        <v>50</v>
      </c>
      <c r="GF12" s="16">
        <v>55</v>
      </c>
      <c r="GG12" s="16">
        <v>74</v>
      </c>
      <c r="GH12" s="16">
        <v>52</v>
      </c>
      <c r="GI12" s="16">
        <v>51</v>
      </c>
      <c r="GJ12" s="16">
        <v>70</v>
      </c>
      <c r="GK12" s="16">
        <v>55</v>
      </c>
      <c r="GL12" s="16">
        <v>57</v>
      </c>
      <c r="GM12" s="16">
        <v>77</v>
      </c>
      <c r="GN12" s="16">
        <v>53</v>
      </c>
      <c r="GO12" s="16">
        <v>52</v>
      </c>
      <c r="GP12" s="16">
        <v>73</v>
      </c>
      <c r="GQ12" s="16">
        <v>52</v>
      </c>
      <c r="GR12" s="16">
        <v>58</v>
      </c>
      <c r="GS12" s="14">
        <v>100</v>
      </c>
      <c r="GT12" s="16">
        <v>59</v>
      </c>
      <c r="GU12" s="16">
        <v>53</v>
      </c>
      <c r="GV12" s="14">
        <v>100</v>
      </c>
      <c r="GW12" s="16">
        <v>56</v>
      </c>
      <c r="GX12" s="16">
        <v>52</v>
      </c>
      <c r="GY12" s="14">
        <v>100</v>
      </c>
      <c r="GZ12" s="16">
        <v>52</v>
      </c>
      <c r="HA12" s="16">
        <v>48</v>
      </c>
      <c r="HB12" s="14">
        <v>100</v>
      </c>
      <c r="HC12" s="16">
        <v>51</v>
      </c>
      <c r="HD12" s="16">
        <v>42</v>
      </c>
      <c r="HE12" s="14">
        <v>100</v>
      </c>
      <c r="HF12" s="16">
        <v>49</v>
      </c>
      <c r="HG12" s="16">
        <v>40</v>
      </c>
      <c r="HH12" s="14">
        <v>100</v>
      </c>
      <c r="HI12" s="16">
        <v>45</v>
      </c>
      <c r="HJ12" s="16">
        <v>46</v>
      </c>
      <c r="HK12" s="14">
        <v>100</v>
      </c>
      <c r="HL12" s="16">
        <v>48</v>
      </c>
      <c r="HM12" s="16">
        <v>42</v>
      </c>
      <c r="HN12" s="14">
        <v>100</v>
      </c>
      <c r="HO12" s="16">
        <v>52</v>
      </c>
      <c r="HP12" s="16">
        <v>40</v>
      </c>
      <c r="HQ12" s="34">
        <v>100</v>
      </c>
      <c r="HR12" s="6">
        <v>49</v>
      </c>
      <c r="HS12" s="6">
        <v>46</v>
      </c>
      <c r="HT12" s="16">
        <v>92</v>
      </c>
      <c r="HU12" s="16">
        <v>44</v>
      </c>
      <c r="HV12" s="16">
        <v>45</v>
      </c>
      <c r="HW12" s="14">
        <v>100</v>
      </c>
      <c r="HX12" s="16">
        <v>49</v>
      </c>
      <c r="HY12" s="16">
        <v>43</v>
      </c>
      <c r="HZ12" s="14">
        <v>100</v>
      </c>
      <c r="IA12" s="16">
        <v>48</v>
      </c>
      <c r="IB12" s="16">
        <v>45</v>
      </c>
      <c r="IC12" s="34">
        <v>100</v>
      </c>
      <c r="ID12" s="6">
        <v>50</v>
      </c>
      <c r="IE12" s="6">
        <v>46</v>
      </c>
      <c r="IF12" s="14">
        <v>100</v>
      </c>
      <c r="IG12" s="14">
        <v>100</v>
      </c>
      <c r="IH12" s="14">
        <v>100</v>
      </c>
      <c r="II12" s="14">
        <v>100</v>
      </c>
      <c r="IJ12" s="14">
        <v>100</v>
      </c>
      <c r="IK12" s="14">
        <v>100</v>
      </c>
      <c r="IL12" s="14">
        <v>100</v>
      </c>
      <c r="IM12" s="14">
        <v>100</v>
      </c>
      <c r="IN12" s="14">
        <v>100</v>
      </c>
      <c r="IO12" s="14">
        <v>100</v>
      </c>
      <c r="IP12" s="14">
        <v>100</v>
      </c>
      <c r="IQ12" s="14">
        <v>100</v>
      </c>
      <c r="IR12" s="25">
        <v>100</v>
      </c>
      <c r="IS12" s="25">
        <v>100</v>
      </c>
      <c r="IT12" s="25">
        <v>100</v>
      </c>
      <c r="IU12" s="25">
        <v>100</v>
      </c>
      <c r="IV12" s="25">
        <v>100</v>
      </c>
      <c r="IW12" s="25">
        <v>100</v>
      </c>
      <c r="IX12" s="58">
        <f t="shared" si="0"/>
        <v>0</v>
      </c>
      <c r="IY12" s="2"/>
      <c r="IZ12" s="2"/>
      <c r="JA12" s="2"/>
      <c r="JB12" s="2"/>
      <c r="JC12" s="2"/>
    </row>
    <row r="13" spans="1:263" ht="13.5" customHeight="1">
      <c r="A13" s="55">
        <v>6</v>
      </c>
      <c r="B13" s="52" t="s">
        <v>97</v>
      </c>
      <c r="C13" s="5">
        <v>3600</v>
      </c>
      <c r="D13" s="5">
        <v>5400</v>
      </c>
      <c r="E13" s="130">
        <v>8100</v>
      </c>
      <c r="F13" s="117"/>
      <c r="G13" s="53"/>
      <c r="H13" s="53"/>
      <c r="I13" s="53"/>
      <c r="J13" s="53"/>
      <c r="K13" s="53"/>
      <c r="L13" s="53"/>
      <c r="M13" s="53"/>
      <c r="N13" s="53"/>
      <c r="O13" s="122">
        <v>100</v>
      </c>
      <c r="P13" s="70">
        <v>100</v>
      </c>
      <c r="Q13" s="70">
        <v>100</v>
      </c>
      <c r="R13" s="122">
        <v>100</v>
      </c>
      <c r="S13" s="70">
        <v>100</v>
      </c>
      <c r="T13" s="70">
        <v>100</v>
      </c>
      <c r="U13" s="122">
        <v>100</v>
      </c>
      <c r="V13" s="70">
        <v>100</v>
      </c>
      <c r="W13" s="70">
        <v>100</v>
      </c>
      <c r="X13" s="122">
        <v>100</v>
      </c>
      <c r="Y13" s="70">
        <v>100</v>
      </c>
      <c r="Z13" s="70">
        <v>100</v>
      </c>
      <c r="AA13" s="122">
        <v>100</v>
      </c>
      <c r="AB13" s="70">
        <v>100</v>
      </c>
      <c r="AC13" s="70">
        <v>100</v>
      </c>
      <c r="AD13" s="122">
        <v>100</v>
      </c>
      <c r="AE13" s="70">
        <v>100</v>
      </c>
      <c r="AF13" s="70">
        <v>100</v>
      </c>
      <c r="AG13" s="122">
        <v>100</v>
      </c>
      <c r="AH13" s="70">
        <v>100</v>
      </c>
      <c r="AI13" s="70">
        <v>100</v>
      </c>
      <c r="AJ13" s="122">
        <v>100</v>
      </c>
      <c r="AK13" s="70">
        <v>100</v>
      </c>
      <c r="AL13" s="70">
        <v>100</v>
      </c>
      <c r="AM13" s="122">
        <v>100</v>
      </c>
      <c r="AN13" s="70">
        <v>100</v>
      </c>
      <c r="AO13" s="70">
        <v>100</v>
      </c>
      <c r="AP13" s="122">
        <v>100</v>
      </c>
      <c r="AQ13" s="70">
        <v>100</v>
      </c>
      <c r="AR13" s="70">
        <v>100</v>
      </c>
      <c r="AS13" s="122">
        <v>100</v>
      </c>
      <c r="AT13" s="70">
        <v>100</v>
      </c>
      <c r="AU13" s="70">
        <v>100</v>
      </c>
      <c r="AV13" s="122">
        <v>100</v>
      </c>
      <c r="AW13" s="70">
        <v>100</v>
      </c>
      <c r="AX13" s="70">
        <v>100</v>
      </c>
      <c r="AY13" s="122">
        <v>100</v>
      </c>
      <c r="AZ13" s="70">
        <v>100</v>
      </c>
      <c r="BA13" s="70">
        <v>100</v>
      </c>
      <c r="BB13" s="122">
        <v>100</v>
      </c>
      <c r="BC13" s="70">
        <v>100</v>
      </c>
      <c r="BD13" s="70">
        <v>100</v>
      </c>
      <c r="BE13" s="122">
        <v>100</v>
      </c>
      <c r="BF13" s="70">
        <v>100</v>
      </c>
      <c r="BG13" s="70">
        <v>100</v>
      </c>
      <c r="BH13" s="122">
        <v>100</v>
      </c>
      <c r="BI13" s="70">
        <v>100</v>
      </c>
      <c r="BJ13" s="70">
        <v>100</v>
      </c>
      <c r="BK13" s="122">
        <v>100</v>
      </c>
      <c r="BL13" s="70">
        <v>100</v>
      </c>
      <c r="BM13" s="70">
        <v>100</v>
      </c>
      <c r="BN13" s="122">
        <v>100</v>
      </c>
      <c r="BO13" s="70">
        <v>100</v>
      </c>
      <c r="BP13" s="70">
        <v>100</v>
      </c>
      <c r="BQ13" s="122">
        <v>100</v>
      </c>
      <c r="BR13" s="70">
        <v>100</v>
      </c>
      <c r="BS13" s="70">
        <v>100</v>
      </c>
      <c r="BT13" s="122">
        <v>100</v>
      </c>
      <c r="BU13" s="70">
        <v>100</v>
      </c>
      <c r="BV13" s="70">
        <v>100</v>
      </c>
      <c r="BW13" s="122">
        <v>100</v>
      </c>
      <c r="BX13" s="70">
        <v>100</v>
      </c>
      <c r="BY13" s="70">
        <v>100</v>
      </c>
      <c r="BZ13" s="122">
        <v>100</v>
      </c>
      <c r="CA13" s="70">
        <v>100</v>
      </c>
      <c r="CB13" s="70">
        <v>100</v>
      </c>
      <c r="CC13" s="122">
        <v>100</v>
      </c>
      <c r="CD13" s="70">
        <v>100</v>
      </c>
      <c r="CE13" s="70">
        <v>100</v>
      </c>
      <c r="CF13" s="122">
        <v>100</v>
      </c>
      <c r="CG13" s="54">
        <v>91</v>
      </c>
      <c r="CH13" s="70">
        <v>100</v>
      </c>
      <c r="CI13" s="122">
        <v>100</v>
      </c>
      <c r="CJ13" s="54">
        <v>82</v>
      </c>
      <c r="CK13" s="54">
        <v>91</v>
      </c>
      <c r="CL13" s="122">
        <v>100</v>
      </c>
      <c r="CM13" s="54">
        <v>73</v>
      </c>
      <c r="CN13" s="54">
        <v>87</v>
      </c>
      <c r="CO13" s="53">
        <v>92</v>
      </c>
      <c r="CP13" s="54">
        <v>70</v>
      </c>
      <c r="CQ13" s="54">
        <v>79</v>
      </c>
      <c r="CR13" s="53">
        <v>86</v>
      </c>
      <c r="CS13" s="54">
        <v>71</v>
      </c>
      <c r="CT13" s="54">
        <v>48</v>
      </c>
      <c r="CU13" s="53">
        <v>81</v>
      </c>
      <c r="CV13" s="54">
        <v>75</v>
      </c>
      <c r="CW13" s="54">
        <v>52</v>
      </c>
      <c r="CX13" s="53">
        <v>76</v>
      </c>
      <c r="CY13" s="54">
        <v>71</v>
      </c>
      <c r="CZ13" s="54">
        <v>55</v>
      </c>
      <c r="DA13" s="53">
        <v>74</v>
      </c>
      <c r="DB13" s="54">
        <v>68</v>
      </c>
      <c r="DC13" s="54">
        <v>52</v>
      </c>
      <c r="DD13" s="53">
        <v>73</v>
      </c>
      <c r="DE13" s="54">
        <v>65</v>
      </c>
      <c r="DF13" s="54">
        <v>52</v>
      </c>
      <c r="DG13" s="53">
        <v>71</v>
      </c>
      <c r="DH13" s="54">
        <v>56</v>
      </c>
      <c r="DI13" s="54">
        <v>58</v>
      </c>
      <c r="DJ13" s="53">
        <v>68</v>
      </c>
      <c r="DK13" s="54">
        <v>51</v>
      </c>
      <c r="DL13" s="54">
        <v>53</v>
      </c>
      <c r="DM13" s="53">
        <v>73</v>
      </c>
      <c r="DN13" s="54">
        <v>49</v>
      </c>
      <c r="DO13" s="54">
        <v>52</v>
      </c>
      <c r="DP13" s="53">
        <v>68</v>
      </c>
      <c r="DQ13" s="54">
        <v>42</v>
      </c>
      <c r="DR13" s="54">
        <v>40</v>
      </c>
      <c r="DS13" s="53">
        <v>66</v>
      </c>
      <c r="DT13" s="54">
        <v>41</v>
      </c>
      <c r="DU13" s="54">
        <v>33</v>
      </c>
      <c r="DV13" s="53">
        <v>64</v>
      </c>
      <c r="DW13" s="54">
        <v>39</v>
      </c>
      <c r="DX13" s="54">
        <v>37</v>
      </c>
      <c r="DY13" s="53">
        <v>63</v>
      </c>
      <c r="DZ13" s="54">
        <v>36</v>
      </c>
      <c r="EA13" s="54">
        <v>41</v>
      </c>
      <c r="EB13" s="53">
        <v>61</v>
      </c>
      <c r="EC13" s="54">
        <v>32</v>
      </c>
      <c r="ED13" s="54">
        <v>37</v>
      </c>
      <c r="EE13" s="53">
        <v>58</v>
      </c>
      <c r="EF13" s="54">
        <v>44</v>
      </c>
      <c r="EG13" s="54">
        <v>36</v>
      </c>
      <c r="EH13" s="53">
        <v>53</v>
      </c>
      <c r="EI13" s="54">
        <v>49</v>
      </c>
      <c r="EJ13" s="54">
        <v>54</v>
      </c>
      <c r="EK13" s="53">
        <v>50</v>
      </c>
      <c r="EL13" s="54">
        <v>48</v>
      </c>
      <c r="EM13" s="54">
        <v>51</v>
      </c>
      <c r="EN13" s="53">
        <v>57</v>
      </c>
      <c r="EO13" s="54">
        <v>42</v>
      </c>
      <c r="EP13" s="54">
        <v>49</v>
      </c>
      <c r="EQ13" s="53">
        <v>59</v>
      </c>
      <c r="ER13" s="54">
        <v>48</v>
      </c>
      <c r="ES13" s="54">
        <v>45</v>
      </c>
      <c r="ET13" s="53">
        <v>53</v>
      </c>
      <c r="EU13" s="54">
        <v>46</v>
      </c>
      <c r="EV13" s="54">
        <v>44</v>
      </c>
      <c r="EW13" s="53">
        <v>59</v>
      </c>
      <c r="EX13" s="54">
        <v>49</v>
      </c>
      <c r="EY13" s="54">
        <v>53</v>
      </c>
      <c r="EZ13" s="53">
        <v>53</v>
      </c>
      <c r="FA13" s="54">
        <v>44</v>
      </c>
      <c r="FB13" s="54">
        <v>52</v>
      </c>
      <c r="FC13" s="54">
        <v>57</v>
      </c>
      <c r="FD13" s="54">
        <v>43</v>
      </c>
      <c r="FE13" s="54">
        <v>51</v>
      </c>
      <c r="FF13" s="124">
        <v>100</v>
      </c>
      <c r="FG13" s="54">
        <v>58</v>
      </c>
      <c r="FH13" s="54">
        <v>49</v>
      </c>
      <c r="FI13" s="124">
        <v>100</v>
      </c>
      <c r="FJ13" s="54">
        <v>48</v>
      </c>
      <c r="FK13" s="54">
        <v>43</v>
      </c>
      <c r="FL13" s="124">
        <v>100</v>
      </c>
      <c r="FM13" s="54">
        <v>42</v>
      </c>
      <c r="FN13" s="54">
        <v>48</v>
      </c>
      <c r="FO13" s="14">
        <v>100</v>
      </c>
      <c r="FP13" s="6">
        <v>54</v>
      </c>
      <c r="FQ13" s="6">
        <v>47</v>
      </c>
      <c r="FR13" s="14">
        <v>100</v>
      </c>
      <c r="FS13" s="16">
        <v>58</v>
      </c>
      <c r="FT13" s="16">
        <v>43</v>
      </c>
      <c r="FU13" s="14">
        <v>100</v>
      </c>
      <c r="FV13" s="16">
        <v>53</v>
      </c>
      <c r="FW13" s="16">
        <v>42</v>
      </c>
      <c r="FX13" s="14">
        <v>100</v>
      </c>
      <c r="FY13" s="16">
        <v>65</v>
      </c>
      <c r="FZ13" s="16">
        <v>43</v>
      </c>
      <c r="GA13" s="14">
        <v>100</v>
      </c>
      <c r="GB13" s="16">
        <v>68</v>
      </c>
      <c r="GC13" s="16">
        <v>48</v>
      </c>
      <c r="GD13" s="14">
        <v>100</v>
      </c>
      <c r="GE13" s="16">
        <v>63</v>
      </c>
      <c r="GF13" s="16">
        <v>45</v>
      </c>
      <c r="GG13" s="14">
        <v>100</v>
      </c>
      <c r="GH13" s="16">
        <v>59</v>
      </c>
      <c r="GI13" s="16">
        <v>40</v>
      </c>
      <c r="GJ13" s="14">
        <v>100</v>
      </c>
      <c r="GK13" s="16">
        <v>52</v>
      </c>
      <c r="GL13" s="16">
        <v>39</v>
      </c>
      <c r="GM13" s="14">
        <v>100</v>
      </c>
      <c r="GN13" s="16">
        <v>57</v>
      </c>
      <c r="GO13" s="16">
        <v>43</v>
      </c>
      <c r="GP13" s="14">
        <v>100</v>
      </c>
      <c r="GQ13" s="16">
        <v>52</v>
      </c>
      <c r="GR13" s="16">
        <v>40</v>
      </c>
      <c r="GS13" s="14">
        <v>100</v>
      </c>
      <c r="GT13" s="16">
        <v>56</v>
      </c>
      <c r="GU13" s="16">
        <v>45</v>
      </c>
      <c r="GV13" s="14">
        <v>100</v>
      </c>
      <c r="GW13" s="16">
        <v>59</v>
      </c>
      <c r="GX13" s="16">
        <v>55</v>
      </c>
      <c r="GY13" s="14">
        <v>100</v>
      </c>
      <c r="GZ13" s="16">
        <v>55</v>
      </c>
      <c r="HA13" s="16">
        <v>53</v>
      </c>
      <c r="HB13" s="16">
        <v>92</v>
      </c>
      <c r="HC13" s="16">
        <v>58</v>
      </c>
      <c r="HD13" s="16">
        <v>57</v>
      </c>
      <c r="HE13" s="16">
        <v>88</v>
      </c>
      <c r="HF13" s="16">
        <v>53</v>
      </c>
      <c r="HG13" s="16">
        <v>52</v>
      </c>
      <c r="HH13" s="16">
        <v>83</v>
      </c>
      <c r="HI13" s="16">
        <v>50</v>
      </c>
      <c r="HJ13" s="16">
        <v>50</v>
      </c>
      <c r="HK13" s="16">
        <v>80</v>
      </c>
      <c r="HL13" s="16">
        <v>46</v>
      </c>
      <c r="HM13" s="16">
        <v>55</v>
      </c>
      <c r="HN13" s="16">
        <v>76</v>
      </c>
      <c r="HO13" s="16">
        <v>41</v>
      </c>
      <c r="HP13" s="16">
        <v>54</v>
      </c>
      <c r="HQ13" s="6">
        <v>71</v>
      </c>
      <c r="HR13" s="6">
        <v>37</v>
      </c>
      <c r="HS13" s="6">
        <v>53</v>
      </c>
      <c r="HT13" s="16">
        <v>70</v>
      </c>
      <c r="HU13" s="16">
        <v>31</v>
      </c>
      <c r="HV13" s="16">
        <v>50</v>
      </c>
      <c r="HW13" s="16">
        <v>72</v>
      </c>
      <c r="HX13" s="16">
        <v>34</v>
      </c>
      <c r="HY13" s="16">
        <v>49</v>
      </c>
      <c r="HZ13" s="14">
        <v>100</v>
      </c>
      <c r="IA13" s="16">
        <v>36</v>
      </c>
      <c r="IB13" s="16">
        <v>45</v>
      </c>
      <c r="IC13" s="34">
        <v>100</v>
      </c>
      <c r="ID13" s="6">
        <v>35</v>
      </c>
      <c r="IE13" s="6">
        <v>45</v>
      </c>
      <c r="IF13" s="14">
        <v>100</v>
      </c>
      <c r="IG13" s="14">
        <v>100</v>
      </c>
      <c r="IH13" s="14">
        <v>100</v>
      </c>
      <c r="II13" s="14">
        <v>100</v>
      </c>
      <c r="IJ13" s="14">
        <v>100</v>
      </c>
      <c r="IK13" s="14">
        <v>100</v>
      </c>
      <c r="IL13" s="14">
        <v>100</v>
      </c>
      <c r="IM13" s="14">
        <v>100</v>
      </c>
      <c r="IN13" s="14">
        <v>100</v>
      </c>
      <c r="IO13" s="14">
        <v>100</v>
      </c>
      <c r="IP13" s="14">
        <v>100</v>
      </c>
      <c r="IQ13" s="14">
        <v>100</v>
      </c>
      <c r="IR13" s="25">
        <v>100</v>
      </c>
      <c r="IS13" s="25">
        <v>100</v>
      </c>
      <c r="IT13" s="25">
        <v>100</v>
      </c>
      <c r="IU13" s="25">
        <v>100</v>
      </c>
      <c r="IV13" s="25">
        <v>100</v>
      </c>
      <c r="IW13" s="25">
        <v>100</v>
      </c>
      <c r="IX13" s="58">
        <f t="shared" si="0"/>
        <v>0</v>
      </c>
      <c r="IY13" s="2"/>
      <c r="IZ13" s="2"/>
      <c r="JA13" s="2"/>
      <c r="JB13" s="2"/>
      <c r="JC13" s="2"/>
    </row>
    <row r="14" spans="1:263" ht="13.5" customHeight="1">
      <c r="A14" s="55">
        <v>7</v>
      </c>
      <c r="B14" s="52" t="s">
        <v>98</v>
      </c>
      <c r="C14" s="7">
        <v>1000</v>
      </c>
      <c r="D14" s="7">
        <v>1600</v>
      </c>
      <c r="E14" s="130">
        <v>1000</v>
      </c>
      <c r="F14" s="117"/>
      <c r="G14" s="53"/>
      <c r="H14" s="53"/>
      <c r="I14" s="53"/>
      <c r="J14" s="53"/>
      <c r="K14" s="53"/>
      <c r="L14" s="53"/>
      <c r="M14" s="53"/>
      <c r="N14" s="53"/>
      <c r="O14" s="122">
        <v>100</v>
      </c>
      <c r="P14" s="70">
        <v>100</v>
      </c>
      <c r="Q14" s="70">
        <v>100</v>
      </c>
      <c r="R14" s="122">
        <v>100</v>
      </c>
      <c r="S14" s="70">
        <v>100</v>
      </c>
      <c r="T14" s="70">
        <v>100</v>
      </c>
      <c r="U14" s="122">
        <v>100</v>
      </c>
      <c r="V14" s="70">
        <v>100</v>
      </c>
      <c r="W14" s="70">
        <v>100</v>
      </c>
      <c r="X14" s="122">
        <v>100</v>
      </c>
      <c r="Y14" s="70">
        <v>100</v>
      </c>
      <c r="Z14" s="70">
        <v>100</v>
      </c>
      <c r="AA14" s="122">
        <v>100</v>
      </c>
      <c r="AB14" s="70">
        <v>100</v>
      </c>
      <c r="AC14" s="70">
        <v>100</v>
      </c>
      <c r="AD14" s="122">
        <v>100</v>
      </c>
      <c r="AE14" s="70">
        <v>100</v>
      </c>
      <c r="AF14" s="70">
        <v>100</v>
      </c>
      <c r="AG14" s="122">
        <v>100</v>
      </c>
      <c r="AH14" s="70">
        <v>100</v>
      </c>
      <c r="AI14" s="70">
        <v>100</v>
      </c>
      <c r="AJ14" s="122">
        <v>100</v>
      </c>
      <c r="AK14" s="70">
        <v>100</v>
      </c>
      <c r="AL14" s="70">
        <v>100</v>
      </c>
      <c r="AM14" s="122">
        <v>100</v>
      </c>
      <c r="AN14" s="70">
        <v>100</v>
      </c>
      <c r="AO14" s="70">
        <v>100</v>
      </c>
      <c r="AP14" s="122">
        <v>100</v>
      </c>
      <c r="AQ14" s="70">
        <v>100</v>
      </c>
      <c r="AR14" s="70">
        <v>100</v>
      </c>
      <c r="AS14" s="122">
        <v>100</v>
      </c>
      <c r="AT14" s="70">
        <v>100</v>
      </c>
      <c r="AU14" s="70">
        <v>100</v>
      </c>
      <c r="AV14" s="122">
        <v>100</v>
      </c>
      <c r="AW14" s="70">
        <v>100</v>
      </c>
      <c r="AX14" s="70">
        <v>100</v>
      </c>
      <c r="AY14" s="122">
        <v>100</v>
      </c>
      <c r="AZ14" s="70">
        <v>100</v>
      </c>
      <c r="BA14" s="70">
        <v>100</v>
      </c>
      <c r="BB14" s="122">
        <v>100</v>
      </c>
      <c r="BC14" s="70">
        <v>100</v>
      </c>
      <c r="BD14" s="70">
        <v>100</v>
      </c>
      <c r="BE14" s="122">
        <v>100</v>
      </c>
      <c r="BF14" s="70">
        <v>100</v>
      </c>
      <c r="BG14" s="70">
        <v>100</v>
      </c>
      <c r="BH14" s="122">
        <v>100</v>
      </c>
      <c r="BI14" s="70">
        <v>100</v>
      </c>
      <c r="BJ14" s="70">
        <v>100</v>
      </c>
      <c r="BK14" s="122">
        <v>100</v>
      </c>
      <c r="BL14" s="70">
        <v>100</v>
      </c>
      <c r="BM14" s="70">
        <v>100</v>
      </c>
      <c r="BN14" s="122">
        <v>100</v>
      </c>
      <c r="BO14" s="70">
        <v>100</v>
      </c>
      <c r="BP14" s="70">
        <v>100</v>
      </c>
      <c r="BQ14" s="122">
        <v>100</v>
      </c>
      <c r="BR14" s="70">
        <v>100</v>
      </c>
      <c r="BS14" s="70">
        <v>100</v>
      </c>
      <c r="BT14" s="122">
        <v>100</v>
      </c>
      <c r="BU14" s="70">
        <v>100</v>
      </c>
      <c r="BV14" s="70">
        <v>100</v>
      </c>
      <c r="BW14" s="122">
        <v>100</v>
      </c>
      <c r="BX14" s="70">
        <v>100</v>
      </c>
      <c r="BY14" s="70">
        <v>100</v>
      </c>
      <c r="BZ14" s="122">
        <v>100</v>
      </c>
      <c r="CA14" s="70">
        <v>100</v>
      </c>
      <c r="CB14" s="70">
        <v>100</v>
      </c>
      <c r="CC14" s="122">
        <v>100</v>
      </c>
      <c r="CD14" s="70">
        <v>100</v>
      </c>
      <c r="CE14" s="70">
        <v>100</v>
      </c>
      <c r="CF14" s="122">
        <v>100</v>
      </c>
      <c r="CG14" s="70">
        <v>100</v>
      </c>
      <c r="CH14" s="70">
        <v>100</v>
      </c>
      <c r="CI14" s="122">
        <v>100</v>
      </c>
      <c r="CJ14" s="70">
        <v>100</v>
      </c>
      <c r="CK14" s="70">
        <v>100</v>
      </c>
      <c r="CL14" s="122">
        <v>100</v>
      </c>
      <c r="CM14" s="70">
        <v>100</v>
      </c>
      <c r="CN14" s="70">
        <v>100</v>
      </c>
      <c r="CO14" s="122">
        <v>100</v>
      </c>
      <c r="CP14" s="70">
        <v>100</v>
      </c>
      <c r="CQ14" s="70">
        <v>100</v>
      </c>
      <c r="CR14" s="122">
        <v>100</v>
      </c>
      <c r="CS14" s="70">
        <v>100</v>
      </c>
      <c r="CT14" s="70">
        <v>100</v>
      </c>
      <c r="CU14" s="122">
        <v>100</v>
      </c>
      <c r="CV14" s="70">
        <v>100</v>
      </c>
      <c r="CW14" s="70">
        <v>100</v>
      </c>
      <c r="CX14" s="114">
        <v>100</v>
      </c>
      <c r="CY14" s="54">
        <v>85</v>
      </c>
      <c r="CZ14" s="115">
        <v>100</v>
      </c>
      <c r="DA14" s="53">
        <v>96</v>
      </c>
      <c r="DB14" s="54">
        <v>85</v>
      </c>
      <c r="DC14" s="54">
        <v>86</v>
      </c>
      <c r="DD14" s="53">
        <v>84</v>
      </c>
      <c r="DE14" s="54">
        <v>77</v>
      </c>
      <c r="DF14" s="54">
        <v>83</v>
      </c>
      <c r="DG14" s="53">
        <v>79</v>
      </c>
      <c r="DH14" s="54">
        <v>72</v>
      </c>
      <c r="DI14" s="54">
        <v>81</v>
      </c>
      <c r="DJ14" s="53">
        <v>74</v>
      </c>
      <c r="DK14" s="54">
        <v>68</v>
      </c>
      <c r="DL14" s="54">
        <v>71</v>
      </c>
      <c r="DM14" s="53">
        <v>69</v>
      </c>
      <c r="DN14" s="54">
        <v>62</v>
      </c>
      <c r="DO14" s="54">
        <v>66</v>
      </c>
      <c r="DP14" s="53">
        <v>67</v>
      </c>
      <c r="DQ14" s="54">
        <v>53</v>
      </c>
      <c r="DR14" s="54">
        <v>65</v>
      </c>
      <c r="DS14" s="53">
        <v>62</v>
      </c>
      <c r="DT14" s="54">
        <v>50</v>
      </c>
      <c r="DU14" s="54">
        <v>65</v>
      </c>
      <c r="DV14" s="53">
        <v>60</v>
      </c>
      <c r="DW14" s="54">
        <v>43</v>
      </c>
      <c r="DX14" s="54">
        <v>59</v>
      </c>
      <c r="DY14" s="53">
        <v>54</v>
      </c>
      <c r="DZ14" s="54">
        <v>42</v>
      </c>
      <c r="EA14" s="54">
        <v>63</v>
      </c>
      <c r="EB14" s="53">
        <v>68</v>
      </c>
      <c r="EC14" s="54">
        <v>40</v>
      </c>
      <c r="ED14" s="54">
        <v>62</v>
      </c>
      <c r="EE14" s="53">
        <v>72</v>
      </c>
      <c r="EF14" s="54">
        <v>39</v>
      </c>
      <c r="EG14" s="54">
        <v>57</v>
      </c>
      <c r="EH14" s="53">
        <v>68</v>
      </c>
      <c r="EI14" s="54">
        <v>33</v>
      </c>
      <c r="EJ14" s="54">
        <v>52</v>
      </c>
      <c r="EK14" s="53">
        <v>63</v>
      </c>
      <c r="EL14" s="54">
        <v>39</v>
      </c>
      <c r="EM14" s="54">
        <v>54</v>
      </c>
      <c r="EN14" s="53">
        <v>61</v>
      </c>
      <c r="EO14" s="54">
        <v>45</v>
      </c>
      <c r="EP14" s="54">
        <v>53</v>
      </c>
      <c r="EQ14" s="53">
        <v>55</v>
      </c>
      <c r="ER14" s="54">
        <v>43</v>
      </c>
      <c r="ES14" s="54">
        <v>50</v>
      </c>
      <c r="ET14" s="53">
        <v>51</v>
      </c>
      <c r="EU14" s="54">
        <v>48</v>
      </c>
      <c r="EV14" s="54">
        <v>59</v>
      </c>
      <c r="EW14" s="53">
        <v>48</v>
      </c>
      <c r="EX14" s="54">
        <v>44</v>
      </c>
      <c r="EY14" s="54">
        <v>62</v>
      </c>
      <c r="EZ14" s="53">
        <v>58</v>
      </c>
      <c r="FA14" s="54">
        <v>43</v>
      </c>
      <c r="FB14" s="54">
        <v>57</v>
      </c>
      <c r="FC14" s="54">
        <v>55</v>
      </c>
      <c r="FD14" s="54">
        <v>48</v>
      </c>
      <c r="FE14" s="54">
        <v>53</v>
      </c>
      <c r="FF14" s="54">
        <v>52</v>
      </c>
      <c r="FG14" s="54">
        <v>40</v>
      </c>
      <c r="FH14" s="124">
        <v>100</v>
      </c>
      <c r="FI14" s="54">
        <v>51</v>
      </c>
      <c r="FJ14" s="54">
        <v>45</v>
      </c>
      <c r="FK14" s="54">
        <v>89</v>
      </c>
      <c r="FL14" s="54">
        <v>56</v>
      </c>
      <c r="FM14" s="54">
        <v>42</v>
      </c>
      <c r="FN14" s="54">
        <v>87</v>
      </c>
      <c r="FO14" s="6">
        <v>55</v>
      </c>
      <c r="FP14" s="6">
        <v>48</v>
      </c>
      <c r="FQ14" s="6">
        <v>85</v>
      </c>
      <c r="FR14" s="16">
        <v>52</v>
      </c>
      <c r="FS14" s="16">
        <v>43</v>
      </c>
      <c r="FT14" s="16">
        <v>77</v>
      </c>
      <c r="FU14" s="16">
        <v>50</v>
      </c>
      <c r="FV14" s="16">
        <v>41</v>
      </c>
      <c r="FW14" s="16">
        <v>75</v>
      </c>
      <c r="FX14" s="16">
        <v>58</v>
      </c>
      <c r="FY14" s="16">
        <v>45</v>
      </c>
      <c r="FZ14" s="16">
        <v>69</v>
      </c>
      <c r="GA14" s="16">
        <v>53</v>
      </c>
      <c r="GB14" s="16">
        <v>64</v>
      </c>
      <c r="GC14" s="16">
        <v>65</v>
      </c>
      <c r="GD14" s="16">
        <v>56</v>
      </c>
      <c r="GE14" s="16">
        <v>59</v>
      </c>
      <c r="GF14" s="16">
        <v>61</v>
      </c>
      <c r="GG14" s="16">
        <v>52</v>
      </c>
      <c r="GH14" s="16">
        <v>57</v>
      </c>
      <c r="GI14" s="16">
        <v>60</v>
      </c>
      <c r="GJ14" s="16">
        <v>49</v>
      </c>
      <c r="GK14" s="16">
        <v>53</v>
      </c>
      <c r="GL14" s="16">
        <v>54</v>
      </c>
      <c r="GM14" s="16">
        <v>58</v>
      </c>
      <c r="GN14" s="16">
        <v>50</v>
      </c>
      <c r="GO14" s="16">
        <v>51</v>
      </c>
      <c r="GP14" s="16">
        <v>65</v>
      </c>
      <c r="GQ14" s="16">
        <v>46</v>
      </c>
      <c r="GR14" s="16">
        <v>48</v>
      </c>
      <c r="GS14" s="16">
        <v>67</v>
      </c>
      <c r="GT14" s="16">
        <v>42</v>
      </c>
      <c r="GU14" s="16">
        <v>44</v>
      </c>
      <c r="GV14" s="16">
        <v>73</v>
      </c>
      <c r="GW14" s="16">
        <v>45</v>
      </c>
      <c r="GX14" s="16">
        <v>42</v>
      </c>
      <c r="GY14" s="16">
        <v>68</v>
      </c>
      <c r="GZ14" s="16">
        <v>54</v>
      </c>
      <c r="HA14" s="16">
        <v>46</v>
      </c>
      <c r="HB14" s="16">
        <v>72</v>
      </c>
      <c r="HC14" s="16">
        <v>55</v>
      </c>
      <c r="HD14" s="16">
        <v>51</v>
      </c>
      <c r="HE14" s="16">
        <v>69</v>
      </c>
      <c r="HF14" s="16">
        <v>50</v>
      </c>
      <c r="HG14" s="16">
        <v>49</v>
      </c>
      <c r="HH14" s="16">
        <v>66</v>
      </c>
      <c r="HI14" s="16">
        <v>53</v>
      </c>
      <c r="HJ14" s="16">
        <v>48</v>
      </c>
      <c r="HK14" s="16">
        <v>85</v>
      </c>
      <c r="HL14" s="16">
        <v>50</v>
      </c>
      <c r="HM14" s="16">
        <v>42</v>
      </c>
      <c r="HN14" s="16">
        <v>79</v>
      </c>
      <c r="HO14" s="16">
        <v>60</v>
      </c>
      <c r="HP14" s="16">
        <v>38</v>
      </c>
      <c r="HQ14" s="6">
        <v>77</v>
      </c>
      <c r="HR14" s="6">
        <v>63</v>
      </c>
      <c r="HS14" s="6">
        <v>42</v>
      </c>
      <c r="HT14" s="16">
        <v>73</v>
      </c>
      <c r="HU14" s="16">
        <v>65</v>
      </c>
      <c r="HV14" s="16">
        <v>48</v>
      </c>
      <c r="HW14" s="16">
        <v>69</v>
      </c>
      <c r="HX14" s="16">
        <v>63</v>
      </c>
      <c r="HY14" s="16">
        <v>43</v>
      </c>
      <c r="HZ14" s="16">
        <v>73</v>
      </c>
      <c r="IA14" s="16">
        <v>62</v>
      </c>
      <c r="IB14" s="16">
        <v>44</v>
      </c>
      <c r="IC14" s="6">
        <v>78</v>
      </c>
      <c r="ID14" s="6">
        <v>60</v>
      </c>
      <c r="IE14" s="6">
        <v>45</v>
      </c>
      <c r="IF14" s="14">
        <v>100</v>
      </c>
      <c r="IG14" s="14">
        <v>100</v>
      </c>
      <c r="IH14" s="14">
        <v>100</v>
      </c>
      <c r="II14" s="16">
        <v>54</v>
      </c>
      <c r="IJ14" s="16">
        <v>51</v>
      </c>
      <c r="IK14" s="16">
        <v>46</v>
      </c>
      <c r="IL14" s="14">
        <v>46</v>
      </c>
      <c r="IM14" s="14">
        <v>46</v>
      </c>
      <c r="IN14" s="14">
        <v>46</v>
      </c>
      <c r="IO14" s="14">
        <v>46</v>
      </c>
      <c r="IP14" s="14">
        <v>46</v>
      </c>
      <c r="IQ14" s="14">
        <v>46</v>
      </c>
      <c r="IR14" s="25">
        <v>46</v>
      </c>
      <c r="IS14" s="25">
        <v>100</v>
      </c>
      <c r="IT14" s="25">
        <v>100</v>
      </c>
      <c r="IU14" s="25">
        <v>100</v>
      </c>
      <c r="IV14" s="25">
        <v>100</v>
      </c>
      <c r="IW14" s="25">
        <v>100</v>
      </c>
      <c r="IX14" s="58">
        <f t="shared" si="0"/>
        <v>0</v>
      </c>
      <c r="IY14" s="2"/>
      <c r="IZ14" s="2"/>
      <c r="JA14" s="2"/>
      <c r="JB14" s="2"/>
      <c r="JC14" s="2"/>
    </row>
    <row r="15" spans="1:263" ht="13.5" customHeight="1">
      <c r="A15" s="55">
        <v>8</v>
      </c>
      <c r="B15" s="52" t="s">
        <v>99</v>
      </c>
      <c r="C15" s="7">
        <v>2900</v>
      </c>
      <c r="D15" s="7">
        <v>8100</v>
      </c>
      <c r="E15" s="130">
        <v>12100</v>
      </c>
      <c r="F15" s="117"/>
      <c r="G15" s="53"/>
      <c r="H15" s="53"/>
      <c r="I15" s="53"/>
      <c r="J15" s="53"/>
      <c r="K15" s="53"/>
      <c r="L15" s="53"/>
      <c r="M15" s="53"/>
      <c r="N15" s="53"/>
      <c r="O15" s="122">
        <v>100</v>
      </c>
      <c r="P15" s="70">
        <v>100</v>
      </c>
      <c r="Q15" s="70">
        <v>100</v>
      </c>
      <c r="R15" s="122">
        <v>100</v>
      </c>
      <c r="S15" s="70">
        <v>100</v>
      </c>
      <c r="T15" s="70">
        <v>100</v>
      </c>
      <c r="U15" s="122">
        <v>100</v>
      </c>
      <c r="V15" s="70">
        <v>100</v>
      </c>
      <c r="W15" s="70">
        <v>100</v>
      </c>
      <c r="X15" s="122">
        <v>100</v>
      </c>
      <c r="Y15" s="70">
        <v>100</v>
      </c>
      <c r="Z15" s="70">
        <v>100</v>
      </c>
      <c r="AA15" s="122">
        <v>100</v>
      </c>
      <c r="AB15" s="70">
        <v>100</v>
      </c>
      <c r="AC15" s="70">
        <v>100</v>
      </c>
      <c r="AD15" s="122">
        <v>100</v>
      </c>
      <c r="AE15" s="70">
        <v>100</v>
      </c>
      <c r="AF15" s="70">
        <v>100</v>
      </c>
      <c r="AG15" s="122">
        <v>100</v>
      </c>
      <c r="AH15" s="70">
        <v>100</v>
      </c>
      <c r="AI15" s="70">
        <v>100</v>
      </c>
      <c r="AJ15" s="122">
        <v>100</v>
      </c>
      <c r="AK15" s="70">
        <v>100</v>
      </c>
      <c r="AL15" s="70">
        <v>100</v>
      </c>
      <c r="AM15" s="122">
        <v>100</v>
      </c>
      <c r="AN15" s="70">
        <v>100</v>
      </c>
      <c r="AO15" s="70">
        <v>100</v>
      </c>
      <c r="AP15" s="122">
        <v>100</v>
      </c>
      <c r="AQ15" s="70">
        <v>100</v>
      </c>
      <c r="AR15" s="70">
        <v>100</v>
      </c>
      <c r="AS15" s="122">
        <v>100</v>
      </c>
      <c r="AT15" s="70">
        <v>100</v>
      </c>
      <c r="AU15" s="70">
        <v>100</v>
      </c>
      <c r="AV15" s="122">
        <v>100</v>
      </c>
      <c r="AW15" s="70">
        <v>100</v>
      </c>
      <c r="AX15" s="70">
        <v>100</v>
      </c>
      <c r="AY15" s="122">
        <v>100</v>
      </c>
      <c r="AZ15" s="70">
        <v>100</v>
      </c>
      <c r="BA15" s="70">
        <v>100</v>
      </c>
      <c r="BB15" s="122">
        <v>100</v>
      </c>
      <c r="BC15" s="70">
        <v>100</v>
      </c>
      <c r="BD15" s="70">
        <v>100</v>
      </c>
      <c r="BE15" s="122">
        <v>100</v>
      </c>
      <c r="BF15" s="70">
        <v>100</v>
      </c>
      <c r="BG15" s="70">
        <v>100</v>
      </c>
      <c r="BH15" s="122">
        <v>100</v>
      </c>
      <c r="BI15" s="70">
        <v>100</v>
      </c>
      <c r="BJ15" s="70">
        <v>100</v>
      </c>
      <c r="BK15" s="122">
        <v>100</v>
      </c>
      <c r="BL15" s="70">
        <v>100</v>
      </c>
      <c r="BM15" s="70">
        <v>100</v>
      </c>
      <c r="BN15" s="122">
        <v>100</v>
      </c>
      <c r="BO15" s="70">
        <v>100</v>
      </c>
      <c r="BP15" s="70">
        <v>100</v>
      </c>
      <c r="BQ15" s="122">
        <v>100</v>
      </c>
      <c r="BR15" s="70">
        <v>100</v>
      </c>
      <c r="BS15" s="70">
        <v>100</v>
      </c>
      <c r="BT15" s="122">
        <v>100</v>
      </c>
      <c r="BU15" s="70">
        <v>100</v>
      </c>
      <c r="BV15" s="70">
        <v>100</v>
      </c>
      <c r="BW15" s="122">
        <v>100</v>
      </c>
      <c r="BX15" s="70">
        <v>100</v>
      </c>
      <c r="BY15" s="70">
        <v>100</v>
      </c>
      <c r="BZ15" s="122">
        <v>100</v>
      </c>
      <c r="CA15" s="70">
        <v>100</v>
      </c>
      <c r="CB15" s="70">
        <v>100</v>
      </c>
      <c r="CC15" s="122">
        <v>100</v>
      </c>
      <c r="CD15" s="70">
        <v>100</v>
      </c>
      <c r="CE15" s="70">
        <v>100</v>
      </c>
      <c r="CF15" s="122">
        <v>100</v>
      </c>
      <c r="CG15" s="70">
        <v>100</v>
      </c>
      <c r="CH15" s="70">
        <v>100</v>
      </c>
      <c r="CI15" s="122">
        <v>100</v>
      </c>
      <c r="CJ15" s="70">
        <v>100</v>
      </c>
      <c r="CK15" s="70">
        <v>100</v>
      </c>
      <c r="CL15" s="122">
        <v>100</v>
      </c>
      <c r="CM15" s="70">
        <v>100</v>
      </c>
      <c r="CN15" s="70">
        <v>100</v>
      </c>
      <c r="CO15" s="122">
        <v>100</v>
      </c>
      <c r="CP15" s="70">
        <v>100</v>
      </c>
      <c r="CQ15" s="70">
        <v>100</v>
      </c>
      <c r="CR15" s="122">
        <v>100</v>
      </c>
      <c r="CS15" s="70">
        <v>100</v>
      </c>
      <c r="CT15" s="70">
        <v>100</v>
      </c>
      <c r="CU15" s="122">
        <v>100</v>
      </c>
      <c r="CV15" s="70">
        <v>100</v>
      </c>
      <c r="CW15" s="70">
        <v>100</v>
      </c>
      <c r="CX15" s="114">
        <v>100</v>
      </c>
      <c r="CY15" s="115">
        <v>100</v>
      </c>
      <c r="CZ15" s="115">
        <v>100</v>
      </c>
      <c r="DA15" s="53">
        <v>89</v>
      </c>
      <c r="DB15" s="115">
        <v>100</v>
      </c>
      <c r="DC15" s="115">
        <v>100</v>
      </c>
      <c r="DD15" s="53">
        <v>82</v>
      </c>
      <c r="DE15" s="54">
        <v>76</v>
      </c>
      <c r="DF15" s="54">
        <v>94</v>
      </c>
      <c r="DG15" s="53">
        <v>73</v>
      </c>
      <c r="DH15" s="54">
        <v>68</v>
      </c>
      <c r="DI15" s="54">
        <v>85</v>
      </c>
      <c r="DJ15" s="53">
        <v>67</v>
      </c>
      <c r="DK15" s="54">
        <v>66</v>
      </c>
      <c r="DL15" s="54">
        <v>79</v>
      </c>
      <c r="DM15" s="53">
        <v>64</v>
      </c>
      <c r="DN15" s="54">
        <v>63</v>
      </c>
      <c r="DO15" s="54">
        <v>74</v>
      </c>
      <c r="DP15" s="53">
        <v>61</v>
      </c>
      <c r="DQ15" s="54">
        <v>68</v>
      </c>
      <c r="DR15" s="54">
        <v>67</v>
      </c>
      <c r="DS15" s="53">
        <v>57</v>
      </c>
      <c r="DT15" s="54">
        <v>65</v>
      </c>
      <c r="DU15" s="54">
        <v>63</v>
      </c>
      <c r="DV15" s="53">
        <v>52</v>
      </c>
      <c r="DW15" s="54">
        <v>63</v>
      </c>
      <c r="DX15" s="54">
        <v>68</v>
      </c>
      <c r="DY15" s="53">
        <v>55</v>
      </c>
      <c r="DZ15" s="54">
        <v>62</v>
      </c>
      <c r="EA15" s="54">
        <v>66</v>
      </c>
      <c r="EB15" s="53">
        <v>58</v>
      </c>
      <c r="EC15" s="54">
        <v>54</v>
      </c>
      <c r="ED15" s="54">
        <v>63</v>
      </c>
      <c r="EE15" s="53">
        <v>55</v>
      </c>
      <c r="EF15" s="54">
        <v>61</v>
      </c>
      <c r="EG15" s="54">
        <v>53</v>
      </c>
      <c r="EH15" s="53">
        <v>53</v>
      </c>
      <c r="EI15" s="54">
        <v>58</v>
      </c>
      <c r="EJ15" s="54">
        <v>64</v>
      </c>
      <c r="EK15" s="53">
        <v>46</v>
      </c>
      <c r="EL15" s="54">
        <v>53</v>
      </c>
      <c r="EM15" s="54">
        <v>61</v>
      </c>
      <c r="EN15" s="53">
        <v>42</v>
      </c>
      <c r="EO15" s="54">
        <v>56</v>
      </c>
      <c r="EP15" s="54">
        <v>59</v>
      </c>
      <c r="EQ15" s="53">
        <v>46</v>
      </c>
      <c r="ER15" s="54">
        <v>52</v>
      </c>
      <c r="ES15" s="54">
        <v>57</v>
      </c>
      <c r="ET15" s="53">
        <v>62</v>
      </c>
      <c r="EU15" s="54">
        <v>45</v>
      </c>
      <c r="EV15" s="54">
        <v>56</v>
      </c>
      <c r="EW15" s="53">
        <v>68</v>
      </c>
      <c r="EX15" s="54">
        <v>43</v>
      </c>
      <c r="EY15" s="54">
        <v>55</v>
      </c>
      <c r="EZ15" s="53">
        <v>64</v>
      </c>
      <c r="FA15" s="54">
        <v>41</v>
      </c>
      <c r="FB15" s="54">
        <v>54</v>
      </c>
      <c r="FC15" s="54">
        <v>62</v>
      </c>
      <c r="FD15" s="54">
        <v>44</v>
      </c>
      <c r="FE15" s="54">
        <v>52</v>
      </c>
      <c r="FF15" s="54">
        <v>58</v>
      </c>
      <c r="FG15" s="54">
        <v>42</v>
      </c>
      <c r="FH15" s="54">
        <v>64</v>
      </c>
      <c r="FI15" s="54">
        <v>53</v>
      </c>
      <c r="FJ15" s="54">
        <v>44</v>
      </c>
      <c r="FK15" s="54">
        <v>52</v>
      </c>
      <c r="FL15" s="54">
        <v>69</v>
      </c>
      <c r="FM15" s="54">
        <v>43</v>
      </c>
      <c r="FN15" s="54">
        <v>51</v>
      </c>
      <c r="FO15" s="6">
        <v>62</v>
      </c>
      <c r="FP15" s="6">
        <v>52</v>
      </c>
      <c r="FQ15" s="6">
        <v>48</v>
      </c>
      <c r="FR15" s="16">
        <v>74</v>
      </c>
      <c r="FS15" s="16">
        <v>55</v>
      </c>
      <c r="FT15" s="16">
        <v>64</v>
      </c>
      <c r="FU15" s="16">
        <v>17</v>
      </c>
      <c r="FV15" s="16">
        <v>53</v>
      </c>
      <c r="FW15" s="16">
        <v>60</v>
      </c>
      <c r="FX15" s="16">
        <v>28</v>
      </c>
      <c r="FY15" s="16">
        <v>49</v>
      </c>
      <c r="FZ15" s="16">
        <v>58</v>
      </c>
      <c r="GA15" s="16">
        <v>23</v>
      </c>
      <c r="GB15" s="16">
        <v>40</v>
      </c>
      <c r="GC15" s="16">
        <v>55</v>
      </c>
      <c r="GD15" s="16">
        <v>32</v>
      </c>
      <c r="GE15" s="16">
        <v>35</v>
      </c>
      <c r="GF15" s="16">
        <v>50</v>
      </c>
      <c r="GG15" s="84">
        <v>29</v>
      </c>
      <c r="GH15" s="16">
        <v>33</v>
      </c>
      <c r="GI15" s="16">
        <v>46</v>
      </c>
      <c r="GJ15" s="84">
        <v>34</v>
      </c>
      <c r="GK15" s="16">
        <v>30</v>
      </c>
      <c r="GL15" s="16">
        <v>41</v>
      </c>
      <c r="GM15" s="84">
        <v>46</v>
      </c>
      <c r="GN15" s="16">
        <v>24</v>
      </c>
      <c r="GO15" s="16">
        <v>52</v>
      </c>
      <c r="GP15" s="16">
        <v>54</v>
      </c>
      <c r="GQ15" s="16">
        <v>28</v>
      </c>
      <c r="GR15" s="16">
        <v>59</v>
      </c>
      <c r="GS15" s="16">
        <v>8</v>
      </c>
      <c r="GT15" s="16">
        <v>32</v>
      </c>
      <c r="GU15" s="16">
        <v>54</v>
      </c>
      <c r="GV15" s="16">
        <v>6</v>
      </c>
      <c r="GW15" s="16">
        <v>38</v>
      </c>
      <c r="GX15" s="16">
        <v>51</v>
      </c>
      <c r="GY15" s="16">
        <v>10</v>
      </c>
      <c r="GZ15" s="16">
        <v>32</v>
      </c>
      <c r="HA15" s="16">
        <v>55</v>
      </c>
      <c r="HB15" s="16">
        <v>17</v>
      </c>
      <c r="HC15" s="16">
        <v>29</v>
      </c>
      <c r="HD15" s="16">
        <v>65</v>
      </c>
      <c r="HE15" s="16">
        <v>19</v>
      </c>
      <c r="HF15" s="16">
        <v>25</v>
      </c>
      <c r="HG15" s="16">
        <v>63</v>
      </c>
      <c r="HH15" s="16">
        <v>25</v>
      </c>
      <c r="HI15" s="16">
        <v>30</v>
      </c>
      <c r="HJ15" s="16">
        <v>69</v>
      </c>
      <c r="HK15" s="16">
        <v>40</v>
      </c>
      <c r="HL15" s="16">
        <v>29</v>
      </c>
      <c r="HM15" s="16">
        <v>66</v>
      </c>
      <c r="HN15" s="16">
        <v>35</v>
      </c>
      <c r="HO15" s="16">
        <v>32</v>
      </c>
      <c r="HP15" s="16">
        <v>60</v>
      </c>
      <c r="HQ15" s="6">
        <v>32</v>
      </c>
      <c r="HR15" s="6">
        <v>30</v>
      </c>
      <c r="HS15" s="6">
        <v>54</v>
      </c>
      <c r="HT15" s="16">
        <v>67</v>
      </c>
      <c r="HU15" s="16">
        <v>38</v>
      </c>
      <c r="HV15" s="16">
        <v>61</v>
      </c>
      <c r="HW15" s="16">
        <v>57</v>
      </c>
      <c r="HX15" s="16">
        <v>41</v>
      </c>
      <c r="HY15" s="16">
        <v>62</v>
      </c>
      <c r="HZ15" s="87">
        <v>69</v>
      </c>
      <c r="IA15" s="16">
        <v>44</v>
      </c>
      <c r="IB15" s="16">
        <v>63</v>
      </c>
      <c r="IC15" s="6">
        <v>46</v>
      </c>
      <c r="ID15" s="6">
        <v>45</v>
      </c>
      <c r="IE15" s="6">
        <v>62</v>
      </c>
      <c r="IF15" s="14">
        <v>100</v>
      </c>
      <c r="IG15" s="16">
        <v>17</v>
      </c>
      <c r="IH15" s="16">
        <v>13</v>
      </c>
      <c r="II15" s="125">
        <v>18</v>
      </c>
      <c r="IJ15" s="125">
        <v>15</v>
      </c>
      <c r="IK15" s="125">
        <v>14</v>
      </c>
      <c r="IL15" s="126">
        <v>14</v>
      </c>
      <c r="IM15" s="126">
        <v>14</v>
      </c>
      <c r="IN15" s="126">
        <v>14</v>
      </c>
      <c r="IO15" s="126">
        <v>14</v>
      </c>
      <c r="IP15" s="126">
        <v>14</v>
      </c>
      <c r="IQ15" s="126">
        <v>14</v>
      </c>
      <c r="IR15" s="145">
        <v>14</v>
      </c>
      <c r="IS15" s="25">
        <v>100</v>
      </c>
      <c r="IT15" s="25">
        <v>100</v>
      </c>
      <c r="IU15" s="25">
        <v>100</v>
      </c>
      <c r="IV15" s="25">
        <v>100</v>
      </c>
      <c r="IW15" s="25">
        <v>100</v>
      </c>
      <c r="IX15" s="58">
        <f t="shared" si="0"/>
        <v>0</v>
      </c>
      <c r="IY15" s="2"/>
      <c r="IZ15" s="2"/>
      <c r="JA15" s="2"/>
      <c r="JB15" s="2"/>
      <c r="JC15" s="2"/>
    </row>
    <row r="16" spans="1:263" ht="13.5" customHeight="1">
      <c r="A16" s="55">
        <v>9</v>
      </c>
      <c r="B16" s="52" t="s">
        <v>100</v>
      </c>
      <c r="C16" s="5">
        <v>1600</v>
      </c>
      <c r="D16" s="32">
        <v>720</v>
      </c>
      <c r="E16" s="130">
        <v>1000</v>
      </c>
      <c r="F16" s="117"/>
      <c r="G16" s="53"/>
      <c r="H16" s="53"/>
      <c r="I16" s="53"/>
      <c r="J16" s="53"/>
      <c r="K16" s="53"/>
      <c r="L16" s="53"/>
      <c r="M16" s="53"/>
      <c r="N16" s="53"/>
      <c r="O16" s="122">
        <v>100</v>
      </c>
      <c r="P16" s="70">
        <v>100</v>
      </c>
      <c r="Q16" s="70">
        <v>100</v>
      </c>
      <c r="R16" s="122">
        <v>100</v>
      </c>
      <c r="S16" s="70">
        <v>100</v>
      </c>
      <c r="T16" s="70">
        <v>100</v>
      </c>
      <c r="U16" s="122">
        <v>100</v>
      </c>
      <c r="V16" s="70">
        <v>100</v>
      </c>
      <c r="W16" s="70">
        <v>100</v>
      </c>
      <c r="X16" s="122">
        <v>100</v>
      </c>
      <c r="Y16" s="70">
        <v>100</v>
      </c>
      <c r="Z16" s="70">
        <v>100</v>
      </c>
      <c r="AA16" s="122">
        <v>100</v>
      </c>
      <c r="AB16" s="70">
        <v>100</v>
      </c>
      <c r="AC16" s="70">
        <v>100</v>
      </c>
      <c r="AD16" s="122">
        <v>100</v>
      </c>
      <c r="AE16" s="70">
        <v>100</v>
      </c>
      <c r="AF16" s="70">
        <v>100</v>
      </c>
      <c r="AG16" s="122">
        <v>100</v>
      </c>
      <c r="AH16" s="70">
        <v>100</v>
      </c>
      <c r="AI16" s="70">
        <v>100</v>
      </c>
      <c r="AJ16" s="122">
        <v>100</v>
      </c>
      <c r="AK16" s="70">
        <v>100</v>
      </c>
      <c r="AL16" s="70">
        <v>100</v>
      </c>
      <c r="AM16" s="122">
        <v>100</v>
      </c>
      <c r="AN16" s="70">
        <v>100</v>
      </c>
      <c r="AO16" s="70">
        <v>100</v>
      </c>
      <c r="AP16" s="122">
        <v>100</v>
      </c>
      <c r="AQ16" s="70">
        <v>100</v>
      </c>
      <c r="AR16" s="70">
        <v>100</v>
      </c>
      <c r="AS16" s="122">
        <v>100</v>
      </c>
      <c r="AT16" s="70">
        <v>100</v>
      </c>
      <c r="AU16" s="70">
        <v>100</v>
      </c>
      <c r="AV16" s="122">
        <v>100</v>
      </c>
      <c r="AW16" s="70">
        <v>100</v>
      </c>
      <c r="AX16" s="70">
        <v>100</v>
      </c>
      <c r="AY16" s="122">
        <v>100</v>
      </c>
      <c r="AZ16" s="70">
        <v>100</v>
      </c>
      <c r="BA16" s="70">
        <v>100</v>
      </c>
      <c r="BB16" s="122">
        <v>100</v>
      </c>
      <c r="BC16" s="70">
        <v>100</v>
      </c>
      <c r="BD16" s="70">
        <v>100</v>
      </c>
      <c r="BE16" s="122">
        <v>100</v>
      </c>
      <c r="BF16" s="70">
        <v>100</v>
      </c>
      <c r="BG16" s="70">
        <v>100</v>
      </c>
      <c r="BH16" s="122">
        <v>100</v>
      </c>
      <c r="BI16" s="70">
        <v>100</v>
      </c>
      <c r="BJ16" s="70">
        <v>100</v>
      </c>
      <c r="BK16" s="122">
        <v>100</v>
      </c>
      <c r="BL16" s="70">
        <v>100</v>
      </c>
      <c r="BM16" s="70">
        <v>100</v>
      </c>
      <c r="BN16" s="122">
        <v>100</v>
      </c>
      <c r="BO16" s="70">
        <v>100</v>
      </c>
      <c r="BP16" s="70">
        <v>100</v>
      </c>
      <c r="BQ16" s="122">
        <v>100</v>
      </c>
      <c r="BR16" s="70">
        <v>100</v>
      </c>
      <c r="BS16" s="70">
        <v>100</v>
      </c>
      <c r="BT16" s="122">
        <v>100</v>
      </c>
      <c r="BU16" s="70">
        <v>100</v>
      </c>
      <c r="BV16" s="70">
        <v>100</v>
      </c>
      <c r="BW16" s="122">
        <v>100</v>
      </c>
      <c r="BX16" s="70">
        <v>100</v>
      </c>
      <c r="BY16" s="70">
        <v>100</v>
      </c>
      <c r="BZ16" s="122">
        <v>100</v>
      </c>
      <c r="CA16" s="70">
        <v>100</v>
      </c>
      <c r="CB16" s="70">
        <v>100</v>
      </c>
      <c r="CC16" s="122">
        <v>100</v>
      </c>
      <c r="CD16" s="70">
        <v>100</v>
      </c>
      <c r="CE16" s="70">
        <v>100</v>
      </c>
      <c r="CF16" s="122">
        <v>100</v>
      </c>
      <c r="CG16" s="70">
        <v>100</v>
      </c>
      <c r="CH16" s="70">
        <v>100</v>
      </c>
      <c r="CI16" s="122">
        <v>100</v>
      </c>
      <c r="CJ16" s="70">
        <v>100</v>
      </c>
      <c r="CK16" s="70">
        <v>100</v>
      </c>
      <c r="CL16" s="122">
        <v>100</v>
      </c>
      <c r="CM16" s="70">
        <v>100</v>
      </c>
      <c r="CN16" s="70">
        <v>100</v>
      </c>
      <c r="CO16" s="122">
        <v>100</v>
      </c>
      <c r="CP16" s="70">
        <v>100</v>
      </c>
      <c r="CQ16" s="70">
        <v>100</v>
      </c>
      <c r="CR16" s="122">
        <v>100</v>
      </c>
      <c r="CS16" s="70">
        <v>100</v>
      </c>
      <c r="CT16" s="70">
        <v>100</v>
      </c>
      <c r="CU16" s="122">
        <v>100</v>
      </c>
      <c r="CV16" s="70">
        <v>100</v>
      </c>
      <c r="CW16" s="70">
        <v>100</v>
      </c>
      <c r="CX16" s="114">
        <v>100</v>
      </c>
      <c r="CY16" s="115">
        <v>100</v>
      </c>
      <c r="CZ16" s="115">
        <v>100</v>
      </c>
      <c r="DA16" s="114">
        <v>100</v>
      </c>
      <c r="DB16" s="115">
        <v>100</v>
      </c>
      <c r="DC16" s="115">
        <v>100</v>
      </c>
      <c r="DD16" s="114">
        <v>100</v>
      </c>
      <c r="DE16" s="115">
        <v>100</v>
      </c>
      <c r="DF16" s="115">
        <v>100</v>
      </c>
      <c r="DG16" s="114">
        <v>100</v>
      </c>
      <c r="DH16" s="115">
        <v>100</v>
      </c>
      <c r="DI16" s="115">
        <v>100</v>
      </c>
      <c r="DJ16" s="114">
        <v>100</v>
      </c>
      <c r="DK16" s="115">
        <v>100</v>
      </c>
      <c r="DL16" s="115">
        <v>100</v>
      </c>
      <c r="DM16" s="114">
        <v>100</v>
      </c>
      <c r="DN16" s="115">
        <v>100</v>
      </c>
      <c r="DO16" s="115">
        <v>100</v>
      </c>
      <c r="DP16" s="114">
        <v>100</v>
      </c>
      <c r="DQ16" s="115">
        <v>100</v>
      </c>
      <c r="DR16" s="115">
        <v>100</v>
      </c>
      <c r="DS16" s="122">
        <v>100</v>
      </c>
      <c r="DT16" s="70">
        <v>100</v>
      </c>
      <c r="DU16" s="70">
        <v>100</v>
      </c>
      <c r="DV16" s="114">
        <v>100</v>
      </c>
      <c r="DW16" s="115">
        <v>100</v>
      </c>
      <c r="DX16" s="115">
        <v>100</v>
      </c>
      <c r="DY16" s="114">
        <v>100</v>
      </c>
      <c r="DZ16" s="115">
        <v>100</v>
      </c>
      <c r="EA16" s="115">
        <v>100</v>
      </c>
      <c r="EB16" s="114">
        <v>100</v>
      </c>
      <c r="EC16" s="115">
        <v>100</v>
      </c>
      <c r="ED16" s="115">
        <v>100</v>
      </c>
      <c r="EE16" s="114">
        <v>100</v>
      </c>
      <c r="EF16" s="115">
        <v>100</v>
      </c>
      <c r="EG16" s="115">
        <v>100</v>
      </c>
      <c r="EH16" s="114">
        <v>100</v>
      </c>
      <c r="EI16" s="115">
        <v>100</v>
      </c>
      <c r="EJ16" s="115">
        <v>100</v>
      </c>
      <c r="EK16" s="114">
        <v>100</v>
      </c>
      <c r="EL16" s="115">
        <v>100</v>
      </c>
      <c r="EM16" s="115">
        <v>100</v>
      </c>
      <c r="EN16" s="53">
        <v>92</v>
      </c>
      <c r="EO16" s="115">
        <v>100</v>
      </c>
      <c r="EP16" s="115">
        <v>100</v>
      </c>
      <c r="EQ16" s="53">
        <v>86</v>
      </c>
      <c r="ER16" s="115">
        <v>100</v>
      </c>
      <c r="ES16" s="115">
        <v>100</v>
      </c>
      <c r="ET16" s="53">
        <v>81</v>
      </c>
      <c r="EU16" s="115">
        <v>100</v>
      </c>
      <c r="EV16" s="54">
        <v>96</v>
      </c>
      <c r="EW16" s="53">
        <v>74</v>
      </c>
      <c r="EX16" s="115">
        <v>89</v>
      </c>
      <c r="EY16" s="54">
        <v>83</v>
      </c>
      <c r="EZ16" s="53">
        <v>68</v>
      </c>
      <c r="FA16" s="127">
        <v>85</v>
      </c>
      <c r="FB16" s="54">
        <v>75</v>
      </c>
      <c r="FC16" s="54">
        <v>71</v>
      </c>
      <c r="FD16" s="54">
        <v>82</v>
      </c>
      <c r="FE16" s="54">
        <v>66</v>
      </c>
      <c r="FF16" s="54">
        <v>67</v>
      </c>
      <c r="FG16" s="54">
        <v>80</v>
      </c>
      <c r="FH16" s="54">
        <v>61</v>
      </c>
      <c r="FI16" s="54">
        <v>62</v>
      </c>
      <c r="FJ16" s="54">
        <v>73</v>
      </c>
      <c r="FK16" s="54">
        <v>60</v>
      </c>
      <c r="FL16" s="54">
        <v>58</v>
      </c>
      <c r="FM16" s="54">
        <v>70</v>
      </c>
      <c r="FN16" s="54">
        <v>65</v>
      </c>
      <c r="FO16" s="6">
        <v>53</v>
      </c>
      <c r="FP16" s="6">
        <v>64</v>
      </c>
      <c r="FQ16" s="6">
        <v>62</v>
      </c>
      <c r="FR16" s="16">
        <v>45</v>
      </c>
      <c r="FS16" s="16">
        <v>63</v>
      </c>
      <c r="FT16" s="16">
        <v>60</v>
      </c>
      <c r="FU16" s="16">
        <v>54</v>
      </c>
      <c r="FV16" s="16">
        <v>69</v>
      </c>
      <c r="FW16" s="16">
        <v>54</v>
      </c>
      <c r="FX16" s="16">
        <v>58</v>
      </c>
      <c r="FY16" s="16">
        <v>63</v>
      </c>
      <c r="FZ16" s="16">
        <v>52</v>
      </c>
      <c r="GA16" s="16">
        <v>51</v>
      </c>
      <c r="GB16" s="16">
        <v>62</v>
      </c>
      <c r="GC16" s="16">
        <v>56</v>
      </c>
      <c r="GD16" s="16">
        <v>68</v>
      </c>
      <c r="GE16" s="16">
        <v>56</v>
      </c>
      <c r="GF16" s="16">
        <v>52</v>
      </c>
      <c r="GG16" s="16">
        <v>66</v>
      </c>
      <c r="GH16" s="16">
        <v>54</v>
      </c>
      <c r="GI16" s="16">
        <v>58</v>
      </c>
      <c r="GJ16" s="16">
        <v>69</v>
      </c>
      <c r="GK16" s="16">
        <v>62</v>
      </c>
      <c r="GL16" s="16">
        <v>71</v>
      </c>
      <c r="GM16" s="16">
        <v>63</v>
      </c>
      <c r="GN16" s="16">
        <v>65</v>
      </c>
      <c r="GO16" s="16">
        <v>66</v>
      </c>
      <c r="GP16" s="16">
        <v>72</v>
      </c>
      <c r="GQ16" s="16">
        <v>61</v>
      </c>
      <c r="GR16" s="16">
        <v>64</v>
      </c>
      <c r="GS16" s="16">
        <v>68</v>
      </c>
      <c r="GT16" s="16">
        <v>60</v>
      </c>
      <c r="GU16" s="16">
        <v>66</v>
      </c>
      <c r="GV16" s="84">
        <v>12</v>
      </c>
      <c r="GW16" s="16">
        <v>55</v>
      </c>
      <c r="GX16" s="16">
        <v>68</v>
      </c>
      <c r="GY16" s="84">
        <v>91</v>
      </c>
      <c r="GZ16" s="14">
        <v>100</v>
      </c>
      <c r="HA16" s="16">
        <v>61</v>
      </c>
      <c r="HB16" s="84">
        <v>85</v>
      </c>
      <c r="HC16" s="14">
        <v>100</v>
      </c>
      <c r="HD16" s="16">
        <v>67</v>
      </c>
      <c r="HE16" s="84">
        <v>80</v>
      </c>
      <c r="HF16" s="14">
        <v>100</v>
      </c>
      <c r="HG16" s="16">
        <v>61</v>
      </c>
      <c r="HH16" s="84">
        <v>76</v>
      </c>
      <c r="HI16" s="14">
        <v>100</v>
      </c>
      <c r="HJ16" s="16">
        <v>58</v>
      </c>
      <c r="HK16" s="16">
        <v>74</v>
      </c>
      <c r="HL16" s="14">
        <v>100</v>
      </c>
      <c r="HM16" s="16">
        <v>53</v>
      </c>
      <c r="HN16" s="16">
        <v>78</v>
      </c>
      <c r="HO16" s="14">
        <v>100</v>
      </c>
      <c r="HP16" s="16">
        <v>46</v>
      </c>
      <c r="HQ16" s="6">
        <v>73</v>
      </c>
      <c r="HR16" s="34">
        <v>100</v>
      </c>
      <c r="HS16" s="6">
        <v>50</v>
      </c>
      <c r="HT16" s="16">
        <v>70</v>
      </c>
      <c r="HU16" s="14">
        <v>100</v>
      </c>
      <c r="HV16" s="16">
        <v>54</v>
      </c>
      <c r="HW16" s="16">
        <v>83</v>
      </c>
      <c r="HX16" s="14">
        <v>100</v>
      </c>
      <c r="HY16" s="16">
        <v>52</v>
      </c>
      <c r="HZ16" s="87">
        <v>80</v>
      </c>
      <c r="IA16" s="14">
        <v>100</v>
      </c>
      <c r="IB16" s="16">
        <v>51</v>
      </c>
      <c r="IC16" s="34">
        <v>100</v>
      </c>
      <c r="ID16" s="34">
        <v>100</v>
      </c>
      <c r="IE16" s="6">
        <v>52</v>
      </c>
      <c r="IF16" s="16">
        <v>89</v>
      </c>
      <c r="IG16" s="16">
        <v>51</v>
      </c>
      <c r="IH16" s="16">
        <v>59</v>
      </c>
      <c r="II16" s="16">
        <v>57</v>
      </c>
      <c r="IJ16" s="16">
        <v>52</v>
      </c>
      <c r="IK16" s="16">
        <v>46</v>
      </c>
      <c r="IL16" s="14">
        <v>46</v>
      </c>
      <c r="IM16" s="14">
        <v>46</v>
      </c>
      <c r="IN16" s="14">
        <v>46</v>
      </c>
      <c r="IO16" s="14">
        <v>100</v>
      </c>
      <c r="IP16" s="16">
        <v>77</v>
      </c>
      <c r="IQ16" s="16">
        <v>80</v>
      </c>
      <c r="IR16" s="25">
        <v>80</v>
      </c>
      <c r="IS16" s="25">
        <v>100</v>
      </c>
      <c r="IT16" s="25">
        <v>100</v>
      </c>
      <c r="IU16" s="25">
        <v>100</v>
      </c>
      <c r="IV16" s="25">
        <v>100</v>
      </c>
      <c r="IW16" s="25">
        <v>100</v>
      </c>
      <c r="IX16" s="58">
        <f t="shared" si="0"/>
        <v>0</v>
      </c>
      <c r="IY16" s="2"/>
      <c r="IZ16" s="2"/>
      <c r="JA16" s="2"/>
      <c r="JB16" s="2"/>
      <c r="JC16" s="2"/>
    </row>
    <row r="17" spans="1:263" ht="13.5" customHeight="1">
      <c r="A17" s="55">
        <v>10</v>
      </c>
      <c r="B17" s="52" t="s">
        <v>101</v>
      </c>
      <c r="C17" s="5">
        <v>2400</v>
      </c>
      <c r="D17" s="32">
        <v>1600</v>
      </c>
      <c r="E17" s="130">
        <v>1600</v>
      </c>
      <c r="F17" s="117"/>
      <c r="G17" s="53"/>
      <c r="H17" s="53"/>
      <c r="I17" s="53"/>
      <c r="J17" s="53"/>
      <c r="K17" s="53"/>
      <c r="L17" s="53"/>
      <c r="M17" s="53"/>
      <c r="N17" s="53"/>
      <c r="O17" s="122">
        <v>100</v>
      </c>
      <c r="P17" s="70">
        <v>100</v>
      </c>
      <c r="Q17" s="70">
        <v>100</v>
      </c>
      <c r="R17" s="122">
        <v>100</v>
      </c>
      <c r="S17" s="70">
        <v>100</v>
      </c>
      <c r="T17" s="70">
        <v>100</v>
      </c>
      <c r="U17" s="122">
        <v>100</v>
      </c>
      <c r="V17" s="70">
        <v>100</v>
      </c>
      <c r="W17" s="70">
        <v>100</v>
      </c>
      <c r="X17" s="122">
        <v>100</v>
      </c>
      <c r="Y17" s="70">
        <v>100</v>
      </c>
      <c r="Z17" s="70">
        <v>100</v>
      </c>
      <c r="AA17" s="122">
        <v>100</v>
      </c>
      <c r="AB17" s="70">
        <v>100</v>
      </c>
      <c r="AC17" s="70">
        <v>100</v>
      </c>
      <c r="AD17" s="122">
        <v>100</v>
      </c>
      <c r="AE17" s="70">
        <v>100</v>
      </c>
      <c r="AF17" s="70">
        <v>100</v>
      </c>
      <c r="AG17" s="122">
        <v>100</v>
      </c>
      <c r="AH17" s="70">
        <v>100</v>
      </c>
      <c r="AI17" s="70">
        <v>100</v>
      </c>
      <c r="AJ17" s="122">
        <v>100</v>
      </c>
      <c r="AK17" s="70">
        <v>100</v>
      </c>
      <c r="AL17" s="70">
        <v>100</v>
      </c>
      <c r="AM17" s="122">
        <v>100</v>
      </c>
      <c r="AN17" s="70">
        <v>100</v>
      </c>
      <c r="AO17" s="70">
        <v>100</v>
      </c>
      <c r="AP17" s="122">
        <v>100</v>
      </c>
      <c r="AQ17" s="70">
        <v>100</v>
      </c>
      <c r="AR17" s="70">
        <v>100</v>
      </c>
      <c r="AS17" s="122">
        <v>100</v>
      </c>
      <c r="AT17" s="70">
        <v>100</v>
      </c>
      <c r="AU17" s="70">
        <v>100</v>
      </c>
      <c r="AV17" s="122">
        <v>100</v>
      </c>
      <c r="AW17" s="70">
        <v>100</v>
      </c>
      <c r="AX17" s="70">
        <v>100</v>
      </c>
      <c r="AY17" s="122">
        <v>100</v>
      </c>
      <c r="AZ17" s="70">
        <v>100</v>
      </c>
      <c r="BA17" s="70">
        <v>100</v>
      </c>
      <c r="BB17" s="122">
        <v>100</v>
      </c>
      <c r="BC17" s="70">
        <v>100</v>
      </c>
      <c r="BD17" s="70">
        <v>100</v>
      </c>
      <c r="BE17" s="122">
        <v>100</v>
      </c>
      <c r="BF17" s="70">
        <v>100</v>
      </c>
      <c r="BG17" s="70">
        <v>100</v>
      </c>
      <c r="BH17" s="122">
        <v>100</v>
      </c>
      <c r="BI17" s="70">
        <v>100</v>
      </c>
      <c r="BJ17" s="70">
        <v>100</v>
      </c>
      <c r="BK17" s="122">
        <v>100</v>
      </c>
      <c r="BL17" s="70">
        <v>100</v>
      </c>
      <c r="BM17" s="70">
        <v>100</v>
      </c>
      <c r="BN17" s="122">
        <v>100</v>
      </c>
      <c r="BO17" s="70">
        <v>100</v>
      </c>
      <c r="BP17" s="70">
        <v>100</v>
      </c>
      <c r="BQ17" s="122">
        <v>100</v>
      </c>
      <c r="BR17" s="70">
        <v>100</v>
      </c>
      <c r="BS17" s="70">
        <v>100</v>
      </c>
      <c r="BT17" s="122">
        <v>100</v>
      </c>
      <c r="BU17" s="70">
        <v>100</v>
      </c>
      <c r="BV17" s="70">
        <v>100</v>
      </c>
      <c r="BW17" s="122">
        <v>100</v>
      </c>
      <c r="BX17" s="70">
        <v>100</v>
      </c>
      <c r="BY17" s="70">
        <v>100</v>
      </c>
      <c r="BZ17" s="122">
        <v>100</v>
      </c>
      <c r="CA17" s="70">
        <v>100</v>
      </c>
      <c r="CB17" s="70">
        <v>100</v>
      </c>
      <c r="CC17" s="122">
        <v>100</v>
      </c>
      <c r="CD17" s="70">
        <v>100</v>
      </c>
      <c r="CE17" s="70">
        <v>100</v>
      </c>
      <c r="CF17" s="122">
        <v>100</v>
      </c>
      <c r="CG17" s="70">
        <v>100</v>
      </c>
      <c r="CH17" s="70">
        <v>100</v>
      </c>
      <c r="CI17" s="122">
        <v>100</v>
      </c>
      <c r="CJ17" s="70">
        <v>100</v>
      </c>
      <c r="CK17" s="70">
        <v>100</v>
      </c>
      <c r="CL17" s="122">
        <v>100</v>
      </c>
      <c r="CM17" s="70">
        <v>100</v>
      </c>
      <c r="CN17" s="70">
        <v>100</v>
      </c>
      <c r="CO17" s="122">
        <v>100</v>
      </c>
      <c r="CP17" s="70">
        <v>100</v>
      </c>
      <c r="CQ17" s="70">
        <v>100</v>
      </c>
      <c r="CR17" s="122">
        <v>100</v>
      </c>
      <c r="CS17" s="70">
        <v>100</v>
      </c>
      <c r="CT17" s="70">
        <v>100</v>
      </c>
      <c r="CU17" s="122">
        <v>100</v>
      </c>
      <c r="CV17" s="70">
        <v>100</v>
      </c>
      <c r="CW17" s="70">
        <v>100</v>
      </c>
      <c r="CX17" s="114">
        <v>100</v>
      </c>
      <c r="CY17" s="115">
        <v>100</v>
      </c>
      <c r="CZ17" s="115">
        <v>100</v>
      </c>
      <c r="DA17" s="114">
        <v>100</v>
      </c>
      <c r="DB17" s="115">
        <v>100</v>
      </c>
      <c r="DC17" s="115">
        <v>100</v>
      </c>
      <c r="DD17" s="114">
        <v>100</v>
      </c>
      <c r="DE17" s="115">
        <v>100</v>
      </c>
      <c r="DF17" s="115">
        <v>100</v>
      </c>
      <c r="DG17" s="114">
        <v>100</v>
      </c>
      <c r="DH17" s="115">
        <v>100</v>
      </c>
      <c r="DI17" s="115">
        <v>100</v>
      </c>
      <c r="DJ17" s="114">
        <v>100</v>
      </c>
      <c r="DK17" s="115">
        <v>100</v>
      </c>
      <c r="DL17" s="115">
        <v>100</v>
      </c>
      <c r="DM17" s="114">
        <v>100</v>
      </c>
      <c r="DN17" s="115">
        <v>100</v>
      </c>
      <c r="DO17" s="115">
        <v>100</v>
      </c>
      <c r="DP17" s="114">
        <v>100</v>
      </c>
      <c r="DQ17" s="115">
        <v>100</v>
      </c>
      <c r="DR17" s="115">
        <v>100</v>
      </c>
      <c r="DS17" s="122">
        <v>100</v>
      </c>
      <c r="DT17" s="70">
        <v>100</v>
      </c>
      <c r="DU17" s="70">
        <v>100</v>
      </c>
      <c r="DV17" s="53">
        <v>93</v>
      </c>
      <c r="DW17" s="70">
        <v>100</v>
      </c>
      <c r="DX17" s="70">
        <v>100</v>
      </c>
      <c r="DY17" s="53">
        <v>85</v>
      </c>
      <c r="DZ17" s="70">
        <v>100</v>
      </c>
      <c r="EA17" s="54">
        <v>89</v>
      </c>
      <c r="EB17" s="53">
        <v>76</v>
      </c>
      <c r="EC17" s="54">
        <v>85</v>
      </c>
      <c r="ED17" s="54">
        <v>92</v>
      </c>
      <c r="EE17" s="53">
        <v>74</v>
      </c>
      <c r="EF17" s="54">
        <v>83</v>
      </c>
      <c r="EG17" s="54">
        <v>86</v>
      </c>
      <c r="EH17" s="53">
        <v>72</v>
      </c>
      <c r="EI17" s="54">
        <v>80</v>
      </c>
      <c r="EJ17" s="54">
        <v>83</v>
      </c>
      <c r="EK17" s="53">
        <v>68</v>
      </c>
      <c r="EL17" s="54">
        <v>72</v>
      </c>
      <c r="EM17" s="54">
        <v>80</v>
      </c>
      <c r="EN17" s="53">
        <v>66</v>
      </c>
      <c r="EO17" s="54">
        <v>70</v>
      </c>
      <c r="EP17" s="54">
        <v>73</v>
      </c>
      <c r="EQ17" s="53">
        <v>63</v>
      </c>
      <c r="ER17" s="54">
        <v>67</v>
      </c>
      <c r="ES17" s="54">
        <v>71</v>
      </c>
      <c r="ET17" s="53">
        <v>57</v>
      </c>
      <c r="EU17" s="54">
        <v>62</v>
      </c>
      <c r="EV17" s="54">
        <v>68</v>
      </c>
      <c r="EW17" s="53">
        <v>52</v>
      </c>
      <c r="EX17" s="54">
        <v>57</v>
      </c>
      <c r="EY17" s="54">
        <v>66</v>
      </c>
      <c r="EZ17" s="53">
        <v>65</v>
      </c>
      <c r="FA17" s="54">
        <v>59</v>
      </c>
      <c r="FB17" s="54">
        <v>62</v>
      </c>
      <c r="FC17" s="54">
        <v>60</v>
      </c>
      <c r="FD17" s="54">
        <v>65</v>
      </c>
      <c r="FE17" s="54">
        <v>75</v>
      </c>
      <c r="FF17" s="54">
        <v>81</v>
      </c>
      <c r="FG17" s="54">
        <v>63</v>
      </c>
      <c r="FH17" s="54">
        <v>66</v>
      </c>
      <c r="FI17" s="54">
        <v>75</v>
      </c>
      <c r="FJ17" s="54">
        <v>58</v>
      </c>
      <c r="FK17" s="54">
        <v>64</v>
      </c>
      <c r="FL17" s="54">
        <v>71</v>
      </c>
      <c r="FM17" s="54">
        <v>55</v>
      </c>
      <c r="FN17" s="54">
        <v>62</v>
      </c>
      <c r="FO17" s="6">
        <v>68</v>
      </c>
      <c r="FP17" s="6">
        <v>59</v>
      </c>
      <c r="FQ17" s="6">
        <v>65</v>
      </c>
      <c r="FR17" s="16">
        <v>75</v>
      </c>
      <c r="FS17" s="16">
        <v>53</v>
      </c>
      <c r="FT17" s="16">
        <v>62</v>
      </c>
      <c r="FU17" s="16">
        <v>71</v>
      </c>
      <c r="FV17" s="16">
        <v>55</v>
      </c>
      <c r="FW17" s="16">
        <v>58</v>
      </c>
      <c r="FX17" s="16">
        <v>70</v>
      </c>
      <c r="FY17" s="16">
        <v>52</v>
      </c>
      <c r="FZ17" s="16">
        <v>55</v>
      </c>
      <c r="GA17" s="16">
        <v>67</v>
      </c>
      <c r="GB17" s="16">
        <v>51</v>
      </c>
      <c r="GC17" s="16">
        <v>53</v>
      </c>
      <c r="GD17" s="16">
        <v>63</v>
      </c>
      <c r="GE17" s="16">
        <v>58</v>
      </c>
      <c r="GF17" s="16">
        <v>55</v>
      </c>
      <c r="GG17" s="16">
        <v>61</v>
      </c>
      <c r="GH17" s="16">
        <v>55</v>
      </c>
      <c r="GI17" s="16">
        <v>52</v>
      </c>
      <c r="GJ17" s="16">
        <v>58</v>
      </c>
      <c r="GK17" s="16">
        <v>54</v>
      </c>
      <c r="GL17" s="16">
        <v>46</v>
      </c>
      <c r="GM17" s="16">
        <v>67</v>
      </c>
      <c r="GN17" s="16">
        <v>58</v>
      </c>
      <c r="GO17" s="16">
        <v>60</v>
      </c>
      <c r="GP17" s="16">
        <v>65</v>
      </c>
      <c r="GQ17" s="16">
        <v>52</v>
      </c>
      <c r="GR17" s="16">
        <v>55</v>
      </c>
      <c r="GS17" s="16">
        <v>63</v>
      </c>
      <c r="GT17" s="16">
        <v>55</v>
      </c>
      <c r="GU17" s="16">
        <v>59</v>
      </c>
      <c r="GV17" s="16">
        <v>72</v>
      </c>
      <c r="GW17" s="16">
        <v>57</v>
      </c>
      <c r="GX17" s="16">
        <v>55</v>
      </c>
      <c r="GY17" s="16">
        <v>89</v>
      </c>
      <c r="GZ17" s="16">
        <v>52</v>
      </c>
      <c r="HA17" s="16">
        <v>50</v>
      </c>
      <c r="HB17" s="16">
        <v>84</v>
      </c>
      <c r="HC17" s="16">
        <v>67</v>
      </c>
      <c r="HD17" s="16">
        <v>44</v>
      </c>
      <c r="HE17" s="16">
        <v>76</v>
      </c>
      <c r="HF17" s="16">
        <v>69</v>
      </c>
      <c r="HG17" s="16">
        <v>48</v>
      </c>
      <c r="HH17" s="16">
        <v>74</v>
      </c>
      <c r="HI17" s="16">
        <v>65</v>
      </c>
      <c r="HJ17" s="16">
        <v>42</v>
      </c>
      <c r="HK17" s="16">
        <v>71</v>
      </c>
      <c r="HL17" s="16">
        <v>74</v>
      </c>
      <c r="HM17" s="16">
        <v>38</v>
      </c>
      <c r="HN17" s="16">
        <v>63</v>
      </c>
      <c r="HO17" s="16">
        <v>72</v>
      </c>
      <c r="HP17" s="16">
        <v>37</v>
      </c>
      <c r="HQ17" s="34">
        <v>100</v>
      </c>
      <c r="HR17" s="6">
        <v>75</v>
      </c>
      <c r="HS17" s="6">
        <v>32</v>
      </c>
      <c r="HT17" s="14">
        <v>100</v>
      </c>
      <c r="HU17" s="16">
        <v>71</v>
      </c>
      <c r="HV17" s="16">
        <v>30</v>
      </c>
      <c r="HW17" s="14">
        <v>100</v>
      </c>
      <c r="HX17" s="16">
        <v>72</v>
      </c>
      <c r="HY17" s="16">
        <v>36</v>
      </c>
      <c r="HZ17" s="14">
        <v>100</v>
      </c>
      <c r="IA17" s="16">
        <v>68</v>
      </c>
      <c r="IB17" s="16">
        <v>35</v>
      </c>
      <c r="IC17" s="34">
        <v>100</v>
      </c>
      <c r="ID17" s="6">
        <v>62</v>
      </c>
      <c r="IE17" s="6">
        <v>35</v>
      </c>
      <c r="IF17" s="14">
        <v>100</v>
      </c>
      <c r="IG17" s="14">
        <v>100</v>
      </c>
      <c r="IH17" s="14">
        <v>100</v>
      </c>
      <c r="II17" s="14">
        <v>100</v>
      </c>
      <c r="IJ17" s="14">
        <v>100</v>
      </c>
      <c r="IK17" s="14">
        <v>100</v>
      </c>
      <c r="IL17" s="14">
        <v>100</v>
      </c>
      <c r="IM17" s="14">
        <v>100</v>
      </c>
      <c r="IN17" s="14">
        <v>100</v>
      </c>
      <c r="IO17" s="14">
        <v>100</v>
      </c>
      <c r="IP17" s="14">
        <v>100</v>
      </c>
      <c r="IQ17" s="14">
        <v>100</v>
      </c>
      <c r="IR17" s="25">
        <v>100</v>
      </c>
      <c r="IS17" s="25">
        <v>100</v>
      </c>
      <c r="IT17" s="25">
        <v>100</v>
      </c>
      <c r="IU17" s="25">
        <v>100</v>
      </c>
      <c r="IV17" s="25">
        <v>100</v>
      </c>
      <c r="IW17" s="25">
        <v>100</v>
      </c>
      <c r="IX17" s="58">
        <f t="shared" si="0"/>
        <v>0</v>
      </c>
      <c r="IY17" s="2"/>
      <c r="IZ17" s="174"/>
      <c r="JA17" s="2"/>
      <c r="JB17" s="2"/>
      <c r="JC17" s="2"/>
    </row>
    <row r="18" spans="1:263" ht="13.5" customHeight="1">
      <c r="A18" s="55">
        <v>11</v>
      </c>
      <c r="B18" s="52" t="s">
        <v>102</v>
      </c>
      <c r="C18" s="5">
        <v>4400</v>
      </c>
      <c r="D18" s="5">
        <v>5400</v>
      </c>
      <c r="E18" s="130">
        <v>8100</v>
      </c>
      <c r="F18" s="117"/>
      <c r="G18" s="53"/>
      <c r="H18" s="53"/>
      <c r="I18" s="53"/>
      <c r="J18" s="53"/>
      <c r="K18" s="53"/>
      <c r="L18" s="53"/>
      <c r="M18" s="53"/>
      <c r="N18" s="53"/>
      <c r="O18" s="122">
        <v>100</v>
      </c>
      <c r="P18" s="70">
        <v>100</v>
      </c>
      <c r="Q18" s="70">
        <v>100</v>
      </c>
      <c r="R18" s="122">
        <v>100</v>
      </c>
      <c r="S18" s="70">
        <v>100</v>
      </c>
      <c r="T18" s="70">
        <v>100</v>
      </c>
      <c r="U18" s="122">
        <v>100</v>
      </c>
      <c r="V18" s="70">
        <v>100</v>
      </c>
      <c r="W18" s="70">
        <v>100</v>
      </c>
      <c r="X18" s="122">
        <v>100</v>
      </c>
      <c r="Y18" s="70">
        <v>100</v>
      </c>
      <c r="Z18" s="70">
        <v>100</v>
      </c>
      <c r="AA18" s="122">
        <v>100</v>
      </c>
      <c r="AB18" s="70">
        <v>100</v>
      </c>
      <c r="AC18" s="70">
        <v>100</v>
      </c>
      <c r="AD18" s="122">
        <v>100</v>
      </c>
      <c r="AE18" s="70">
        <v>100</v>
      </c>
      <c r="AF18" s="70">
        <v>100</v>
      </c>
      <c r="AG18" s="122">
        <v>100</v>
      </c>
      <c r="AH18" s="70">
        <v>100</v>
      </c>
      <c r="AI18" s="70">
        <v>100</v>
      </c>
      <c r="AJ18" s="122">
        <v>100</v>
      </c>
      <c r="AK18" s="70">
        <v>100</v>
      </c>
      <c r="AL18" s="70">
        <v>100</v>
      </c>
      <c r="AM18" s="122">
        <v>100</v>
      </c>
      <c r="AN18" s="70">
        <v>100</v>
      </c>
      <c r="AO18" s="70">
        <v>100</v>
      </c>
      <c r="AP18" s="122">
        <v>100</v>
      </c>
      <c r="AQ18" s="70">
        <v>100</v>
      </c>
      <c r="AR18" s="70">
        <v>100</v>
      </c>
      <c r="AS18" s="122">
        <v>100</v>
      </c>
      <c r="AT18" s="70">
        <v>100</v>
      </c>
      <c r="AU18" s="70">
        <v>100</v>
      </c>
      <c r="AV18" s="122">
        <v>100</v>
      </c>
      <c r="AW18" s="70">
        <v>100</v>
      </c>
      <c r="AX18" s="70">
        <v>100</v>
      </c>
      <c r="AY18" s="122">
        <v>100</v>
      </c>
      <c r="AZ18" s="70">
        <v>100</v>
      </c>
      <c r="BA18" s="70">
        <v>100</v>
      </c>
      <c r="BB18" s="122">
        <v>100</v>
      </c>
      <c r="BC18" s="70">
        <v>100</v>
      </c>
      <c r="BD18" s="70">
        <v>100</v>
      </c>
      <c r="BE18" s="122">
        <v>100</v>
      </c>
      <c r="BF18" s="70">
        <v>100</v>
      </c>
      <c r="BG18" s="70">
        <v>100</v>
      </c>
      <c r="BH18" s="122">
        <v>100</v>
      </c>
      <c r="BI18" s="70">
        <v>100</v>
      </c>
      <c r="BJ18" s="70">
        <v>100</v>
      </c>
      <c r="BK18" s="122">
        <v>100</v>
      </c>
      <c r="BL18" s="70">
        <v>100</v>
      </c>
      <c r="BM18" s="70">
        <v>100</v>
      </c>
      <c r="BN18" s="122">
        <v>100</v>
      </c>
      <c r="BO18" s="70">
        <v>100</v>
      </c>
      <c r="BP18" s="70">
        <v>100</v>
      </c>
      <c r="BQ18" s="122">
        <v>100</v>
      </c>
      <c r="BR18" s="70">
        <v>100</v>
      </c>
      <c r="BS18" s="70">
        <v>100</v>
      </c>
      <c r="BT18" s="122">
        <v>100</v>
      </c>
      <c r="BU18" s="70">
        <v>100</v>
      </c>
      <c r="BV18" s="70">
        <v>100</v>
      </c>
      <c r="BW18" s="122">
        <v>100</v>
      </c>
      <c r="BX18" s="70">
        <v>100</v>
      </c>
      <c r="BY18" s="70">
        <v>100</v>
      </c>
      <c r="BZ18" s="122">
        <v>100</v>
      </c>
      <c r="CA18" s="70">
        <v>100</v>
      </c>
      <c r="CB18" s="70">
        <v>100</v>
      </c>
      <c r="CC18" s="122">
        <v>100</v>
      </c>
      <c r="CD18" s="70">
        <v>100</v>
      </c>
      <c r="CE18" s="70">
        <v>100</v>
      </c>
      <c r="CF18" s="122">
        <v>100</v>
      </c>
      <c r="CG18" s="70">
        <v>100</v>
      </c>
      <c r="CH18" s="70">
        <v>100</v>
      </c>
      <c r="CI18" s="53">
        <v>88</v>
      </c>
      <c r="CJ18" s="70">
        <v>100</v>
      </c>
      <c r="CK18" s="70">
        <v>100</v>
      </c>
      <c r="CL18" s="53">
        <v>84</v>
      </c>
      <c r="CM18" s="70">
        <v>100</v>
      </c>
      <c r="CN18" s="54">
        <v>91</v>
      </c>
      <c r="CO18" s="53">
        <v>73</v>
      </c>
      <c r="CP18" s="70">
        <v>100</v>
      </c>
      <c r="CQ18" s="54">
        <v>82</v>
      </c>
      <c r="CR18" s="53">
        <v>71</v>
      </c>
      <c r="CS18" s="70">
        <v>100</v>
      </c>
      <c r="CT18" s="54">
        <v>75</v>
      </c>
      <c r="CU18" s="53">
        <v>68</v>
      </c>
      <c r="CV18" s="54">
        <v>84</v>
      </c>
      <c r="CW18" s="54">
        <v>72</v>
      </c>
      <c r="CX18" s="53">
        <v>71</v>
      </c>
      <c r="CY18" s="54">
        <v>80</v>
      </c>
      <c r="CZ18" s="54">
        <v>63</v>
      </c>
      <c r="DA18" s="53">
        <v>69</v>
      </c>
      <c r="DB18" s="54">
        <v>73</v>
      </c>
      <c r="DC18" s="54">
        <v>61</v>
      </c>
      <c r="DD18" s="53">
        <v>78</v>
      </c>
      <c r="DE18" s="54">
        <v>67</v>
      </c>
      <c r="DF18" s="54">
        <v>53</v>
      </c>
      <c r="DG18" s="53">
        <v>66</v>
      </c>
      <c r="DH18" s="54">
        <v>69</v>
      </c>
      <c r="DI18" s="54">
        <v>52</v>
      </c>
      <c r="DJ18" s="53">
        <v>63</v>
      </c>
      <c r="DK18" s="54">
        <v>66</v>
      </c>
      <c r="DL18" s="54">
        <v>58</v>
      </c>
      <c r="DM18" s="53">
        <v>53</v>
      </c>
      <c r="DN18" s="54">
        <v>61</v>
      </c>
      <c r="DO18" s="54">
        <v>52</v>
      </c>
      <c r="DP18" s="53">
        <v>48</v>
      </c>
      <c r="DQ18" s="54">
        <v>52</v>
      </c>
      <c r="DR18" s="54">
        <v>44</v>
      </c>
      <c r="DS18" s="53">
        <v>56</v>
      </c>
      <c r="DT18" s="54">
        <v>46</v>
      </c>
      <c r="DU18" s="54">
        <v>43</v>
      </c>
      <c r="DV18" s="53">
        <v>53</v>
      </c>
      <c r="DW18" s="54">
        <v>44</v>
      </c>
      <c r="DX18" s="54">
        <v>46</v>
      </c>
      <c r="DY18" s="53">
        <v>58</v>
      </c>
      <c r="DZ18" s="54">
        <v>42</v>
      </c>
      <c r="EA18" s="54">
        <v>49</v>
      </c>
      <c r="EB18" s="53">
        <v>53</v>
      </c>
      <c r="EC18" s="54">
        <v>46</v>
      </c>
      <c r="ED18" s="54">
        <v>52</v>
      </c>
      <c r="EE18" s="53">
        <v>49</v>
      </c>
      <c r="EF18" s="54">
        <v>43</v>
      </c>
      <c r="EG18" s="54">
        <v>57</v>
      </c>
      <c r="EH18" s="53">
        <v>57</v>
      </c>
      <c r="EI18" s="54">
        <v>48</v>
      </c>
      <c r="EJ18" s="54">
        <v>56</v>
      </c>
      <c r="EK18" s="53">
        <v>66</v>
      </c>
      <c r="EL18" s="54">
        <v>50</v>
      </c>
      <c r="EM18" s="54">
        <v>52</v>
      </c>
      <c r="EN18" s="53">
        <v>69</v>
      </c>
      <c r="EO18" s="54">
        <v>53</v>
      </c>
      <c r="EP18" s="54">
        <v>62</v>
      </c>
      <c r="EQ18" s="53">
        <v>65</v>
      </c>
      <c r="ER18" s="54">
        <v>58</v>
      </c>
      <c r="ES18" s="54">
        <v>60</v>
      </c>
      <c r="ET18" s="53">
        <v>63</v>
      </c>
      <c r="EU18" s="54">
        <v>55</v>
      </c>
      <c r="EV18" s="54">
        <v>63</v>
      </c>
      <c r="EW18" s="53">
        <v>58</v>
      </c>
      <c r="EX18" s="54">
        <v>48</v>
      </c>
      <c r="EY18" s="54">
        <v>69</v>
      </c>
      <c r="EZ18" s="53">
        <v>52</v>
      </c>
      <c r="FA18" s="54">
        <v>43</v>
      </c>
      <c r="FB18" s="54">
        <v>61</v>
      </c>
      <c r="FC18" s="54">
        <v>50</v>
      </c>
      <c r="FD18" s="54">
        <v>47</v>
      </c>
      <c r="FE18" s="54">
        <v>59</v>
      </c>
      <c r="FF18" s="54">
        <v>55</v>
      </c>
      <c r="FG18" s="54">
        <v>45</v>
      </c>
      <c r="FH18" s="54">
        <v>53</v>
      </c>
      <c r="FI18" s="54">
        <v>55</v>
      </c>
      <c r="FJ18" s="54">
        <v>43</v>
      </c>
      <c r="FK18" s="54">
        <v>56</v>
      </c>
      <c r="FL18" s="54">
        <v>62</v>
      </c>
      <c r="FM18" s="54">
        <v>40</v>
      </c>
      <c r="FN18" s="54">
        <v>55</v>
      </c>
      <c r="FO18" s="6">
        <v>65</v>
      </c>
      <c r="FP18" s="6">
        <v>43</v>
      </c>
      <c r="FQ18" s="6">
        <v>59</v>
      </c>
      <c r="FR18" s="16">
        <v>62</v>
      </c>
      <c r="FS18" s="16">
        <v>40</v>
      </c>
      <c r="FT18" s="16">
        <v>55</v>
      </c>
      <c r="FU18" s="16">
        <v>66</v>
      </c>
      <c r="FV18" s="16">
        <v>52</v>
      </c>
      <c r="FW18" s="16">
        <v>64</v>
      </c>
      <c r="FX18" s="16">
        <v>65</v>
      </c>
      <c r="FY18" s="16">
        <v>51</v>
      </c>
      <c r="FZ18" s="16">
        <v>62</v>
      </c>
      <c r="GA18" s="16">
        <v>67</v>
      </c>
      <c r="GB18" s="16">
        <v>58</v>
      </c>
      <c r="GC18" s="16">
        <v>59</v>
      </c>
      <c r="GD18" s="16">
        <v>65</v>
      </c>
      <c r="GE18" s="16">
        <v>54</v>
      </c>
      <c r="GF18" s="16">
        <v>53</v>
      </c>
      <c r="GG18" s="16">
        <v>57</v>
      </c>
      <c r="GH18" s="16">
        <v>53</v>
      </c>
      <c r="GI18" s="16">
        <v>48</v>
      </c>
      <c r="GJ18" s="16">
        <v>65</v>
      </c>
      <c r="GK18" s="16">
        <v>49</v>
      </c>
      <c r="GL18" s="16">
        <v>42</v>
      </c>
      <c r="GM18" s="16">
        <v>62</v>
      </c>
      <c r="GN18" s="16">
        <v>45</v>
      </c>
      <c r="GO18" s="16">
        <v>50</v>
      </c>
      <c r="GP18" s="16">
        <v>68</v>
      </c>
      <c r="GQ18" s="16">
        <v>40</v>
      </c>
      <c r="GR18" s="16">
        <v>48</v>
      </c>
      <c r="GS18" s="16">
        <v>66</v>
      </c>
      <c r="GT18" s="16">
        <v>49</v>
      </c>
      <c r="GU18" s="16">
        <v>58</v>
      </c>
      <c r="GV18" s="16">
        <v>75</v>
      </c>
      <c r="GW18" s="16">
        <v>56</v>
      </c>
      <c r="GX18" s="16">
        <v>52</v>
      </c>
      <c r="GY18" s="16">
        <v>72</v>
      </c>
      <c r="GZ18" s="16">
        <v>54</v>
      </c>
      <c r="HA18" s="16">
        <v>57</v>
      </c>
      <c r="HB18" s="16">
        <v>80</v>
      </c>
      <c r="HC18" s="16">
        <v>59</v>
      </c>
      <c r="HD18" s="16">
        <v>55</v>
      </c>
      <c r="HE18" s="16">
        <v>74</v>
      </c>
      <c r="HF18" s="16">
        <v>55</v>
      </c>
      <c r="HG18" s="16">
        <v>64</v>
      </c>
      <c r="HH18" s="16">
        <v>78</v>
      </c>
      <c r="HI18" s="16">
        <v>58</v>
      </c>
      <c r="HJ18" s="16">
        <v>60</v>
      </c>
      <c r="HK18" s="16">
        <v>73</v>
      </c>
      <c r="HL18" s="16">
        <v>62</v>
      </c>
      <c r="HM18" s="16">
        <v>57</v>
      </c>
      <c r="HN18" s="16">
        <v>66</v>
      </c>
      <c r="HO18" s="16">
        <v>63</v>
      </c>
      <c r="HP18" s="16">
        <v>59</v>
      </c>
      <c r="HQ18" s="6">
        <v>72</v>
      </c>
      <c r="HR18" s="6">
        <v>61</v>
      </c>
      <c r="HS18" s="6">
        <v>52</v>
      </c>
      <c r="HT18" s="16">
        <v>67</v>
      </c>
      <c r="HU18" s="16">
        <v>58</v>
      </c>
      <c r="HV18" s="16">
        <v>53</v>
      </c>
      <c r="HW18" s="16">
        <v>74</v>
      </c>
      <c r="HX18" s="16">
        <v>63</v>
      </c>
      <c r="HY18" s="16">
        <v>54</v>
      </c>
      <c r="HZ18" s="16">
        <v>78</v>
      </c>
      <c r="IA18" s="16">
        <v>61</v>
      </c>
      <c r="IB18" s="16">
        <v>55</v>
      </c>
      <c r="IC18" s="6">
        <v>89</v>
      </c>
      <c r="ID18" s="6">
        <v>61</v>
      </c>
      <c r="IE18" s="6">
        <v>57</v>
      </c>
      <c r="IF18" s="16">
        <v>95</v>
      </c>
      <c r="IG18" s="14">
        <v>100</v>
      </c>
      <c r="IH18" s="14">
        <v>100</v>
      </c>
      <c r="II18" s="14">
        <v>100</v>
      </c>
      <c r="IJ18" s="14">
        <v>100</v>
      </c>
      <c r="IK18" s="14">
        <v>100</v>
      </c>
      <c r="IL18" s="14">
        <v>100</v>
      </c>
      <c r="IM18" s="14">
        <v>100</v>
      </c>
      <c r="IN18" s="14">
        <v>100</v>
      </c>
      <c r="IO18" s="14">
        <v>100</v>
      </c>
      <c r="IP18" s="14">
        <v>100</v>
      </c>
      <c r="IQ18" s="14">
        <v>100</v>
      </c>
      <c r="IR18" s="25">
        <v>100</v>
      </c>
      <c r="IS18" s="25">
        <v>100</v>
      </c>
      <c r="IT18" s="25">
        <v>100</v>
      </c>
      <c r="IU18" s="25">
        <v>100</v>
      </c>
      <c r="IV18" s="25">
        <v>100</v>
      </c>
      <c r="IW18" s="25">
        <v>100</v>
      </c>
      <c r="IX18" s="58">
        <f t="shared" si="0"/>
        <v>0</v>
      </c>
      <c r="IY18" s="2"/>
      <c r="IZ18" s="2"/>
      <c r="JA18" s="2"/>
      <c r="JB18" s="2"/>
      <c r="JC18" s="2"/>
    </row>
    <row r="19" spans="1:263" ht="13.5" customHeight="1">
      <c r="A19" s="55">
        <v>12</v>
      </c>
      <c r="B19" s="52" t="s">
        <v>103</v>
      </c>
      <c r="C19" s="5">
        <v>1600</v>
      </c>
      <c r="D19" s="5">
        <v>1600</v>
      </c>
      <c r="E19" s="130">
        <v>1000</v>
      </c>
      <c r="F19" s="117"/>
      <c r="G19" s="53"/>
      <c r="H19" s="53"/>
      <c r="I19" s="53"/>
      <c r="J19" s="53"/>
      <c r="K19" s="53"/>
      <c r="L19" s="53"/>
      <c r="M19" s="53"/>
      <c r="N19" s="53"/>
      <c r="O19" s="122">
        <v>100</v>
      </c>
      <c r="P19" s="70">
        <v>100</v>
      </c>
      <c r="Q19" s="70">
        <v>100</v>
      </c>
      <c r="R19" s="122">
        <v>100</v>
      </c>
      <c r="S19" s="70">
        <v>100</v>
      </c>
      <c r="T19" s="70">
        <v>100</v>
      </c>
      <c r="U19" s="122">
        <v>100</v>
      </c>
      <c r="V19" s="70">
        <v>100</v>
      </c>
      <c r="W19" s="70">
        <v>100</v>
      </c>
      <c r="X19" s="53">
        <v>74</v>
      </c>
      <c r="Y19" s="70">
        <v>100</v>
      </c>
      <c r="Z19" s="70">
        <v>100</v>
      </c>
      <c r="AA19" s="53">
        <v>98</v>
      </c>
      <c r="AB19" s="54">
        <v>85</v>
      </c>
      <c r="AC19" s="54">
        <v>92</v>
      </c>
      <c r="AD19" s="53">
        <v>93</v>
      </c>
      <c r="AE19" s="54">
        <v>80</v>
      </c>
      <c r="AF19" s="54">
        <v>90</v>
      </c>
      <c r="AG19" s="53">
        <v>67</v>
      </c>
      <c r="AH19" s="54">
        <v>75</v>
      </c>
      <c r="AI19" s="54">
        <v>84</v>
      </c>
      <c r="AJ19" s="53">
        <v>61</v>
      </c>
      <c r="AK19" s="54">
        <v>78</v>
      </c>
      <c r="AL19" s="54">
        <v>82</v>
      </c>
      <c r="AM19" s="53">
        <v>65</v>
      </c>
      <c r="AN19" s="54">
        <v>72</v>
      </c>
      <c r="AO19" s="54">
        <v>80</v>
      </c>
      <c r="AP19" s="53">
        <v>69</v>
      </c>
      <c r="AQ19" s="54">
        <v>72</v>
      </c>
      <c r="AR19" s="54">
        <v>79</v>
      </c>
      <c r="AS19" s="53">
        <v>64</v>
      </c>
      <c r="AT19" s="54">
        <v>72</v>
      </c>
      <c r="AU19" s="54">
        <v>73</v>
      </c>
      <c r="AV19" s="53">
        <v>62</v>
      </c>
      <c r="AW19" s="54">
        <v>69</v>
      </c>
      <c r="AX19" s="54">
        <v>71</v>
      </c>
      <c r="AY19" s="53">
        <v>60</v>
      </c>
      <c r="AZ19" s="54">
        <v>69</v>
      </c>
      <c r="BA19" s="54">
        <v>80</v>
      </c>
      <c r="BB19" s="53">
        <v>86</v>
      </c>
      <c r="BC19" s="70">
        <v>100</v>
      </c>
      <c r="BD19" s="70">
        <v>100</v>
      </c>
      <c r="BE19" s="122">
        <v>100</v>
      </c>
      <c r="BF19" s="70">
        <v>100</v>
      </c>
      <c r="BG19" s="70">
        <v>100</v>
      </c>
      <c r="BH19" s="122">
        <v>100</v>
      </c>
      <c r="BI19" s="70">
        <v>100</v>
      </c>
      <c r="BJ19" s="70">
        <v>100</v>
      </c>
      <c r="BK19" s="122">
        <v>100</v>
      </c>
      <c r="BL19" s="70">
        <v>100</v>
      </c>
      <c r="BM19" s="70">
        <v>100</v>
      </c>
      <c r="BN19" s="122">
        <v>100</v>
      </c>
      <c r="BO19" s="70">
        <v>100</v>
      </c>
      <c r="BP19" s="70">
        <v>100</v>
      </c>
      <c r="BQ19" s="122">
        <v>100</v>
      </c>
      <c r="BR19" s="70">
        <v>100</v>
      </c>
      <c r="BS19" s="70">
        <v>100</v>
      </c>
      <c r="BT19" s="122">
        <v>100</v>
      </c>
      <c r="BU19" s="70">
        <v>100</v>
      </c>
      <c r="BV19" s="70">
        <v>100</v>
      </c>
      <c r="BW19" s="122">
        <v>100</v>
      </c>
      <c r="BX19" s="70">
        <v>100</v>
      </c>
      <c r="BY19" s="70">
        <v>100</v>
      </c>
      <c r="BZ19" s="122">
        <v>100</v>
      </c>
      <c r="CA19" s="70">
        <v>100</v>
      </c>
      <c r="CB19" s="70">
        <v>100</v>
      </c>
      <c r="CC19" s="122">
        <v>100</v>
      </c>
      <c r="CD19" s="70">
        <v>100</v>
      </c>
      <c r="CE19" s="70">
        <v>100</v>
      </c>
      <c r="CF19" s="122">
        <v>100</v>
      </c>
      <c r="CG19" s="70">
        <v>100</v>
      </c>
      <c r="CH19" s="70">
        <v>100</v>
      </c>
      <c r="CI19" s="122">
        <v>100</v>
      </c>
      <c r="CJ19" s="54">
        <v>89</v>
      </c>
      <c r="CK19" s="70">
        <v>100</v>
      </c>
      <c r="CL19" s="122">
        <v>100</v>
      </c>
      <c r="CM19" s="54">
        <v>83</v>
      </c>
      <c r="CN19" s="54">
        <v>97</v>
      </c>
      <c r="CO19" s="122">
        <v>100</v>
      </c>
      <c r="CP19" s="54">
        <v>70</v>
      </c>
      <c r="CQ19" s="54">
        <v>87</v>
      </c>
      <c r="CR19" s="122">
        <v>100</v>
      </c>
      <c r="CS19" s="54">
        <v>69</v>
      </c>
      <c r="CT19" s="54">
        <v>84</v>
      </c>
      <c r="CU19" s="53">
        <v>85</v>
      </c>
      <c r="CV19" s="54">
        <v>69</v>
      </c>
      <c r="CW19" s="54">
        <v>75</v>
      </c>
      <c r="CX19" s="53">
        <v>77</v>
      </c>
      <c r="CY19" s="54">
        <v>65</v>
      </c>
      <c r="CZ19" s="54">
        <v>72</v>
      </c>
      <c r="DA19" s="53">
        <v>79</v>
      </c>
      <c r="DB19" s="54">
        <v>63</v>
      </c>
      <c r="DC19" s="54">
        <v>66</v>
      </c>
      <c r="DD19" s="53">
        <v>71</v>
      </c>
      <c r="DE19" s="54">
        <v>60</v>
      </c>
      <c r="DF19" s="54">
        <v>64</v>
      </c>
      <c r="DG19" s="53">
        <v>74</v>
      </c>
      <c r="DH19" s="54">
        <v>58</v>
      </c>
      <c r="DI19" s="54">
        <v>61</v>
      </c>
      <c r="DJ19" s="53">
        <v>70</v>
      </c>
      <c r="DK19" s="54">
        <v>55</v>
      </c>
      <c r="DL19" s="54">
        <v>60</v>
      </c>
      <c r="DM19" s="53">
        <v>66</v>
      </c>
      <c r="DN19" s="54">
        <v>58</v>
      </c>
      <c r="DO19" s="54">
        <v>53</v>
      </c>
      <c r="DP19" s="53">
        <v>68</v>
      </c>
      <c r="DQ19" s="54">
        <v>64</v>
      </c>
      <c r="DR19" s="54">
        <v>72</v>
      </c>
      <c r="DS19" s="53">
        <v>63</v>
      </c>
      <c r="DT19" s="54">
        <v>58</v>
      </c>
      <c r="DU19" s="54">
        <v>71</v>
      </c>
      <c r="DV19" s="53">
        <v>56</v>
      </c>
      <c r="DW19" s="54">
        <v>52</v>
      </c>
      <c r="DX19" s="54">
        <v>68</v>
      </c>
      <c r="DY19" s="53">
        <v>59</v>
      </c>
      <c r="DZ19" s="54">
        <v>48</v>
      </c>
      <c r="EA19" s="54">
        <v>66</v>
      </c>
      <c r="EB19" s="53">
        <v>57</v>
      </c>
      <c r="EC19" s="54">
        <v>44</v>
      </c>
      <c r="ED19" s="54">
        <v>63</v>
      </c>
      <c r="EE19" s="53">
        <v>53</v>
      </c>
      <c r="EF19" s="54">
        <v>49</v>
      </c>
      <c r="EG19" s="54">
        <v>62</v>
      </c>
      <c r="EH19" s="53">
        <v>51</v>
      </c>
      <c r="EI19" s="54">
        <v>46</v>
      </c>
      <c r="EJ19" s="54">
        <v>74</v>
      </c>
      <c r="EK19" s="53">
        <v>48</v>
      </c>
      <c r="EL19" s="54">
        <v>42</v>
      </c>
      <c r="EM19" s="54">
        <v>66</v>
      </c>
      <c r="EN19" s="53">
        <v>54</v>
      </c>
      <c r="EO19" s="54">
        <v>48</v>
      </c>
      <c r="EP19" s="54">
        <v>65</v>
      </c>
      <c r="EQ19" s="53">
        <v>59</v>
      </c>
      <c r="ER19" s="54">
        <v>43</v>
      </c>
      <c r="ES19" s="54">
        <v>57</v>
      </c>
      <c r="ET19" s="53">
        <v>66</v>
      </c>
      <c r="EU19" s="54">
        <v>45</v>
      </c>
      <c r="EV19" s="54">
        <v>53</v>
      </c>
      <c r="EW19" s="53">
        <v>69</v>
      </c>
      <c r="EX19" s="54">
        <v>43</v>
      </c>
      <c r="EY19" s="54">
        <v>51</v>
      </c>
      <c r="EZ19" s="53">
        <v>62</v>
      </c>
      <c r="FA19" s="54">
        <v>45</v>
      </c>
      <c r="FB19" s="54">
        <v>47</v>
      </c>
      <c r="FC19" s="54">
        <v>65</v>
      </c>
      <c r="FD19" s="54">
        <v>48</v>
      </c>
      <c r="FE19" s="54">
        <v>45</v>
      </c>
      <c r="FF19" s="54">
        <v>63</v>
      </c>
      <c r="FG19" s="54">
        <v>41</v>
      </c>
      <c r="FH19" s="54">
        <v>46</v>
      </c>
      <c r="FI19" s="54">
        <v>48</v>
      </c>
      <c r="FJ19" s="54">
        <v>47</v>
      </c>
      <c r="FK19" s="54">
        <v>42</v>
      </c>
      <c r="FL19" s="54">
        <v>54</v>
      </c>
      <c r="FM19" s="54">
        <v>45</v>
      </c>
      <c r="FN19" s="54">
        <v>48</v>
      </c>
      <c r="FO19" s="6">
        <v>58</v>
      </c>
      <c r="FP19" s="6">
        <v>46</v>
      </c>
      <c r="FQ19" s="6">
        <v>49</v>
      </c>
      <c r="FR19" s="16">
        <v>53</v>
      </c>
      <c r="FS19" s="16">
        <v>44</v>
      </c>
      <c r="FT19" s="16">
        <v>48</v>
      </c>
      <c r="FU19" s="6">
        <v>58</v>
      </c>
      <c r="FV19" s="16">
        <v>40</v>
      </c>
      <c r="FW19" s="16">
        <v>42</v>
      </c>
      <c r="FX19" s="6">
        <v>55</v>
      </c>
      <c r="FY19" s="6">
        <v>45</v>
      </c>
      <c r="FZ19" s="6">
        <v>43</v>
      </c>
      <c r="GA19" s="16">
        <v>69</v>
      </c>
      <c r="GB19" s="16">
        <v>41</v>
      </c>
      <c r="GC19" s="16">
        <v>47</v>
      </c>
      <c r="GD19" s="16">
        <v>64</v>
      </c>
      <c r="GE19" s="16">
        <v>45</v>
      </c>
      <c r="GF19" s="16">
        <v>40</v>
      </c>
      <c r="GG19" s="16">
        <v>62</v>
      </c>
      <c r="GH19" s="16">
        <v>41</v>
      </c>
      <c r="GI19" s="16">
        <v>39</v>
      </c>
      <c r="GJ19" s="16">
        <v>76</v>
      </c>
      <c r="GK19" s="16">
        <v>37</v>
      </c>
      <c r="GL19" s="16">
        <v>58</v>
      </c>
      <c r="GM19" s="16">
        <v>80</v>
      </c>
      <c r="GN19" s="16">
        <v>40</v>
      </c>
      <c r="GO19" s="16">
        <v>54</v>
      </c>
      <c r="GP19" s="16">
        <v>76</v>
      </c>
      <c r="GQ19" s="16">
        <v>45</v>
      </c>
      <c r="GR19" s="16">
        <v>52</v>
      </c>
      <c r="GS19" s="16">
        <v>85</v>
      </c>
      <c r="GT19" s="16">
        <v>42</v>
      </c>
      <c r="GU19" s="16">
        <v>50</v>
      </c>
      <c r="GV19" s="16">
        <v>82</v>
      </c>
      <c r="GW19" s="16">
        <v>45</v>
      </c>
      <c r="GX19" s="16">
        <v>48</v>
      </c>
      <c r="GY19" s="14">
        <v>100</v>
      </c>
      <c r="GZ19" s="16">
        <v>52</v>
      </c>
      <c r="HA19" s="16">
        <v>46</v>
      </c>
      <c r="HB19" s="14">
        <v>100</v>
      </c>
      <c r="HC19" s="16">
        <v>58</v>
      </c>
      <c r="HD19" s="16">
        <v>65</v>
      </c>
      <c r="HE19" s="14">
        <v>100</v>
      </c>
      <c r="HF19" s="16">
        <v>53</v>
      </c>
      <c r="HG19" s="16">
        <v>61</v>
      </c>
      <c r="HH19" s="14">
        <v>100</v>
      </c>
      <c r="HI19" s="16">
        <v>51</v>
      </c>
      <c r="HJ19" s="16">
        <v>59</v>
      </c>
      <c r="HK19" s="14">
        <v>100</v>
      </c>
      <c r="HL19" s="16">
        <v>49</v>
      </c>
      <c r="HM19" s="16">
        <v>53</v>
      </c>
      <c r="HN19" s="14">
        <v>100</v>
      </c>
      <c r="HO19" s="16">
        <v>46</v>
      </c>
      <c r="HP19" s="16">
        <v>58</v>
      </c>
      <c r="HQ19" s="34">
        <v>100</v>
      </c>
      <c r="HR19" s="6">
        <v>51</v>
      </c>
      <c r="HS19" s="6">
        <v>60</v>
      </c>
      <c r="HT19" s="14">
        <v>100</v>
      </c>
      <c r="HU19" s="16">
        <v>55</v>
      </c>
      <c r="HV19" s="16">
        <v>53</v>
      </c>
      <c r="HW19" s="14">
        <v>100</v>
      </c>
      <c r="HX19" s="16">
        <v>53</v>
      </c>
      <c r="HY19" s="16">
        <v>61</v>
      </c>
      <c r="HZ19" s="14">
        <v>100</v>
      </c>
      <c r="IA19" s="16">
        <v>52</v>
      </c>
      <c r="IB19" s="16">
        <v>57</v>
      </c>
      <c r="IC19" s="34">
        <v>100</v>
      </c>
      <c r="ID19" s="6">
        <v>49</v>
      </c>
      <c r="IE19" s="6">
        <v>57</v>
      </c>
      <c r="IF19" s="14">
        <v>100</v>
      </c>
      <c r="IG19" s="14">
        <v>100</v>
      </c>
      <c r="IH19" s="14">
        <v>100</v>
      </c>
      <c r="II19" s="14">
        <v>100</v>
      </c>
      <c r="IJ19" s="14">
        <v>100</v>
      </c>
      <c r="IK19" s="14">
        <v>100</v>
      </c>
      <c r="IL19" s="14">
        <v>100</v>
      </c>
      <c r="IM19" s="14">
        <v>100</v>
      </c>
      <c r="IN19" s="14">
        <v>100</v>
      </c>
      <c r="IO19" s="14">
        <v>100</v>
      </c>
      <c r="IP19" s="14">
        <v>100</v>
      </c>
      <c r="IQ19" s="14">
        <v>100</v>
      </c>
      <c r="IR19" s="25">
        <v>100</v>
      </c>
      <c r="IS19" s="25">
        <v>100</v>
      </c>
      <c r="IT19" s="25">
        <v>100</v>
      </c>
      <c r="IU19" s="25">
        <v>100</v>
      </c>
      <c r="IV19" s="25">
        <v>100</v>
      </c>
      <c r="IW19" s="25">
        <v>100</v>
      </c>
      <c r="IX19" s="58">
        <f t="shared" si="0"/>
        <v>0</v>
      </c>
      <c r="IY19" s="2"/>
      <c r="IZ19" s="2"/>
      <c r="JA19" s="2"/>
      <c r="JB19" s="2"/>
      <c r="JC19" s="2"/>
    </row>
    <row r="20" spans="1:263" ht="13.5" customHeight="1">
      <c r="A20" s="55">
        <v>13</v>
      </c>
      <c r="B20" s="52" t="s">
        <v>104</v>
      </c>
      <c r="C20" s="6">
        <v>20</v>
      </c>
      <c r="D20" s="6">
        <v>50</v>
      </c>
      <c r="E20" s="23">
        <v>40</v>
      </c>
      <c r="F20" s="117"/>
      <c r="G20" s="53"/>
      <c r="H20" s="53"/>
      <c r="I20" s="53"/>
      <c r="J20" s="53"/>
      <c r="K20" s="53"/>
      <c r="L20" s="53"/>
      <c r="M20" s="53"/>
      <c r="N20" s="53"/>
      <c r="O20" s="122">
        <v>100</v>
      </c>
      <c r="P20" s="70">
        <v>100</v>
      </c>
      <c r="Q20" s="70">
        <v>100</v>
      </c>
      <c r="R20" s="122">
        <v>100</v>
      </c>
      <c r="S20" s="70">
        <v>100</v>
      </c>
      <c r="T20" s="70">
        <v>100</v>
      </c>
      <c r="U20" s="122">
        <v>100</v>
      </c>
      <c r="V20" s="70">
        <v>100</v>
      </c>
      <c r="W20" s="70">
        <v>100</v>
      </c>
      <c r="X20" s="122">
        <v>100</v>
      </c>
      <c r="Y20" s="70">
        <v>100</v>
      </c>
      <c r="Z20" s="70">
        <v>100</v>
      </c>
      <c r="AA20" s="122">
        <v>100</v>
      </c>
      <c r="AB20" s="70">
        <v>100</v>
      </c>
      <c r="AC20" s="70">
        <v>100</v>
      </c>
      <c r="AD20" s="53">
        <v>92</v>
      </c>
      <c r="AE20" s="54">
        <v>96</v>
      </c>
      <c r="AF20" s="54">
        <v>98</v>
      </c>
      <c r="AG20" s="53">
        <v>16</v>
      </c>
      <c r="AH20" s="54">
        <v>74</v>
      </c>
      <c r="AI20" s="54">
        <v>89</v>
      </c>
      <c r="AJ20" s="53">
        <v>12</v>
      </c>
      <c r="AK20" s="54">
        <v>68</v>
      </c>
      <c r="AL20" s="54">
        <v>80</v>
      </c>
      <c r="AM20" s="53">
        <v>11</v>
      </c>
      <c r="AN20" s="54">
        <v>65</v>
      </c>
      <c r="AO20" s="54">
        <v>72</v>
      </c>
      <c r="AP20" s="53">
        <v>11</v>
      </c>
      <c r="AQ20" s="54">
        <v>62</v>
      </c>
      <c r="AR20" s="54">
        <v>68</v>
      </c>
      <c r="AS20" s="53">
        <v>10</v>
      </c>
      <c r="AT20" s="54">
        <v>54</v>
      </c>
      <c r="AU20" s="54">
        <v>63</v>
      </c>
      <c r="AV20" s="53">
        <v>15</v>
      </c>
      <c r="AW20" s="54">
        <v>52</v>
      </c>
      <c r="AX20" s="54">
        <v>62</v>
      </c>
      <c r="AY20" s="53">
        <v>13</v>
      </c>
      <c r="AZ20" s="54">
        <v>46</v>
      </c>
      <c r="BA20" s="54">
        <v>58</v>
      </c>
      <c r="BB20" s="53">
        <v>10</v>
      </c>
      <c r="BC20" s="54">
        <v>45</v>
      </c>
      <c r="BD20" s="54">
        <v>56</v>
      </c>
      <c r="BE20" s="53">
        <v>9</v>
      </c>
      <c r="BF20" s="54">
        <v>43</v>
      </c>
      <c r="BG20" s="54">
        <v>50</v>
      </c>
      <c r="BH20" s="53">
        <v>7</v>
      </c>
      <c r="BI20" s="54">
        <v>43</v>
      </c>
      <c r="BJ20" s="54">
        <v>46</v>
      </c>
      <c r="BK20" s="53">
        <v>10</v>
      </c>
      <c r="BL20" s="54">
        <v>41</v>
      </c>
      <c r="BM20" s="54">
        <v>44</v>
      </c>
      <c r="BN20" s="53">
        <v>9</v>
      </c>
      <c r="BO20" s="54">
        <v>48</v>
      </c>
      <c r="BP20" s="54">
        <v>37</v>
      </c>
      <c r="BQ20" s="53">
        <v>6</v>
      </c>
      <c r="BR20" s="54">
        <v>39</v>
      </c>
      <c r="BS20" s="54">
        <v>34</v>
      </c>
      <c r="BT20" s="53">
        <v>5</v>
      </c>
      <c r="BU20" s="54">
        <v>34</v>
      </c>
      <c r="BV20" s="54">
        <v>42</v>
      </c>
      <c r="BW20" s="53">
        <v>4</v>
      </c>
      <c r="BX20" s="54">
        <v>35</v>
      </c>
      <c r="BY20" s="54">
        <v>36</v>
      </c>
      <c r="BZ20" s="53">
        <v>3</v>
      </c>
      <c r="CA20" s="54">
        <v>10</v>
      </c>
      <c r="CB20" s="54">
        <v>16</v>
      </c>
      <c r="CC20" s="53">
        <v>6</v>
      </c>
      <c r="CD20" s="54">
        <v>14</v>
      </c>
      <c r="CE20" s="54">
        <v>13</v>
      </c>
      <c r="CF20" s="53">
        <v>12</v>
      </c>
      <c r="CG20" s="54">
        <v>16</v>
      </c>
      <c r="CH20" s="54">
        <v>12</v>
      </c>
      <c r="CI20" s="53">
        <v>10</v>
      </c>
      <c r="CJ20" s="54">
        <v>14</v>
      </c>
      <c r="CK20" s="54">
        <v>11</v>
      </c>
      <c r="CL20" s="53">
        <v>7</v>
      </c>
      <c r="CM20" s="54">
        <v>10</v>
      </c>
      <c r="CN20" s="54">
        <v>11</v>
      </c>
      <c r="CO20" s="53">
        <v>6</v>
      </c>
      <c r="CP20" s="54">
        <v>10</v>
      </c>
      <c r="CQ20" s="54">
        <v>10</v>
      </c>
      <c r="CR20" s="53">
        <v>5</v>
      </c>
      <c r="CS20" s="54">
        <v>9</v>
      </c>
      <c r="CT20" s="54">
        <v>8</v>
      </c>
      <c r="CU20" s="53">
        <v>4</v>
      </c>
      <c r="CV20" s="54">
        <v>7</v>
      </c>
      <c r="CW20" s="54">
        <v>6</v>
      </c>
      <c r="CX20" s="53">
        <v>8</v>
      </c>
      <c r="CY20" s="54">
        <v>6</v>
      </c>
      <c r="CZ20" s="54">
        <v>5</v>
      </c>
      <c r="DA20" s="53">
        <v>5</v>
      </c>
      <c r="DB20" s="54">
        <v>4</v>
      </c>
      <c r="DC20" s="54">
        <v>4</v>
      </c>
      <c r="DD20" s="53">
        <v>4</v>
      </c>
      <c r="DE20" s="54">
        <v>3</v>
      </c>
      <c r="DF20" s="54">
        <v>3</v>
      </c>
      <c r="DG20" s="53">
        <v>8</v>
      </c>
      <c r="DH20" s="54">
        <v>3</v>
      </c>
      <c r="DI20" s="54">
        <v>6</v>
      </c>
      <c r="DJ20" s="53">
        <v>7</v>
      </c>
      <c r="DK20" s="54">
        <v>3</v>
      </c>
      <c r="DL20" s="54">
        <v>5</v>
      </c>
      <c r="DM20" s="53">
        <v>8</v>
      </c>
      <c r="DN20" s="54">
        <v>3</v>
      </c>
      <c r="DO20" s="54">
        <v>4</v>
      </c>
      <c r="DP20" s="53">
        <v>6</v>
      </c>
      <c r="DQ20" s="54">
        <v>3</v>
      </c>
      <c r="DR20" s="54">
        <v>3</v>
      </c>
      <c r="DS20" s="53">
        <v>5</v>
      </c>
      <c r="DT20" s="54">
        <v>6</v>
      </c>
      <c r="DU20" s="54">
        <v>2</v>
      </c>
      <c r="DV20" s="53">
        <v>4</v>
      </c>
      <c r="DW20" s="54">
        <v>8</v>
      </c>
      <c r="DX20" s="54">
        <v>4</v>
      </c>
      <c r="DY20" s="53">
        <v>5</v>
      </c>
      <c r="DZ20" s="54">
        <v>6</v>
      </c>
      <c r="EA20" s="54">
        <v>8</v>
      </c>
      <c r="EB20" s="53">
        <v>4</v>
      </c>
      <c r="EC20" s="54">
        <v>5</v>
      </c>
      <c r="ED20" s="54">
        <v>6</v>
      </c>
      <c r="EE20" s="53">
        <v>6</v>
      </c>
      <c r="EF20" s="54">
        <v>3</v>
      </c>
      <c r="EG20" s="54">
        <v>5</v>
      </c>
      <c r="EH20" s="53">
        <v>4</v>
      </c>
      <c r="EI20" s="54">
        <v>2</v>
      </c>
      <c r="EJ20" s="54">
        <v>4</v>
      </c>
      <c r="EK20" s="53">
        <v>3</v>
      </c>
      <c r="EL20" s="54">
        <v>5</v>
      </c>
      <c r="EM20" s="54">
        <v>4</v>
      </c>
      <c r="EN20" s="53">
        <v>5</v>
      </c>
      <c r="EO20" s="54">
        <v>4</v>
      </c>
      <c r="EP20" s="54">
        <v>5</v>
      </c>
      <c r="EQ20" s="53">
        <v>4</v>
      </c>
      <c r="ER20" s="54">
        <v>5</v>
      </c>
      <c r="ES20" s="54">
        <v>4</v>
      </c>
      <c r="ET20" s="53">
        <v>3</v>
      </c>
      <c r="EU20" s="54">
        <v>6</v>
      </c>
      <c r="EV20" s="54">
        <v>5</v>
      </c>
      <c r="EW20" s="53">
        <v>5</v>
      </c>
      <c r="EX20" s="54">
        <v>8</v>
      </c>
      <c r="EY20" s="54">
        <v>4</v>
      </c>
      <c r="EZ20" s="53">
        <v>4</v>
      </c>
      <c r="FA20" s="54">
        <v>6</v>
      </c>
      <c r="FB20" s="54">
        <v>8</v>
      </c>
      <c r="FC20" s="54">
        <v>3</v>
      </c>
      <c r="FD20" s="54">
        <v>5</v>
      </c>
      <c r="FE20" s="54">
        <v>5</v>
      </c>
      <c r="FF20" s="54">
        <v>9</v>
      </c>
      <c r="FG20" s="54">
        <v>4</v>
      </c>
      <c r="FH20" s="54">
        <v>9</v>
      </c>
      <c r="FI20" s="54">
        <v>8</v>
      </c>
      <c r="FJ20" s="54">
        <v>6</v>
      </c>
      <c r="FK20" s="54">
        <v>7</v>
      </c>
      <c r="FL20" s="54">
        <v>6</v>
      </c>
      <c r="FM20" s="54">
        <v>4</v>
      </c>
      <c r="FN20" s="54">
        <v>5</v>
      </c>
      <c r="FO20" s="6">
        <v>8</v>
      </c>
      <c r="FP20" s="6">
        <v>6</v>
      </c>
      <c r="FQ20" s="6">
        <v>4</v>
      </c>
      <c r="FR20" s="6">
        <v>6</v>
      </c>
      <c r="FS20" s="16">
        <v>5</v>
      </c>
      <c r="FT20" s="16">
        <v>8</v>
      </c>
      <c r="FU20" s="6">
        <v>8</v>
      </c>
      <c r="FV20" s="16">
        <v>6</v>
      </c>
      <c r="FW20" s="16">
        <v>5</v>
      </c>
      <c r="FX20" s="6">
        <v>10</v>
      </c>
      <c r="FY20" s="16">
        <v>6</v>
      </c>
      <c r="FZ20" s="16">
        <v>7</v>
      </c>
      <c r="GA20" s="6">
        <v>9</v>
      </c>
      <c r="GB20" s="16">
        <v>5</v>
      </c>
      <c r="GC20" s="16">
        <v>8</v>
      </c>
      <c r="GD20" s="6">
        <v>8</v>
      </c>
      <c r="GE20" s="16">
        <v>7</v>
      </c>
      <c r="GF20" s="16">
        <v>5</v>
      </c>
      <c r="GG20" s="6">
        <v>10</v>
      </c>
      <c r="GH20" s="16">
        <v>6</v>
      </c>
      <c r="GI20" s="16">
        <v>8</v>
      </c>
      <c r="GJ20" s="6">
        <v>8</v>
      </c>
      <c r="GK20" s="16">
        <v>5</v>
      </c>
      <c r="GL20" s="16">
        <v>5</v>
      </c>
      <c r="GM20" s="6">
        <v>6</v>
      </c>
      <c r="GN20" s="16">
        <v>9</v>
      </c>
      <c r="GO20" s="16">
        <v>7</v>
      </c>
      <c r="GP20" s="16">
        <v>10</v>
      </c>
      <c r="GQ20" s="16">
        <v>8</v>
      </c>
      <c r="GR20" s="16">
        <v>10</v>
      </c>
      <c r="GS20" s="16">
        <v>9</v>
      </c>
      <c r="GT20" s="16">
        <v>6</v>
      </c>
      <c r="GU20" s="16">
        <v>8</v>
      </c>
      <c r="GV20" s="16">
        <v>28</v>
      </c>
      <c r="GW20" s="16">
        <v>8</v>
      </c>
      <c r="GX20" s="16">
        <v>10</v>
      </c>
      <c r="GY20" s="16">
        <v>23</v>
      </c>
      <c r="GZ20" s="16">
        <v>10</v>
      </c>
      <c r="HA20" s="16">
        <v>9</v>
      </c>
      <c r="HB20" s="16">
        <v>18</v>
      </c>
      <c r="HC20" s="16">
        <v>9</v>
      </c>
      <c r="HD20" s="16">
        <v>7</v>
      </c>
      <c r="HE20" s="16">
        <v>16</v>
      </c>
      <c r="HF20" s="16">
        <v>6</v>
      </c>
      <c r="HG20" s="16">
        <v>5</v>
      </c>
      <c r="HH20" s="16">
        <v>25</v>
      </c>
      <c r="HI20" s="16">
        <v>7</v>
      </c>
      <c r="HJ20" s="16">
        <v>8</v>
      </c>
      <c r="HK20" s="16">
        <v>22</v>
      </c>
      <c r="HL20" s="16">
        <v>6</v>
      </c>
      <c r="HM20" s="16">
        <v>4</v>
      </c>
      <c r="HN20" s="16">
        <v>27</v>
      </c>
      <c r="HO20" s="16">
        <v>5</v>
      </c>
      <c r="HP20" s="16">
        <v>4</v>
      </c>
      <c r="HQ20" s="6">
        <v>56</v>
      </c>
      <c r="HR20" s="6">
        <v>4</v>
      </c>
      <c r="HS20" s="6">
        <v>4</v>
      </c>
      <c r="HT20" s="16">
        <v>52</v>
      </c>
      <c r="HU20" s="16">
        <v>6</v>
      </c>
      <c r="HV20" s="16">
        <v>9</v>
      </c>
      <c r="HW20" s="16">
        <v>47</v>
      </c>
      <c r="HX20" s="16">
        <v>5</v>
      </c>
      <c r="HY20" s="16">
        <v>3</v>
      </c>
      <c r="HZ20" s="16">
        <v>25</v>
      </c>
      <c r="IA20" s="16">
        <v>4</v>
      </c>
      <c r="IB20" s="16">
        <v>8</v>
      </c>
      <c r="IC20" s="6">
        <v>18</v>
      </c>
      <c r="ID20" s="6">
        <v>6</v>
      </c>
      <c r="IE20" s="6">
        <v>8</v>
      </c>
      <c r="IF20" s="87">
        <v>14</v>
      </c>
      <c r="IG20" s="16">
        <v>22</v>
      </c>
      <c r="IH20" s="16">
        <v>19</v>
      </c>
      <c r="II20" s="16">
        <v>16</v>
      </c>
      <c r="IJ20" s="16">
        <v>19</v>
      </c>
      <c r="IK20" s="16">
        <v>23</v>
      </c>
      <c r="IL20" s="16">
        <v>68</v>
      </c>
      <c r="IM20" s="16">
        <v>62</v>
      </c>
      <c r="IN20" s="16">
        <v>57</v>
      </c>
      <c r="IO20" s="16">
        <v>44</v>
      </c>
      <c r="IP20" s="16">
        <v>42</v>
      </c>
      <c r="IQ20" s="16">
        <v>38</v>
      </c>
      <c r="IR20" s="23">
        <v>45</v>
      </c>
      <c r="IS20" s="23">
        <v>57</v>
      </c>
      <c r="IT20" s="25">
        <v>100</v>
      </c>
      <c r="IU20" s="25">
        <v>100</v>
      </c>
      <c r="IV20" s="25">
        <v>100</v>
      </c>
      <c r="IW20" s="25">
        <v>100</v>
      </c>
      <c r="IX20" s="58">
        <f t="shared" si="0"/>
        <v>0</v>
      </c>
      <c r="IY20" s="2"/>
      <c r="IZ20" s="2"/>
      <c r="JA20" s="2"/>
      <c r="JB20" s="2"/>
      <c r="JC20" s="2"/>
    </row>
    <row r="21" spans="1:263" ht="13.5" customHeight="1">
      <c r="A21" s="55">
        <v>14</v>
      </c>
      <c r="B21" s="52" t="s">
        <v>105</v>
      </c>
      <c r="C21" s="6">
        <v>10</v>
      </c>
      <c r="D21" s="6">
        <v>10</v>
      </c>
      <c r="E21" s="6">
        <v>10</v>
      </c>
      <c r="F21" s="117"/>
      <c r="G21" s="53"/>
      <c r="H21" s="53"/>
      <c r="I21" s="53"/>
      <c r="J21" s="53"/>
      <c r="K21" s="53"/>
      <c r="L21" s="53"/>
      <c r="M21" s="53"/>
      <c r="N21" s="53"/>
      <c r="O21" s="122">
        <v>100</v>
      </c>
      <c r="P21" s="70">
        <v>100</v>
      </c>
      <c r="Q21" s="70">
        <v>100</v>
      </c>
      <c r="R21" s="122">
        <v>100</v>
      </c>
      <c r="S21" s="70">
        <v>100</v>
      </c>
      <c r="T21" s="70">
        <v>100</v>
      </c>
      <c r="U21" s="122">
        <v>100</v>
      </c>
      <c r="V21" s="70">
        <v>100</v>
      </c>
      <c r="W21" s="70">
        <v>100</v>
      </c>
      <c r="X21" s="122">
        <v>100</v>
      </c>
      <c r="Y21" s="70">
        <v>100</v>
      </c>
      <c r="Z21" s="70">
        <v>100</v>
      </c>
      <c r="AA21" s="122">
        <v>100</v>
      </c>
      <c r="AB21" s="70">
        <v>100</v>
      </c>
      <c r="AC21" s="70">
        <v>100</v>
      </c>
      <c r="AD21" s="122">
        <v>100</v>
      </c>
      <c r="AE21" s="70">
        <v>100</v>
      </c>
      <c r="AF21" s="70">
        <v>100</v>
      </c>
      <c r="AG21" s="122">
        <v>100</v>
      </c>
      <c r="AH21" s="70">
        <v>100</v>
      </c>
      <c r="AI21" s="70">
        <v>100</v>
      </c>
      <c r="AJ21" s="122">
        <v>100</v>
      </c>
      <c r="AK21" s="70">
        <v>100</v>
      </c>
      <c r="AL21" s="70">
        <v>100</v>
      </c>
      <c r="AM21" s="122">
        <v>100</v>
      </c>
      <c r="AN21" s="70">
        <v>100</v>
      </c>
      <c r="AO21" s="70">
        <v>100</v>
      </c>
      <c r="AP21" s="122">
        <v>100</v>
      </c>
      <c r="AQ21" s="70">
        <v>100</v>
      </c>
      <c r="AR21" s="70">
        <v>100</v>
      </c>
      <c r="AS21" s="122">
        <v>100</v>
      </c>
      <c r="AT21" s="70">
        <v>100</v>
      </c>
      <c r="AU21" s="70">
        <v>100</v>
      </c>
      <c r="AV21" s="122">
        <v>100</v>
      </c>
      <c r="AW21" s="70">
        <v>100</v>
      </c>
      <c r="AX21" s="70">
        <v>100</v>
      </c>
      <c r="AY21" s="53">
        <v>15</v>
      </c>
      <c r="AZ21" s="70">
        <v>100</v>
      </c>
      <c r="BA21" s="70">
        <v>100</v>
      </c>
      <c r="BB21" s="53">
        <v>9</v>
      </c>
      <c r="BC21" s="54">
        <v>85</v>
      </c>
      <c r="BD21" s="70">
        <v>100</v>
      </c>
      <c r="BE21" s="53">
        <v>10</v>
      </c>
      <c r="BF21" s="54">
        <v>83</v>
      </c>
      <c r="BG21" s="70">
        <v>100</v>
      </c>
      <c r="BH21" s="53">
        <v>8</v>
      </c>
      <c r="BI21" s="54">
        <v>75</v>
      </c>
      <c r="BJ21" s="70">
        <v>100</v>
      </c>
      <c r="BK21" s="53">
        <v>7</v>
      </c>
      <c r="BL21" s="54">
        <v>68</v>
      </c>
      <c r="BM21" s="70">
        <v>100</v>
      </c>
      <c r="BN21" s="53">
        <v>12</v>
      </c>
      <c r="BO21" s="54">
        <v>61</v>
      </c>
      <c r="BP21" s="70">
        <v>100</v>
      </c>
      <c r="BQ21" s="53">
        <v>10</v>
      </c>
      <c r="BR21" s="54">
        <v>57</v>
      </c>
      <c r="BS21" s="54">
        <v>66</v>
      </c>
      <c r="BT21" s="53">
        <v>6</v>
      </c>
      <c r="BU21" s="54">
        <v>43</v>
      </c>
      <c r="BV21" s="54">
        <v>59</v>
      </c>
      <c r="BW21" s="53">
        <v>5</v>
      </c>
      <c r="BX21" s="54">
        <v>47</v>
      </c>
      <c r="BY21" s="54">
        <v>55</v>
      </c>
      <c r="BZ21" s="53">
        <v>4</v>
      </c>
      <c r="CA21" s="54">
        <v>44</v>
      </c>
      <c r="CB21" s="54">
        <v>47</v>
      </c>
      <c r="CC21" s="53">
        <v>3</v>
      </c>
      <c r="CD21" s="54">
        <v>34</v>
      </c>
      <c r="CE21" s="54">
        <v>42</v>
      </c>
      <c r="CF21" s="53">
        <v>3</v>
      </c>
      <c r="CG21" s="54">
        <v>28</v>
      </c>
      <c r="CH21" s="54">
        <v>31</v>
      </c>
      <c r="CI21" s="53">
        <v>5</v>
      </c>
      <c r="CJ21" s="54">
        <v>12</v>
      </c>
      <c r="CK21" s="54">
        <v>18</v>
      </c>
      <c r="CL21" s="53">
        <v>4</v>
      </c>
      <c r="CM21" s="54">
        <v>10</v>
      </c>
      <c r="CN21" s="54">
        <v>14</v>
      </c>
      <c r="CO21" s="53">
        <v>2</v>
      </c>
      <c r="CP21" s="54">
        <v>8</v>
      </c>
      <c r="CQ21" s="54">
        <v>10</v>
      </c>
      <c r="CR21" s="53">
        <v>1</v>
      </c>
      <c r="CS21" s="54">
        <v>6</v>
      </c>
      <c r="CT21" s="54">
        <v>8</v>
      </c>
      <c r="CU21" s="53">
        <v>1</v>
      </c>
      <c r="CV21" s="54">
        <v>5</v>
      </c>
      <c r="CW21" s="54">
        <v>5</v>
      </c>
      <c r="CX21" s="53">
        <v>1</v>
      </c>
      <c r="CY21" s="54">
        <v>3</v>
      </c>
      <c r="CZ21" s="54">
        <v>4</v>
      </c>
      <c r="DA21" s="53">
        <v>1</v>
      </c>
      <c r="DB21" s="54">
        <v>2</v>
      </c>
      <c r="DC21" s="54">
        <v>2</v>
      </c>
      <c r="DD21" s="53">
        <v>1</v>
      </c>
      <c r="DE21" s="54">
        <v>5</v>
      </c>
      <c r="DF21" s="54">
        <v>4</v>
      </c>
      <c r="DG21" s="53">
        <v>1</v>
      </c>
      <c r="DH21" s="54">
        <v>3</v>
      </c>
      <c r="DI21" s="54">
        <v>3</v>
      </c>
      <c r="DJ21" s="53">
        <v>1</v>
      </c>
      <c r="DK21" s="54">
        <v>2</v>
      </c>
      <c r="DL21" s="54">
        <v>5</v>
      </c>
      <c r="DM21" s="53">
        <v>1</v>
      </c>
      <c r="DN21" s="54">
        <v>2</v>
      </c>
      <c r="DO21" s="54">
        <v>3</v>
      </c>
      <c r="DP21" s="53">
        <v>1</v>
      </c>
      <c r="DQ21" s="54">
        <v>2</v>
      </c>
      <c r="DR21" s="54">
        <v>2</v>
      </c>
      <c r="DS21" s="53">
        <v>3</v>
      </c>
      <c r="DT21" s="54">
        <v>1</v>
      </c>
      <c r="DU21" s="54">
        <v>2</v>
      </c>
      <c r="DV21" s="53">
        <v>2</v>
      </c>
      <c r="DW21" s="54">
        <v>3</v>
      </c>
      <c r="DX21" s="54">
        <v>2</v>
      </c>
      <c r="DY21" s="53">
        <v>1</v>
      </c>
      <c r="DZ21" s="54">
        <v>2</v>
      </c>
      <c r="EA21" s="54">
        <v>2</v>
      </c>
      <c r="EB21" s="53">
        <v>5</v>
      </c>
      <c r="EC21" s="54">
        <v>6</v>
      </c>
      <c r="ED21" s="54">
        <v>5</v>
      </c>
      <c r="EE21" s="53">
        <v>3</v>
      </c>
      <c r="EF21" s="54">
        <v>4</v>
      </c>
      <c r="EG21" s="54">
        <v>3</v>
      </c>
      <c r="EH21" s="53">
        <v>4</v>
      </c>
      <c r="EI21" s="54">
        <v>3</v>
      </c>
      <c r="EJ21" s="54">
        <v>2</v>
      </c>
      <c r="EK21" s="53">
        <v>2</v>
      </c>
      <c r="EL21" s="54">
        <v>2</v>
      </c>
      <c r="EM21" s="54">
        <v>1</v>
      </c>
      <c r="EN21" s="53">
        <v>3</v>
      </c>
      <c r="EO21" s="54">
        <v>2</v>
      </c>
      <c r="EP21" s="54">
        <v>1</v>
      </c>
      <c r="EQ21" s="53">
        <v>2</v>
      </c>
      <c r="ER21" s="54">
        <v>2</v>
      </c>
      <c r="ES21" s="54">
        <v>2</v>
      </c>
      <c r="ET21" s="53">
        <v>2</v>
      </c>
      <c r="EU21" s="54">
        <v>1</v>
      </c>
      <c r="EV21" s="54">
        <v>2</v>
      </c>
      <c r="EW21" s="53">
        <v>6</v>
      </c>
      <c r="EX21" s="54">
        <v>2</v>
      </c>
      <c r="EY21" s="54">
        <v>3</v>
      </c>
      <c r="EZ21" s="53">
        <v>3</v>
      </c>
      <c r="FA21" s="54">
        <v>2</v>
      </c>
      <c r="FB21" s="54">
        <v>2</v>
      </c>
      <c r="FC21" s="54">
        <v>3</v>
      </c>
      <c r="FD21" s="54">
        <v>5</v>
      </c>
      <c r="FE21" s="54">
        <v>4</v>
      </c>
      <c r="FF21" s="54">
        <v>2</v>
      </c>
      <c r="FG21" s="54">
        <v>3</v>
      </c>
      <c r="FH21" s="54">
        <v>3</v>
      </c>
      <c r="FI21" s="54">
        <v>2</v>
      </c>
      <c r="FJ21" s="54">
        <v>5</v>
      </c>
      <c r="FK21" s="54">
        <v>6</v>
      </c>
      <c r="FL21" s="54">
        <v>1</v>
      </c>
      <c r="FM21" s="54">
        <v>7</v>
      </c>
      <c r="FN21" s="54">
        <v>4</v>
      </c>
      <c r="FO21" s="6">
        <v>1</v>
      </c>
      <c r="FP21" s="6">
        <v>5</v>
      </c>
      <c r="FQ21" s="6">
        <v>5</v>
      </c>
      <c r="FR21" s="6">
        <v>2</v>
      </c>
      <c r="FS21" s="16">
        <v>4</v>
      </c>
      <c r="FT21" s="6">
        <v>4</v>
      </c>
      <c r="FU21" s="6">
        <v>1</v>
      </c>
      <c r="FV21" s="16">
        <v>5</v>
      </c>
      <c r="FW21" s="16">
        <v>3</v>
      </c>
      <c r="FX21" s="6">
        <v>1</v>
      </c>
      <c r="FY21" s="16">
        <v>4</v>
      </c>
      <c r="FZ21" s="16">
        <v>4</v>
      </c>
      <c r="GA21" s="6">
        <v>1</v>
      </c>
      <c r="GB21" s="16">
        <v>3</v>
      </c>
      <c r="GC21" s="16">
        <v>5</v>
      </c>
      <c r="GD21" s="6">
        <v>1</v>
      </c>
      <c r="GE21" s="16">
        <v>2</v>
      </c>
      <c r="GF21" s="16">
        <v>4</v>
      </c>
      <c r="GG21" s="6">
        <v>1</v>
      </c>
      <c r="GH21" s="16">
        <v>2</v>
      </c>
      <c r="GI21" s="16">
        <v>3</v>
      </c>
      <c r="GJ21" s="6">
        <v>2</v>
      </c>
      <c r="GK21" s="16">
        <v>4</v>
      </c>
      <c r="GL21" s="16">
        <v>2</v>
      </c>
      <c r="GM21" s="6">
        <v>1</v>
      </c>
      <c r="GN21" s="16">
        <v>2</v>
      </c>
      <c r="GO21" s="16">
        <v>1</v>
      </c>
      <c r="GP21" s="16">
        <v>1</v>
      </c>
      <c r="GQ21" s="16">
        <v>1</v>
      </c>
      <c r="GR21" s="16">
        <v>1</v>
      </c>
      <c r="GS21" s="16">
        <v>1</v>
      </c>
      <c r="GT21" s="16">
        <v>1</v>
      </c>
      <c r="GU21" s="16">
        <v>1</v>
      </c>
      <c r="GV21" s="16">
        <v>1</v>
      </c>
      <c r="GW21" s="16">
        <v>1</v>
      </c>
      <c r="GX21" s="16">
        <v>1</v>
      </c>
      <c r="GY21" s="16">
        <v>2</v>
      </c>
      <c r="GZ21" s="16">
        <v>1</v>
      </c>
      <c r="HA21" s="16">
        <v>3</v>
      </c>
      <c r="HB21" s="16">
        <v>1</v>
      </c>
      <c r="HC21" s="16">
        <v>1</v>
      </c>
      <c r="HD21" s="16">
        <v>2</v>
      </c>
      <c r="HE21" s="16">
        <v>2</v>
      </c>
      <c r="HF21" s="16">
        <v>1</v>
      </c>
      <c r="HG21" s="16">
        <v>2</v>
      </c>
      <c r="HH21" s="16">
        <v>3</v>
      </c>
      <c r="HI21" s="16">
        <v>1</v>
      </c>
      <c r="HJ21" s="16">
        <v>2</v>
      </c>
      <c r="HK21" s="16">
        <v>2</v>
      </c>
      <c r="HL21" s="16">
        <v>3</v>
      </c>
      <c r="HM21" s="16">
        <v>3</v>
      </c>
      <c r="HN21" s="16">
        <v>3</v>
      </c>
      <c r="HO21" s="16">
        <v>4</v>
      </c>
      <c r="HP21" s="16">
        <v>3</v>
      </c>
      <c r="HQ21" s="6">
        <v>4</v>
      </c>
      <c r="HR21" s="6">
        <v>3</v>
      </c>
      <c r="HS21" s="6">
        <v>4</v>
      </c>
      <c r="HT21" s="16">
        <v>3</v>
      </c>
      <c r="HU21" s="16">
        <v>5</v>
      </c>
      <c r="HV21" s="16">
        <v>5</v>
      </c>
      <c r="HW21" s="16">
        <v>3</v>
      </c>
      <c r="HX21" s="16">
        <v>4</v>
      </c>
      <c r="HY21" s="16">
        <v>4</v>
      </c>
      <c r="HZ21" s="16">
        <v>2</v>
      </c>
      <c r="IA21" s="16">
        <v>3</v>
      </c>
      <c r="IB21" s="16">
        <v>3</v>
      </c>
      <c r="IC21" s="6">
        <v>2</v>
      </c>
      <c r="ID21" s="6">
        <v>3</v>
      </c>
      <c r="IE21" s="6">
        <v>3</v>
      </c>
      <c r="IF21" s="16">
        <v>4</v>
      </c>
      <c r="IG21" s="86">
        <v>3</v>
      </c>
      <c r="IH21" s="86">
        <v>2</v>
      </c>
      <c r="II21" s="86">
        <v>2</v>
      </c>
      <c r="IJ21" s="86">
        <v>4</v>
      </c>
      <c r="IK21" s="86">
        <v>3</v>
      </c>
      <c r="IL21" s="86">
        <v>3</v>
      </c>
      <c r="IM21" s="86">
        <v>3</v>
      </c>
      <c r="IN21" s="86">
        <v>3</v>
      </c>
      <c r="IO21" s="86">
        <v>2</v>
      </c>
      <c r="IP21" s="86">
        <v>2</v>
      </c>
      <c r="IQ21" s="86">
        <v>2</v>
      </c>
      <c r="IR21" s="146">
        <v>2</v>
      </c>
      <c r="IS21" s="146">
        <v>3</v>
      </c>
      <c r="IT21" s="144">
        <v>100</v>
      </c>
      <c r="IU21" s="146">
        <v>10</v>
      </c>
      <c r="IV21" s="146">
        <v>10</v>
      </c>
      <c r="IW21" s="146">
        <v>10</v>
      </c>
      <c r="IX21" s="58">
        <f t="shared" si="0"/>
        <v>0</v>
      </c>
      <c r="IY21" s="2"/>
      <c r="IZ21" s="2"/>
      <c r="JA21" s="2"/>
      <c r="JB21" s="2"/>
      <c r="JC21" s="2"/>
    </row>
    <row r="22" spans="1:263" ht="13.5" customHeight="1">
      <c r="A22" s="55">
        <v>15</v>
      </c>
      <c r="B22" s="52" t="s">
        <v>106</v>
      </c>
      <c r="C22" s="8">
        <v>90</v>
      </c>
      <c r="D22" s="8">
        <v>90</v>
      </c>
      <c r="E22" s="23">
        <v>90</v>
      </c>
      <c r="F22" s="117"/>
      <c r="G22" s="53"/>
      <c r="H22" s="53"/>
      <c r="I22" s="53"/>
      <c r="J22" s="53"/>
      <c r="K22" s="53"/>
      <c r="L22" s="53"/>
      <c r="M22" s="53"/>
      <c r="N22" s="53"/>
      <c r="O22" s="122">
        <v>100</v>
      </c>
      <c r="P22" s="70">
        <v>100</v>
      </c>
      <c r="Q22" s="70">
        <v>100</v>
      </c>
      <c r="R22" s="53">
        <v>96</v>
      </c>
      <c r="S22" s="70">
        <v>100</v>
      </c>
      <c r="T22" s="70">
        <v>100</v>
      </c>
      <c r="U22" s="53">
        <v>45</v>
      </c>
      <c r="V22" s="54">
        <v>54</v>
      </c>
      <c r="W22" s="54">
        <v>73</v>
      </c>
      <c r="X22" s="53">
        <v>42</v>
      </c>
      <c r="Y22" s="70">
        <v>100</v>
      </c>
      <c r="Z22" s="54">
        <v>46</v>
      </c>
      <c r="AA22" s="53">
        <v>50</v>
      </c>
      <c r="AB22" s="70">
        <v>100</v>
      </c>
      <c r="AC22" s="54">
        <v>44</v>
      </c>
      <c r="AD22" s="53">
        <v>46</v>
      </c>
      <c r="AE22" s="70">
        <v>100</v>
      </c>
      <c r="AF22" s="54">
        <v>40</v>
      </c>
      <c r="AG22" s="53">
        <v>42</v>
      </c>
      <c r="AH22" s="70">
        <v>100</v>
      </c>
      <c r="AI22" s="54">
        <v>38</v>
      </c>
      <c r="AJ22" s="53">
        <v>51</v>
      </c>
      <c r="AK22" s="70">
        <v>100</v>
      </c>
      <c r="AL22" s="54">
        <v>35</v>
      </c>
      <c r="AM22" s="53">
        <v>48</v>
      </c>
      <c r="AN22" s="70">
        <v>100</v>
      </c>
      <c r="AO22" s="54">
        <v>37</v>
      </c>
      <c r="AP22" s="53">
        <v>46</v>
      </c>
      <c r="AQ22" s="70">
        <v>100</v>
      </c>
      <c r="AR22" s="54">
        <v>35</v>
      </c>
      <c r="AS22" s="53">
        <v>52</v>
      </c>
      <c r="AT22" s="70">
        <v>100</v>
      </c>
      <c r="AU22" s="54">
        <v>36</v>
      </c>
      <c r="AV22" s="53">
        <v>48</v>
      </c>
      <c r="AW22" s="70">
        <v>100</v>
      </c>
      <c r="AX22" s="54">
        <v>34</v>
      </c>
      <c r="AY22" s="53">
        <v>62</v>
      </c>
      <c r="AZ22" s="54">
        <v>83</v>
      </c>
      <c r="BA22" s="54">
        <v>41</v>
      </c>
      <c r="BB22" s="53">
        <v>60</v>
      </c>
      <c r="BC22" s="54">
        <v>81</v>
      </c>
      <c r="BD22" s="54">
        <v>56</v>
      </c>
      <c r="BE22" s="53">
        <v>86</v>
      </c>
      <c r="BF22" s="54">
        <v>94</v>
      </c>
      <c r="BG22" s="54">
        <v>69</v>
      </c>
      <c r="BH22" s="53">
        <v>84</v>
      </c>
      <c r="BI22" s="54">
        <v>92</v>
      </c>
      <c r="BJ22" s="54">
        <v>73</v>
      </c>
      <c r="BK22" s="122">
        <v>100</v>
      </c>
      <c r="BL22" s="54">
        <v>84</v>
      </c>
      <c r="BM22" s="54">
        <v>67</v>
      </c>
      <c r="BN22" s="122">
        <v>100</v>
      </c>
      <c r="BO22" s="54">
        <v>78</v>
      </c>
      <c r="BP22" s="54">
        <v>64</v>
      </c>
      <c r="BQ22" s="53">
        <v>84</v>
      </c>
      <c r="BR22" s="54">
        <v>67</v>
      </c>
      <c r="BS22" s="54">
        <v>59</v>
      </c>
      <c r="BT22" s="53">
        <v>71</v>
      </c>
      <c r="BU22" s="54">
        <v>65</v>
      </c>
      <c r="BV22" s="54">
        <v>50</v>
      </c>
      <c r="BW22" s="53">
        <v>63</v>
      </c>
      <c r="BX22" s="54">
        <v>61</v>
      </c>
      <c r="BY22" s="54">
        <v>54</v>
      </c>
      <c r="BZ22" s="53">
        <v>56</v>
      </c>
      <c r="CA22" s="54">
        <v>60</v>
      </c>
      <c r="CB22" s="54">
        <v>59</v>
      </c>
      <c r="CC22" s="53">
        <v>47</v>
      </c>
      <c r="CD22" s="54">
        <v>53</v>
      </c>
      <c r="CE22" s="54">
        <v>56</v>
      </c>
      <c r="CF22" s="53">
        <v>42</v>
      </c>
      <c r="CG22" s="54">
        <v>46</v>
      </c>
      <c r="CH22" s="54">
        <v>55</v>
      </c>
      <c r="CI22" s="53">
        <v>40</v>
      </c>
      <c r="CJ22" s="54">
        <v>54</v>
      </c>
      <c r="CK22" s="54">
        <v>48</v>
      </c>
      <c r="CL22" s="53">
        <v>36</v>
      </c>
      <c r="CM22" s="54">
        <v>51</v>
      </c>
      <c r="CN22" s="54">
        <v>42</v>
      </c>
      <c r="CO22" s="53">
        <v>32</v>
      </c>
      <c r="CP22" s="54">
        <v>46</v>
      </c>
      <c r="CQ22" s="54">
        <v>48</v>
      </c>
      <c r="CR22" s="53">
        <v>38</v>
      </c>
      <c r="CS22" s="54">
        <v>40</v>
      </c>
      <c r="CT22" s="54">
        <v>45</v>
      </c>
      <c r="CU22" s="53">
        <v>34</v>
      </c>
      <c r="CV22" s="54">
        <v>37</v>
      </c>
      <c r="CW22" s="54">
        <v>39</v>
      </c>
      <c r="CX22" s="53">
        <v>27</v>
      </c>
      <c r="CY22" s="54">
        <v>38</v>
      </c>
      <c r="CZ22" s="54">
        <v>35</v>
      </c>
      <c r="DA22" s="53">
        <v>34</v>
      </c>
      <c r="DB22" s="54">
        <v>42</v>
      </c>
      <c r="DC22" s="54">
        <v>28</v>
      </c>
      <c r="DD22" s="53">
        <v>32</v>
      </c>
      <c r="DE22" s="54">
        <v>38</v>
      </c>
      <c r="DF22" s="54">
        <v>25</v>
      </c>
      <c r="DG22" s="53">
        <v>28</v>
      </c>
      <c r="DH22" s="54">
        <v>32</v>
      </c>
      <c r="DI22" s="54">
        <v>23</v>
      </c>
      <c r="DJ22" s="53">
        <v>23</v>
      </c>
      <c r="DK22" s="54">
        <v>28</v>
      </c>
      <c r="DL22" s="54">
        <v>22</v>
      </c>
      <c r="DM22" s="53">
        <v>21</v>
      </c>
      <c r="DN22" s="54">
        <v>26</v>
      </c>
      <c r="DO22" s="54">
        <v>25</v>
      </c>
      <c r="DP22" s="53">
        <v>20</v>
      </c>
      <c r="DQ22" s="54">
        <v>22</v>
      </c>
      <c r="DR22" s="54">
        <v>24</v>
      </c>
      <c r="DS22" s="53">
        <v>18</v>
      </c>
      <c r="DT22" s="54">
        <v>19</v>
      </c>
      <c r="DU22" s="54">
        <v>23</v>
      </c>
      <c r="DV22" s="53">
        <v>29</v>
      </c>
      <c r="DW22" s="54">
        <v>16</v>
      </c>
      <c r="DX22" s="54">
        <v>22</v>
      </c>
      <c r="DY22" s="53">
        <v>23</v>
      </c>
      <c r="DZ22" s="54">
        <v>15</v>
      </c>
      <c r="EA22" s="54">
        <v>20</v>
      </c>
      <c r="EB22" s="53">
        <v>29</v>
      </c>
      <c r="EC22" s="54">
        <v>13</v>
      </c>
      <c r="ED22" s="54">
        <v>19</v>
      </c>
      <c r="EE22" s="53">
        <v>26</v>
      </c>
      <c r="EF22" s="54">
        <v>11</v>
      </c>
      <c r="EG22" s="54">
        <v>16</v>
      </c>
      <c r="EH22" s="53">
        <v>32</v>
      </c>
      <c r="EI22" s="54">
        <v>9</v>
      </c>
      <c r="EJ22" s="54">
        <v>18</v>
      </c>
      <c r="EK22" s="53">
        <v>31</v>
      </c>
      <c r="EL22" s="54">
        <v>6</v>
      </c>
      <c r="EM22" s="54">
        <v>13</v>
      </c>
      <c r="EN22" s="53">
        <v>39</v>
      </c>
      <c r="EO22" s="54">
        <v>8</v>
      </c>
      <c r="EP22" s="54">
        <v>16</v>
      </c>
      <c r="EQ22" s="53">
        <v>42</v>
      </c>
      <c r="ER22" s="54">
        <v>9</v>
      </c>
      <c r="ES22" s="54">
        <v>14</v>
      </c>
      <c r="ET22" s="53">
        <v>47</v>
      </c>
      <c r="EU22" s="54">
        <v>10</v>
      </c>
      <c r="EV22" s="54">
        <v>12</v>
      </c>
      <c r="EW22" s="53">
        <v>42</v>
      </c>
      <c r="EX22" s="54">
        <v>9</v>
      </c>
      <c r="EY22" s="54">
        <v>11</v>
      </c>
      <c r="EZ22" s="53">
        <v>39</v>
      </c>
      <c r="FA22" s="54">
        <v>7</v>
      </c>
      <c r="FB22" s="54">
        <v>15</v>
      </c>
      <c r="FC22" s="54">
        <v>32</v>
      </c>
      <c r="FD22" s="54">
        <v>6</v>
      </c>
      <c r="FE22" s="54">
        <v>12</v>
      </c>
      <c r="FF22" s="54">
        <v>41</v>
      </c>
      <c r="FG22" s="54">
        <v>8</v>
      </c>
      <c r="FH22" s="54">
        <v>16</v>
      </c>
      <c r="FI22" s="54">
        <v>38</v>
      </c>
      <c r="FJ22" s="54">
        <v>6</v>
      </c>
      <c r="FK22" s="54">
        <v>14</v>
      </c>
      <c r="FL22" s="54">
        <v>33</v>
      </c>
      <c r="FM22" s="54">
        <v>4</v>
      </c>
      <c r="FN22" s="54">
        <v>18</v>
      </c>
      <c r="FO22" s="6">
        <v>38</v>
      </c>
      <c r="FP22" s="6">
        <v>6</v>
      </c>
      <c r="FQ22" s="6">
        <v>16</v>
      </c>
      <c r="FR22" s="16">
        <v>33</v>
      </c>
      <c r="FS22" s="16">
        <v>5</v>
      </c>
      <c r="FT22" s="16">
        <v>12</v>
      </c>
      <c r="FU22" s="16">
        <v>38</v>
      </c>
      <c r="FV22" s="16">
        <v>7</v>
      </c>
      <c r="FW22" s="16">
        <v>15</v>
      </c>
      <c r="FX22" s="16">
        <v>42</v>
      </c>
      <c r="FY22" s="16">
        <v>10</v>
      </c>
      <c r="FZ22" s="16">
        <v>20</v>
      </c>
      <c r="GA22" s="16">
        <v>56</v>
      </c>
      <c r="GB22" s="16">
        <v>9</v>
      </c>
      <c r="GC22" s="16">
        <v>18</v>
      </c>
      <c r="GD22" s="16">
        <v>46</v>
      </c>
      <c r="GE22" s="16">
        <v>8</v>
      </c>
      <c r="GF22" s="16">
        <v>15</v>
      </c>
      <c r="GG22" s="16">
        <v>43</v>
      </c>
      <c r="GH22" s="16">
        <v>6</v>
      </c>
      <c r="GI22" s="16">
        <v>13</v>
      </c>
      <c r="GJ22" s="16">
        <v>45</v>
      </c>
      <c r="GK22" s="16">
        <v>9</v>
      </c>
      <c r="GL22" s="16">
        <v>17</v>
      </c>
      <c r="GM22" s="16">
        <v>49</v>
      </c>
      <c r="GN22" s="16">
        <v>10</v>
      </c>
      <c r="GO22" s="16">
        <v>20</v>
      </c>
      <c r="GP22" s="16">
        <v>54</v>
      </c>
      <c r="GQ22" s="16">
        <v>12</v>
      </c>
      <c r="GR22" s="16">
        <v>18</v>
      </c>
      <c r="GS22" s="16">
        <v>48</v>
      </c>
      <c r="GT22" s="16">
        <v>15</v>
      </c>
      <c r="GU22" s="16">
        <v>14</v>
      </c>
      <c r="GV22" s="16">
        <v>54</v>
      </c>
      <c r="GW22" s="16">
        <v>18</v>
      </c>
      <c r="GX22" s="16">
        <v>16</v>
      </c>
      <c r="GY22" s="16">
        <v>58</v>
      </c>
      <c r="GZ22" s="16">
        <v>29</v>
      </c>
      <c r="HA22" s="16">
        <v>19</v>
      </c>
      <c r="HB22" s="16">
        <v>64</v>
      </c>
      <c r="HC22" s="16">
        <v>37</v>
      </c>
      <c r="HD22" s="16">
        <v>22</v>
      </c>
      <c r="HE22" s="16">
        <v>61</v>
      </c>
      <c r="HF22" s="16">
        <v>28</v>
      </c>
      <c r="HG22" s="16">
        <v>20</v>
      </c>
      <c r="HH22" s="16">
        <v>53</v>
      </c>
      <c r="HI22" s="16">
        <v>23</v>
      </c>
      <c r="HJ22" s="16">
        <v>18</v>
      </c>
      <c r="HK22" s="16">
        <v>72</v>
      </c>
      <c r="HL22" s="16">
        <v>35</v>
      </c>
      <c r="HM22" s="16">
        <v>24</v>
      </c>
      <c r="HN22" s="16">
        <v>78</v>
      </c>
      <c r="HO22" s="16">
        <v>32</v>
      </c>
      <c r="HP22" s="16">
        <v>28</v>
      </c>
      <c r="HQ22" s="6">
        <v>65</v>
      </c>
      <c r="HR22" s="6">
        <v>33</v>
      </c>
      <c r="HS22" s="6">
        <v>37</v>
      </c>
      <c r="HT22" s="16">
        <v>62</v>
      </c>
      <c r="HU22" s="16">
        <v>29</v>
      </c>
      <c r="HV22" s="16">
        <v>31</v>
      </c>
      <c r="HW22" s="16">
        <v>65</v>
      </c>
      <c r="HX22" s="16">
        <v>36</v>
      </c>
      <c r="HY22" s="16">
        <v>35</v>
      </c>
      <c r="HZ22" s="87">
        <v>69</v>
      </c>
      <c r="IA22" s="16">
        <v>34</v>
      </c>
      <c r="IB22" s="16">
        <v>36</v>
      </c>
      <c r="IC22" s="6">
        <v>78</v>
      </c>
      <c r="ID22" s="6">
        <v>33</v>
      </c>
      <c r="IE22" s="6">
        <v>39</v>
      </c>
      <c r="IF22" s="16">
        <v>71</v>
      </c>
      <c r="IG22" s="14">
        <v>100</v>
      </c>
      <c r="IH22" s="14">
        <v>100</v>
      </c>
      <c r="II22" s="14">
        <v>100</v>
      </c>
      <c r="IJ22" s="14">
        <v>100</v>
      </c>
      <c r="IK22" s="14">
        <v>100</v>
      </c>
      <c r="IL22" s="14">
        <v>100</v>
      </c>
      <c r="IM22" s="14">
        <v>100</v>
      </c>
      <c r="IN22" s="14">
        <v>100</v>
      </c>
      <c r="IO22" s="14">
        <v>100</v>
      </c>
      <c r="IP22" s="14">
        <v>100</v>
      </c>
      <c r="IQ22" s="14">
        <v>100</v>
      </c>
      <c r="IR22" s="25">
        <v>100</v>
      </c>
      <c r="IS22" s="25">
        <v>100</v>
      </c>
      <c r="IT22" s="25">
        <v>100</v>
      </c>
      <c r="IU22" s="25">
        <v>100</v>
      </c>
      <c r="IV22" s="25">
        <v>100</v>
      </c>
      <c r="IW22" s="25">
        <v>100</v>
      </c>
      <c r="IX22" s="58">
        <f t="shared" si="0"/>
        <v>0</v>
      </c>
      <c r="IY22" s="2"/>
      <c r="IZ22" s="2"/>
      <c r="JA22" s="2"/>
      <c r="JB22" s="2"/>
      <c r="JC22" s="2"/>
    </row>
    <row r="23" spans="1:263" ht="13.5" customHeight="1">
      <c r="A23" s="55">
        <v>16</v>
      </c>
      <c r="B23" s="52" t="s">
        <v>107</v>
      </c>
      <c r="C23" s="5">
        <v>1300</v>
      </c>
      <c r="D23" s="32">
        <v>480</v>
      </c>
      <c r="E23" s="130">
        <v>390</v>
      </c>
      <c r="F23" s="117"/>
      <c r="G23" s="53"/>
      <c r="H23" s="53"/>
      <c r="I23" s="53"/>
      <c r="J23" s="53"/>
      <c r="K23" s="53"/>
      <c r="L23" s="53"/>
      <c r="M23" s="53"/>
      <c r="N23" s="53"/>
      <c r="O23" s="122">
        <v>100</v>
      </c>
      <c r="P23" s="70">
        <v>100</v>
      </c>
      <c r="Q23" s="70">
        <v>100</v>
      </c>
      <c r="R23" s="122">
        <v>100</v>
      </c>
      <c r="S23" s="70">
        <v>100</v>
      </c>
      <c r="T23" s="70">
        <v>100</v>
      </c>
      <c r="U23" s="122">
        <v>100</v>
      </c>
      <c r="V23" s="70">
        <v>100</v>
      </c>
      <c r="W23" s="70">
        <v>100</v>
      </c>
      <c r="X23" s="122">
        <v>100</v>
      </c>
      <c r="Y23" s="70">
        <v>100</v>
      </c>
      <c r="Z23" s="70"/>
      <c r="AA23" s="122">
        <v>100</v>
      </c>
      <c r="AB23" s="70">
        <v>100</v>
      </c>
      <c r="AC23" s="70"/>
      <c r="AD23" s="122">
        <v>100</v>
      </c>
      <c r="AE23" s="70">
        <v>100</v>
      </c>
      <c r="AF23" s="70"/>
      <c r="AG23" s="122">
        <v>100</v>
      </c>
      <c r="AH23" s="70">
        <v>100</v>
      </c>
      <c r="AI23" s="70"/>
      <c r="AJ23" s="122">
        <v>100</v>
      </c>
      <c r="AK23" s="70">
        <v>100</v>
      </c>
      <c r="AL23" s="70"/>
      <c r="AM23" s="122">
        <v>100</v>
      </c>
      <c r="AN23" s="70">
        <v>100</v>
      </c>
      <c r="AO23" s="70"/>
      <c r="AP23" s="122">
        <v>100</v>
      </c>
      <c r="AQ23" s="70">
        <v>100</v>
      </c>
      <c r="AR23" s="70"/>
      <c r="AS23" s="122">
        <v>100</v>
      </c>
      <c r="AT23" s="70">
        <v>100</v>
      </c>
      <c r="AU23" s="70"/>
      <c r="AV23" s="122">
        <v>100</v>
      </c>
      <c r="AW23" s="70">
        <v>100</v>
      </c>
      <c r="AX23" s="70"/>
      <c r="AY23" s="122">
        <v>100</v>
      </c>
      <c r="AZ23" s="70">
        <v>100</v>
      </c>
      <c r="BA23" s="70"/>
      <c r="BB23" s="122">
        <v>100</v>
      </c>
      <c r="BC23" s="70">
        <v>100</v>
      </c>
      <c r="BD23" s="70"/>
      <c r="BE23" s="122">
        <v>100</v>
      </c>
      <c r="BF23" s="70">
        <v>100</v>
      </c>
      <c r="BG23" s="70"/>
      <c r="BH23" s="122">
        <v>100</v>
      </c>
      <c r="BI23" s="70">
        <v>100</v>
      </c>
      <c r="BJ23" s="70"/>
      <c r="BK23" s="122">
        <v>100</v>
      </c>
      <c r="BL23" s="70">
        <v>100</v>
      </c>
      <c r="BM23" s="70"/>
      <c r="BN23" s="122">
        <v>100</v>
      </c>
      <c r="BO23" s="70">
        <v>100</v>
      </c>
      <c r="BP23" s="70"/>
      <c r="BQ23" s="122">
        <v>100</v>
      </c>
      <c r="BR23" s="70">
        <v>100</v>
      </c>
      <c r="BS23" s="70"/>
      <c r="BT23" s="122">
        <v>100</v>
      </c>
      <c r="BU23" s="70">
        <v>100</v>
      </c>
      <c r="BV23" s="70"/>
      <c r="BW23" s="122">
        <v>100</v>
      </c>
      <c r="BX23" s="70">
        <v>100</v>
      </c>
      <c r="BY23" s="70"/>
      <c r="BZ23" s="122">
        <v>100</v>
      </c>
      <c r="CA23" s="54">
        <v>75</v>
      </c>
      <c r="CB23" s="70"/>
      <c r="CC23" s="122">
        <v>100</v>
      </c>
      <c r="CD23" s="54">
        <v>75</v>
      </c>
      <c r="CE23" s="70"/>
      <c r="CF23" s="53">
        <v>88</v>
      </c>
      <c r="CG23" s="54">
        <v>70</v>
      </c>
      <c r="CH23" s="70"/>
      <c r="CI23" s="53">
        <v>72</v>
      </c>
      <c r="CJ23" s="54">
        <v>65</v>
      </c>
      <c r="CK23" s="54">
        <v>87</v>
      </c>
      <c r="CL23" s="53">
        <v>61</v>
      </c>
      <c r="CM23" s="54">
        <v>65</v>
      </c>
      <c r="CN23" s="54">
        <v>79</v>
      </c>
      <c r="CO23" s="53">
        <v>58</v>
      </c>
      <c r="CP23" s="54">
        <v>63</v>
      </c>
      <c r="CQ23" s="54">
        <v>75</v>
      </c>
      <c r="CR23" s="53">
        <v>43</v>
      </c>
      <c r="CS23" s="54">
        <v>62</v>
      </c>
      <c r="CT23" s="54">
        <v>71</v>
      </c>
      <c r="CU23" s="53">
        <v>47</v>
      </c>
      <c r="CV23" s="54">
        <v>55</v>
      </c>
      <c r="CW23" s="54">
        <v>68</v>
      </c>
      <c r="CX23" s="53">
        <v>58</v>
      </c>
      <c r="CY23" s="54">
        <v>59</v>
      </c>
      <c r="CZ23" s="54">
        <v>57</v>
      </c>
      <c r="DA23" s="53">
        <v>55</v>
      </c>
      <c r="DB23" s="54">
        <v>56</v>
      </c>
      <c r="DC23" s="54">
        <v>52</v>
      </c>
      <c r="DD23" s="53">
        <v>67</v>
      </c>
      <c r="DE23" s="54">
        <v>51</v>
      </c>
      <c r="DF23" s="54">
        <v>57</v>
      </c>
      <c r="DG23" s="53">
        <v>65</v>
      </c>
      <c r="DH23" s="54">
        <v>50</v>
      </c>
      <c r="DI23" s="54">
        <v>53</v>
      </c>
      <c r="DJ23" s="53">
        <v>10</v>
      </c>
      <c r="DK23" s="54">
        <v>47</v>
      </c>
      <c r="DL23" s="54">
        <v>46</v>
      </c>
      <c r="DM23" s="53">
        <v>6</v>
      </c>
      <c r="DN23" s="54">
        <v>38</v>
      </c>
      <c r="DO23" s="54">
        <v>36</v>
      </c>
      <c r="DP23" s="53">
        <v>4</v>
      </c>
      <c r="DQ23" s="54">
        <v>33</v>
      </c>
      <c r="DR23" s="54">
        <v>32</v>
      </c>
      <c r="DS23" s="53">
        <v>3</v>
      </c>
      <c r="DT23" s="54">
        <v>28</v>
      </c>
      <c r="DU23" s="54">
        <v>26</v>
      </c>
      <c r="DV23" s="53">
        <v>8</v>
      </c>
      <c r="DW23" s="54">
        <v>26</v>
      </c>
      <c r="DX23" s="54">
        <v>23</v>
      </c>
      <c r="DY23" s="53">
        <v>7</v>
      </c>
      <c r="DZ23" s="54">
        <v>22</v>
      </c>
      <c r="EA23" s="54">
        <v>18</v>
      </c>
      <c r="EB23" s="53">
        <v>9</v>
      </c>
      <c r="EC23" s="54">
        <v>19</v>
      </c>
      <c r="ED23" s="54">
        <v>13</v>
      </c>
      <c r="EE23" s="53">
        <v>8</v>
      </c>
      <c r="EF23" s="54">
        <v>16</v>
      </c>
      <c r="EG23" s="54">
        <v>11</v>
      </c>
      <c r="EH23" s="53">
        <v>6</v>
      </c>
      <c r="EI23" s="54">
        <v>19</v>
      </c>
      <c r="EJ23" s="54">
        <v>13</v>
      </c>
      <c r="EK23" s="53">
        <v>8</v>
      </c>
      <c r="EL23" s="54">
        <v>16</v>
      </c>
      <c r="EM23" s="54">
        <v>18</v>
      </c>
      <c r="EN23" s="53">
        <v>9</v>
      </c>
      <c r="EO23" s="54">
        <v>14</v>
      </c>
      <c r="EP23" s="54">
        <v>16</v>
      </c>
      <c r="EQ23" s="53">
        <v>8</v>
      </c>
      <c r="ER23" s="54">
        <v>16</v>
      </c>
      <c r="ES23" s="54">
        <v>12</v>
      </c>
      <c r="ET23" s="53">
        <v>6</v>
      </c>
      <c r="EU23" s="54">
        <v>14</v>
      </c>
      <c r="EV23" s="54">
        <v>11</v>
      </c>
      <c r="EW23" s="53">
        <v>5</v>
      </c>
      <c r="EX23" s="54">
        <v>13</v>
      </c>
      <c r="EY23" s="54">
        <v>16</v>
      </c>
      <c r="EZ23" s="53">
        <v>4</v>
      </c>
      <c r="FA23" s="54">
        <v>12</v>
      </c>
      <c r="FB23" s="54">
        <v>14</v>
      </c>
      <c r="FC23" s="71">
        <v>8</v>
      </c>
      <c r="FD23" s="54">
        <v>12</v>
      </c>
      <c r="FE23" s="54">
        <v>18</v>
      </c>
      <c r="FF23" s="54">
        <v>23</v>
      </c>
      <c r="FG23" s="54">
        <v>16</v>
      </c>
      <c r="FH23" s="54">
        <v>15</v>
      </c>
      <c r="FI23" s="54">
        <v>21</v>
      </c>
      <c r="FJ23" s="54">
        <v>14</v>
      </c>
      <c r="FK23" s="54">
        <v>19</v>
      </c>
      <c r="FL23" s="54">
        <v>25</v>
      </c>
      <c r="FM23" s="54">
        <v>18</v>
      </c>
      <c r="FN23" s="54">
        <v>25</v>
      </c>
      <c r="FO23" s="6">
        <v>9</v>
      </c>
      <c r="FP23" s="6">
        <v>15</v>
      </c>
      <c r="FQ23" s="6">
        <v>23</v>
      </c>
      <c r="FR23" s="16">
        <v>7</v>
      </c>
      <c r="FS23" s="16">
        <v>13</v>
      </c>
      <c r="FT23" s="16">
        <v>22</v>
      </c>
      <c r="FU23" s="16">
        <v>6</v>
      </c>
      <c r="FV23" s="16">
        <v>18</v>
      </c>
      <c r="FW23" s="16">
        <v>21</v>
      </c>
      <c r="FX23" s="16">
        <v>8</v>
      </c>
      <c r="FY23" s="16">
        <v>20</v>
      </c>
      <c r="FZ23" s="16">
        <v>25</v>
      </c>
      <c r="GA23" s="16">
        <v>9</v>
      </c>
      <c r="GB23" s="16">
        <v>16</v>
      </c>
      <c r="GC23" s="16">
        <v>28</v>
      </c>
      <c r="GD23" s="16">
        <v>10</v>
      </c>
      <c r="GE23" s="16">
        <v>14</v>
      </c>
      <c r="GF23" s="16">
        <v>23</v>
      </c>
      <c r="GG23" s="16">
        <v>16</v>
      </c>
      <c r="GH23" s="16">
        <v>19</v>
      </c>
      <c r="GI23" s="16">
        <v>18</v>
      </c>
      <c r="GJ23" s="16">
        <v>14</v>
      </c>
      <c r="GK23" s="16">
        <v>16</v>
      </c>
      <c r="GL23" s="16">
        <v>12</v>
      </c>
      <c r="GM23" s="16">
        <v>20</v>
      </c>
      <c r="GN23" s="16">
        <v>18</v>
      </c>
      <c r="GO23" s="16">
        <v>17</v>
      </c>
      <c r="GP23" s="16">
        <v>18</v>
      </c>
      <c r="GQ23" s="16">
        <v>15</v>
      </c>
      <c r="GR23" s="16">
        <v>14</v>
      </c>
      <c r="GS23" s="16">
        <v>14</v>
      </c>
      <c r="GT23" s="16">
        <v>13</v>
      </c>
      <c r="GU23" s="16">
        <v>18</v>
      </c>
      <c r="GV23" s="16">
        <v>12</v>
      </c>
      <c r="GW23" s="16">
        <v>11</v>
      </c>
      <c r="GX23" s="16">
        <v>19</v>
      </c>
      <c r="GY23" s="16">
        <v>14</v>
      </c>
      <c r="GZ23" s="16">
        <v>19</v>
      </c>
      <c r="HA23" s="16">
        <v>17</v>
      </c>
      <c r="HB23" s="16">
        <v>12</v>
      </c>
      <c r="HC23" s="16">
        <v>16</v>
      </c>
      <c r="HD23" s="16">
        <v>14</v>
      </c>
      <c r="HE23" s="16">
        <v>33</v>
      </c>
      <c r="HF23" s="16">
        <v>18</v>
      </c>
      <c r="HG23" s="16">
        <v>21</v>
      </c>
      <c r="HH23" s="16">
        <v>20</v>
      </c>
      <c r="HI23" s="16">
        <v>15</v>
      </c>
      <c r="HJ23" s="16">
        <v>16</v>
      </c>
      <c r="HK23" s="16">
        <v>12</v>
      </c>
      <c r="HL23" s="16">
        <v>13</v>
      </c>
      <c r="HM23" s="16">
        <v>13</v>
      </c>
      <c r="HN23" s="16">
        <v>11</v>
      </c>
      <c r="HO23" s="16">
        <v>12</v>
      </c>
      <c r="HP23" s="16">
        <v>11</v>
      </c>
      <c r="HQ23" s="6">
        <v>13</v>
      </c>
      <c r="HR23" s="6">
        <v>15</v>
      </c>
      <c r="HS23" s="6">
        <v>14</v>
      </c>
      <c r="HT23" s="16">
        <v>11</v>
      </c>
      <c r="HU23" s="16">
        <v>12</v>
      </c>
      <c r="HV23" s="16">
        <v>12</v>
      </c>
      <c r="HW23" s="16">
        <v>15</v>
      </c>
      <c r="HX23" s="16">
        <v>13</v>
      </c>
      <c r="HY23" s="16">
        <v>12</v>
      </c>
      <c r="HZ23" s="16">
        <v>24</v>
      </c>
      <c r="IA23" s="16">
        <v>15</v>
      </c>
      <c r="IB23" s="16">
        <v>14</v>
      </c>
      <c r="IC23" s="6">
        <v>18</v>
      </c>
      <c r="ID23" s="6">
        <v>17</v>
      </c>
      <c r="IE23" s="6">
        <v>15</v>
      </c>
      <c r="IF23" s="87">
        <v>10</v>
      </c>
      <c r="IG23" s="86">
        <v>8</v>
      </c>
      <c r="IH23" s="86">
        <v>7</v>
      </c>
      <c r="II23" s="86">
        <v>10</v>
      </c>
      <c r="IJ23" s="86">
        <v>8</v>
      </c>
      <c r="IK23" s="86">
        <v>10</v>
      </c>
      <c r="IL23" s="16">
        <v>24</v>
      </c>
      <c r="IM23" s="16">
        <v>20</v>
      </c>
      <c r="IN23" s="16">
        <v>24</v>
      </c>
      <c r="IO23" s="16">
        <v>13</v>
      </c>
      <c r="IP23" s="16">
        <v>20</v>
      </c>
      <c r="IQ23" s="16">
        <v>18</v>
      </c>
      <c r="IR23" s="23">
        <v>14</v>
      </c>
      <c r="IS23" s="23">
        <v>22</v>
      </c>
      <c r="IT23" s="25">
        <v>100</v>
      </c>
      <c r="IU23" s="25">
        <v>100</v>
      </c>
      <c r="IV23" s="25">
        <v>100</v>
      </c>
      <c r="IW23" s="25">
        <v>100</v>
      </c>
      <c r="IX23" s="58">
        <f t="shared" si="0"/>
        <v>0</v>
      </c>
      <c r="IY23" s="2"/>
      <c r="IZ23" s="2"/>
      <c r="JA23" s="2"/>
      <c r="JB23" s="2"/>
      <c r="JC23" s="2"/>
    </row>
    <row r="24" spans="1:263" ht="13.5" customHeight="1">
      <c r="A24" s="55">
        <v>17</v>
      </c>
      <c r="B24" s="52" t="s">
        <v>108</v>
      </c>
      <c r="C24" s="29">
        <v>90</v>
      </c>
      <c r="D24" s="9">
        <v>110</v>
      </c>
      <c r="E24" s="9">
        <v>110</v>
      </c>
      <c r="F24" s="117"/>
      <c r="G24" s="53"/>
      <c r="H24" s="53"/>
      <c r="I24" s="53"/>
      <c r="J24" s="53"/>
      <c r="K24" s="53"/>
      <c r="L24" s="53"/>
      <c r="M24" s="53"/>
      <c r="N24" s="53"/>
      <c r="O24" s="122">
        <v>100</v>
      </c>
      <c r="P24" s="70">
        <v>100</v>
      </c>
      <c r="Q24" s="70">
        <v>100</v>
      </c>
      <c r="R24" s="122">
        <v>100</v>
      </c>
      <c r="S24" s="70">
        <v>100</v>
      </c>
      <c r="T24" s="70">
        <v>100</v>
      </c>
      <c r="U24" s="122">
        <v>100</v>
      </c>
      <c r="V24" s="70">
        <v>100</v>
      </c>
      <c r="W24" s="70">
        <v>100</v>
      </c>
      <c r="X24" s="122">
        <v>100</v>
      </c>
      <c r="Y24" s="70">
        <v>100</v>
      </c>
      <c r="Z24" s="70"/>
      <c r="AA24" s="122">
        <v>100</v>
      </c>
      <c r="AB24" s="70">
        <v>100</v>
      </c>
      <c r="AC24" s="70"/>
      <c r="AD24" s="122">
        <v>100</v>
      </c>
      <c r="AE24" s="70">
        <v>100</v>
      </c>
      <c r="AF24" s="70"/>
      <c r="AG24" s="122">
        <v>100</v>
      </c>
      <c r="AH24" s="70">
        <v>100</v>
      </c>
      <c r="AI24" s="70"/>
      <c r="AJ24" s="122">
        <v>100</v>
      </c>
      <c r="AK24" s="70">
        <v>100</v>
      </c>
      <c r="AL24" s="70"/>
      <c r="AM24" s="122">
        <v>100</v>
      </c>
      <c r="AN24" s="70">
        <v>100</v>
      </c>
      <c r="AO24" s="70"/>
      <c r="AP24" s="122">
        <v>100</v>
      </c>
      <c r="AQ24" s="70">
        <v>100</v>
      </c>
      <c r="AR24" s="70"/>
      <c r="AS24" s="122">
        <v>100</v>
      </c>
      <c r="AT24" s="70">
        <v>100</v>
      </c>
      <c r="AU24" s="70"/>
      <c r="AV24" s="122">
        <v>100</v>
      </c>
      <c r="AW24" s="70">
        <v>100</v>
      </c>
      <c r="AX24" s="70"/>
      <c r="AY24" s="122">
        <v>100</v>
      </c>
      <c r="AZ24" s="70">
        <v>100</v>
      </c>
      <c r="BA24" s="70"/>
      <c r="BB24" s="122">
        <v>100</v>
      </c>
      <c r="BC24" s="70">
        <v>100</v>
      </c>
      <c r="BD24" s="70"/>
      <c r="BE24" s="122">
        <v>100</v>
      </c>
      <c r="BF24" s="70">
        <v>100</v>
      </c>
      <c r="BG24" s="70"/>
      <c r="BH24" s="122">
        <v>100</v>
      </c>
      <c r="BI24" s="70">
        <v>100</v>
      </c>
      <c r="BJ24" s="70"/>
      <c r="BK24" s="122">
        <v>100</v>
      </c>
      <c r="BL24" s="70">
        <v>100</v>
      </c>
      <c r="BM24" s="70"/>
      <c r="BN24" s="122">
        <v>100</v>
      </c>
      <c r="BO24" s="70">
        <v>100</v>
      </c>
      <c r="BP24" s="70"/>
      <c r="BQ24" s="122">
        <v>100</v>
      </c>
      <c r="BR24" s="70">
        <v>100</v>
      </c>
      <c r="BS24" s="70"/>
      <c r="BT24" s="122">
        <v>100</v>
      </c>
      <c r="BU24" s="70">
        <v>100</v>
      </c>
      <c r="BV24" s="70"/>
      <c r="BW24" s="122">
        <v>100</v>
      </c>
      <c r="BX24" s="70">
        <v>100</v>
      </c>
      <c r="BY24" s="70"/>
      <c r="BZ24" s="122">
        <v>100</v>
      </c>
      <c r="CA24" s="70">
        <v>100</v>
      </c>
      <c r="CB24" s="70"/>
      <c r="CC24" s="122">
        <v>100</v>
      </c>
      <c r="CD24" s="70">
        <v>100</v>
      </c>
      <c r="CE24" s="70"/>
      <c r="CF24" s="122">
        <v>100</v>
      </c>
      <c r="CG24" s="70">
        <v>100</v>
      </c>
      <c r="CH24" s="70"/>
      <c r="CI24" s="122">
        <v>100</v>
      </c>
      <c r="CJ24" s="70">
        <v>100</v>
      </c>
      <c r="CK24" s="70"/>
      <c r="CL24" s="122">
        <v>100</v>
      </c>
      <c r="CM24" s="70">
        <v>100</v>
      </c>
      <c r="CN24" s="70"/>
      <c r="CO24" s="122">
        <v>100</v>
      </c>
      <c r="CP24" s="70">
        <v>100</v>
      </c>
      <c r="CQ24" s="70"/>
      <c r="CR24" s="122">
        <v>100</v>
      </c>
      <c r="CS24" s="70">
        <v>100</v>
      </c>
      <c r="CT24" s="70"/>
      <c r="CU24" s="122">
        <v>100</v>
      </c>
      <c r="CV24" s="70">
        <v>100</v>
      </c>
      <c r="CW24" s="70"/>
      <c r="CX24" s="114">
        <v>100</v>
      </c>
      <c r="CY24" s="115">
        <v>100</v>
      </c>
      <c r="CZ24" s="115"/>
      <c r="DA24" s="114">
        <v>100</v>
      </c>
      <c r="DB24" s="115">
        <v>100</v>
      </c>
      <c r="DC24" s="115"/>
      <c r="DD24" s="114">
        <v>100</v>
      </c>
      <c r="DE24" s="115">
        <v>100</v>
      </c>
      <c r="DF24" s="115"/>
      <c r="DG24" s="114">
        <v>100</v>
      </c>
      <c r="DH24" s="115">
        <v>100</v>
      </c>
      <c r="DI24" s="115"/>
      <c r="DJ24" s="114">
        <v>100</v>
      </c>
      <c r="DK24" s="115">
        <v>100</v>
      </c>
      <c r="DL24" s="115"/>
      <c r="DM24" s="114">
        <v>100</v>
      </c>
      <c r="DN24" s="115">
        <v>100</v>
      </c>
      <c r="DO24" s="115"/>
      <c r="DP24" s="114">
        <v>100</v>
      </c>
      <c r="DQ24" s="115">
        <v>100</v>
      </c>
      <c r="DR24" s="115"/>
      <c r="DS24" s="114">
        <v>100</v>
      </c>
      <c r="DT24" s="115">
        <v>100</v>
      </c>
      <c r="DU24" s="115"/>
      <c r="DV24" s="114">
        <v>100</v>
      </c>
      <c r="DW24" s="115">
        <v>100</v>
      </c>
      <c r="DX24" s="115"/>
      <c r="DY24" s="114">
        <v>100</v>
      </c>
      <c r="DZ24" s="115">
        <v>100</v>
      </c>
      <c r="EA24" s="115"/>
      <c r="EB24" s="114">
        <v>100</v>
      </c>
      <c r="EC24" s="115">
        <v>100</v>
      </c>
      <c r="ED24" s="115"/>
      <c r="EE24" s="114">
        <v>100</v>
      </c>
      <c r="EF24" s="115">
        <v>100</v>
      </c>
      <c r="EG24" s="115"/>
      <c r="EH24" s="114">
        <v>100</v>
      </c>
      <c r="EI24" s="115">
        <v>100</v>
      </c>
      <c r="EJ24" s="115"/>
      <c r="EK24" s="114">
        <v>100</v>
      </c>
      <c r="EL24" s="115">
        <v>100</v>
      </c>
      <c r="EM24" s="115"/>
      <c r="EN24" s="114">
        <v>100</v>
      </c>
      <c r="EO24" s="115">
        <v>100</v>
      </c>
      <c r="EP24" s="115"/>
      <c r="EQ24" s="114">
        <v>100</v>
      </c>
      <c r="ER24" s="115">
        <v>100</v>
      </c>
      <c r="ES24" s="115"/>
      <c r="ET24" s="114">
        <v>100</v>
      </c>
      <c r="EU24" s="115">
        <v>100</v>
      </c>
      <c r="EV24" s="115"/>
      <c r="EW24" s="114">
        <v>100</v>
      </c>
      <c r="EX24" s="115">
        <v>100</v>
      </c>
      <c r="EY24" s="115"/>
      <c r="EZ24" s="114">
        <v>100</v>
      </c>
      <c r="FA24" s="115">
        <v>100</v>
      </c>
      <c r="FB24" s="115">
        <v>100</v>
      </c>
      <c r="FC24" s="124">
        <v>100</v>
      </c>
      <c r="FD24" s="124">
        <v>100</v>
      </c>
      <c r="FE24" s="124">
        <v>100</v>
      </c>
      <c r="FF24" s="124">
        <v>100</v>
      </c>
      <c r="FG24" s="124">
        <v>100</v>
      </c>
      <c r="FH24" s="124">
        <v>100</v>
      </c>
      <c r="FI24" s="124">
        <v>100</v>
      </c>
      <c r="FJ24" s="124">
        <v>100</v>
      </c>
      <c r="FK24" s="124">
        <v>100</v>
      </c>
      <c r="FL24" s="124">
        <v>100</v>
      </c>
      <c r="FM24" s="124">
        <v>100</v>
      </c>
      <c r="FN24" s="124">
        <v>100</v>
      </c>
      <c r="FO24" s="14">
        <v>100</v>
      </c>
      <c r="FP24" s="14">
        <v>100</v>
      </c>
      <c r="FQ24" s="14">
        <v>100</v>
      </c>
      <c r="FR24" s="14">
        <v>100</v>
      </c>
      <c r="FS24" s="14">
        <v>100</v>
      </c>
      <c r="FT24" s="14">
        <v>100</v>
      </c>
      <c r="FU24" s="14">
        <v>100</v>
      </c>
      <c r="FV24" s="14">
        <v>100</v>
      </c>
      <c r="FW24" s="14">
        <v>100</v>
      </c>
      <c r="FX24" s="14">
        <v>100</v>
      </c>
      <c r="FY24" s="14">
        <v>100</v>
      </c>
      <c r="FZ24" s="14">
        <v>100</v>
      </c>
      <c r="GA24" s="14">
        <v>100</v>
      </c>
      <c r="GB24" s="14">
        <v>100</v>
      </c>
      <c r="GC24" s="14">
        <v>100</v>
      </c>
      <c r="GD24" s="14">
        <v>100</v>
      </c>
      <c r="GE24" s="14">
        <v>100</v>
      </c>
      <c r="GF24" s="14">
        <v>100</v>
      </c>
      <c r="GG24" s="14">
        <v>100</v>
      </c>
      <c r="GH24" s="14">
        <v>100</v>
      </c>
      <c r="GI24" s="14">
        <v>100</v>
      </c>
      <c r="GJ24" s="14">
        <v>100</v>
      </c>
      <c r="GK24" s="14">
        <v>100</v>
      </c>
      <c r="GL24" s="14">
        <v>100</v>
      </c>
      <c r="GM24" s="14">
        <v>100</v>
      </c>
      <c r="GN24" s="14">
        <v>100</v>
      </c>
      <c r="GO24" s="14">
        <v>100</v>
      </c>
      <c r="GP24" s="14">
        <v>100</v>
      </c>
      <c r="GQ24" s="14">
        <v>100</v>
      </c>
      <c r="GR24" s="14">
        <v>100</v>
      </c>
      <c r="GS24" s="14">
        <v>100</v>
      </c>
      <c r="GT24" s="14">
        <v>100</v>
      </c>
      <c r="GU24" s="14">
        <v>100</v>
      </c>
      <c r="GV24" s="14">
        <v>100</v>
      </c>
      <c r="GW24" s="14">
        <v>100</v>
      </c>
      <c r="GX24" s="14">
        <v>100</v>
      </c>
      <c r="GY24" s="14">
        <v>100</v>
      </c>
      <c r="GZ24" s="14">
        <v>100</v>
      </c>
      <c r="HA24" s="14">
        <v>100</v>
      </c>
      <c r="HB24" s="14">
        <v>100</v>
      </c>
      <c r="HC24" s="14">
        <v>100</v>
      </c>
      <c r="HD24" s="14">
        <v>100</v>
      </c>
      <c r="HE24" s="14">
        <v>100</v>
      </c>
      <c r="HF24" s="14">
        <v>100</v>
      </c>
      <c r="HG24" s="14">
        <v>100</v>
      </c>
      <c r="HH24" s="14">
        <v>100</v>
      </c>
      <c r="HI24" s="14">
        <v>100</v>
      </c>
      <c r="HJ24" s="14">
        <v>100</v>
      </c>
      <c r="HK24" s="14">
        <v>100</v>
      </c>
      <c r="HL24" s="14">
        <v>100</v>
      </c>
      <c r="HM24" s="14">
        <v>100</v>
      </c>
      <c r="HN24" s="14">
        <v>100</v>
      </c>
      <c r="HO24" s="14">
        <v>100</v>
      </c>
      <c r="HP24" s="14">
        <v>100</v>
      </c>
      <c r="HQ24" s="34">
        <v>100</v>
      </c>
      <c r="HR24" s="34">
        <v>100</v>
      </c>
      <c r="HS24" s="34">
        <v>100</v>
      </c>
      <c r="HT24" s="14">
        <v>100</v>
      </c>
      <c r="HU24" s="14">
        <v>100</v>
      </c>
      <c r="HV24" s="14">
        <v>100</v>
      </c>
      <c r="HW24" s="14">
        <v>100</v>
      </c>
      <c r="HX24" s="14">
        <v>100</v>
      </c>
      <c r="HY24" s="14">
        <v>100</v>
      </c>
      <c r="HZ24" s="14">
        <v>100</v>
      </c>
      <c r="IA24" s="14">
        <v>100</v>
      </c>
      <c r="IB24" s="14">
        <v>100</v>
      </c>
      <c r="IC24" s="34">
        <v>100</v>
      </c>
      <c r="ID24" s="34">
        <v>100</v>
      </c>
      <c r="IE24" s="34">
        <v>100</v>
      </c>
      <c r="IF24" s="14">
        <v>100</v>
      </c>
      <c r="IG24" s="14">
        <v>100</v>
      </c>
      <c r="IH24" s="14">
        <v>100</v>
      </c>
      <c r="II24" s="14">
        <v>100</v>
      </c>
      <c r="IJ24" s="14">
        <v>100</v>
      </c>
      <c r="IK24" s="14">
        <v>100</v>
      </c>
      <c r="IL24" s="14">
        <v>100</v>
      </c>
      <c r="IM24" s="14">
        <v>100</v>
      </c>
      <c r="IN24" s="14">
        <v>100</v>
      </c>
      <c r="IO24" s="14">
        <v>100</v>
      </c>
      <c r="IP24" s="14">
        <v>100</v>
      </c>
      <c r="IQ24" s="14">
        <v>100</v>
      </c>
      <c r="IR24" s="25">
        <v>100</v>
      </c>
      <c r="IS24" s="25">
        <v>100</v>
      </c>
      <c r="IT24" s="25">
        <v>100</v>
      </c>
      <c r="IU24" s="25">
        <v>100</v>
      </c>
      <c r="IV24" s="25">
        <v>100</v>
      </c>
      <c r="IW24" s="25">
        <v>100</v>
      </c>
      <c r="IX24" s="58">
        <f t="shared" si="0"/>
        <v>0</v>
      </c>
      <c r="IY24" s="2"/>
      <c r="IZ24" s="2"/>
      <c r="JA24" s="2"/>
      <c r="JB24" s="2"/>
      <c r="JC24" s="2"/>
    </row>
    <row r="25" spans="1:263" ht="13.5" customHeight="1">
      <c r="A25" s="55">
        <v>18</v>
      </c>
      <c r="B25" s="52" t="s">
        <v>109</v>
      </c>
      <c r="C25" s="5">
        <v>8100</v>
      </c>
      <c r="D25" s="5">
        <v>9900</v>
      </c>
      <c r="E25" s="130">
        <v>14800</v>
      </c>
      <c r="F25" s="117"/>
      <c r="G25" s="53"/>
      <c r="H25" s="53"/>
      <c r="I25" s="53"/>
      <c r="J25" s="53"/>
      <c r="K25" s="53"/>
      <c r="L25" s="53"/>
      <c r="M25" s="53"/>
      <c r="N25" s="53"/>
      <c r="O25" s="122">
        <v>100</v>
      </c>
      <c r="P25" s="70">
        <v>100</v>
      </c>
      <c r="Q25" s="70">
        <v>100</v>
      </c>
      <c r="R25" s="122">
        <v>100</v>
      </c>
      <c r="S25" s="70">
        <v>100</v>
      </c>
      <c r="T25" s="70">
        <v>100</v>
      </c>
      <c r="U25" s="53">
        <v>63</v>
      </c>
      <c r="V25" s="70">
        <v>100</v>
      </c>
      <c r="W25" s="70">
        <v>100</v>
      </c>
      <c r="X25" s="53">
        <v>59</v>
      </c>
      <c r="Y25" s="70">
        <v>100</v>
      </c>
      <c r="Z25" s="70">
        <v>100</v>
      </c>
      <c r="AA25" s="53">
        <v>55</v>
      </c>
      <c r="AB25" s="70">
        <v>100</v>
      </c>
      <c r="AC25" s="70">
        <v>100</v>
      </c>
      <c r="AD25" s="53">
        <v>52</v>
      </c>
      <c r="AE25" s="70">
        <v>100</v>
      </c>
      <c r="AF25" s="70">
        <v>100</v>
      </c>
      <c r="AG25" s="53">
        <v>65</v>
      </c>
      <c r="AH25" s="70">
        <v>100</v>
      </c>
      <c r="AI25" s="70">
        <v>100</v>
      </c>
      <c r="AJ25" s="53">
        <v>72</v>
      </c>
      <c r="AK25" s="54">
        <v>98</v>
      </c>
      <c r="AL25" s="70">
        <v>100</v>
      </c>
      <c r="AM25" s="53">
        <v>69</v>
      </c>
      <c r="AN25" s="54">
        <v>85</v>
      </c>
      <c r="AO25" s="70">
        <v>100</v>
      </c>
      <c r="AP25" s="53">
        <v>67</v>
      </c>
      <c r="AQ25" s="54">
        <v>79</v>
      </c>
      <c r="AR25" s="54">
        <v>92</v>
      </c>
      <c r="AS25" s="53">
        <v>62</v>
      </c>
      <c r="AT25" s="54">
        <v>75</v>
      </c>
      <c r="AU25" s="54">
        <v>84</v>
      </c>
      <c r="AV25" s="53">
        <v>57</v>
      </c>
      <c r="AW25" s="54">
        <v>62</v>
      </c>
      <c r="AX25" s="54">
        <v>80</v>
      </c>
      <c r="AY25" s="53">
        <v>85</v>
      </c>
      <c r="AZ25" s="54">
        <v>60</v>
      </c>
      <c r="BA25" s="54">
        <v>76</v>
      </c>
      <c r="BB25" s="53">
        <v>74</v>
      </c>
      <c r="BC25" s="54">
        <v>58</v>
      </c>
      <c r="BD25" s="54">
        <v>59</v>
      </c>
      <c r="BE25" s="53">
        <v>71</v>
      </c>
      <c r="BF25" s="54">
        <v>55</v>
      </c>
      <c r="BG25" s="54">
        <v>58</v>
      </c>
      <c r="BH25" s="53">
        <v>57</v>
      </c>
      <c r="BI25" s="54">
        <v>48</v>
      </c>
      <c r="BJ25" s="54">
        <v>35</v>
      </c>
      <c r="BK25" s="53">
        <v>52</v>
      </c>
      <c r="BL25" s="54">
        <v>45</v>
      </c>
      <c r="BM25" s="54">
        <v>31</v>
      </c>
      <c r="BN25" s="53">
        <v>61</v>
      </c>
      <c r="BO25" s="54">
        <v>38</v>
      </c>
      <c r="BP25" s="54">
        <v>46</v>
      </c>
      <c r="BQ25" s="53">
        <v>53</v>
      </c>
      <c r="BR25" s="54">
        <v>48</v>
      </c>
      <c r="BS25" s="54">
        <v>64</v>
      </c>
      <c r="BT25" s="53">
        <v>35</v>
      </c>
      <c r="BU25" s="54">
        <v>52</v>
      </c>
      <c r="BV25" s="54">
        <v>58</v>
      </c>
      <c r="BW25" s="53">
        <v>33</v>
      </c>
      <c r="BX25" s="54">
        <v>50</v>
      </c>
      <c r="BY25" s="54">
        <v>62</v>
      </c>
      <c r="BZ25" s="53">
        <v>28</v>
      </c>
      <c r="CA25" s="54">
        <v>56</v>
      </c>
      <c r="CB25" s="54">
        <v>60</v>
      </c>
      <c r="CC25" s="53">
        <v>19</v>
      </c>
      <c r="CD25" s="54">
        <v>54</v>
      </c>
      <c r="CE25" s="54">
        <v>58</v>
      </c>
      <c r="CF25" s="53">
        <v>25</v>
      </c>
      <c r="CG25" s="54">
        <v>42</v>
      </c>
      <c r="CH25" s="54">
        <v>47</v>
      </c>
      <c r="CI25" s="53">
        <v>21</v>
      </c>
      <c r="CJ25" s="54">
        <v>34</v>
      </c>
      <c r="CK25" s="54">
        <v>37</v>
      </c>
      <c r="CL25" s="53">
        <v>35</v>
      </c>
      <c r="CM25" s="54">
        <v>26</v>
      </c>
      <c r="CN25" s="54">
        <v>23</v>
      </c>
      <c r="CO25" s="53">
        <v>38</v>
      </c>
      <c r="CP25" s="54">
        <v>25</v>
      </c>
      <c r="CQ25" s="54">
        <v>29</v>
      </c>
      <c r="CR25" s="53">
        <v>54</v>
      </c>
      <c r="CS25" s="54">
        <v>29</v>
      </c>
      <c r="CT25" s="54">
        <v>25</v>
      </c>
      <c r="CU25" s="53">
        <v>64</v>
      </c>
      <c r="CV25" s="54">
        <v>54</v>
      </c>
      <c r="CW25" s="54">
        <v>52</v>
      </c>
      <c r="CX25" s="53">
        <v>67</v>
      </c>
      <c r="CY25" s="54">
        <v>43</v>
      </c>
      <c r="CZ25" s="54">
        <v>48</v>
      </c>
      <c r="DA25" s="53">
        <v>45</v>
      </c>
      <c r="DB25" s="54">
        <v>27</v>
      </c>
      <c r="DC25" s="54">
        <v>54</v>
      </c>
      <c r="DD25" s="53">
        <v>57</v>
      </c>
      <c r="DE25" s="54">
        <v>27</v>
      </c>
      <c r="DF25" s="54">
        <v>40</v>
      </c>
      <c r="DG25" s="53">
        <v>62</v>
      </c>
      <c r="DH25" s="54">
        <v>29</v>
      </c>
      <c r="DI25" s="54">
        <v>36</v>
      </c>
      <c r="DJ25" s="53">
        <v>58</v>
      </c>
      <c r="DK25" s="54">
        <v>23</v>
      </c>
      <c r="DL25" s="54">
        <v>32</v>
      </c>
      <c r="DM25" s="53">
        <v>52</v>
      </c>
      <c r="DN25" s="54">
        <v>21</v>
      </c>
      <c r="DO25" s="54">
        <v>29</v>
      </c>
      <c r="DP25" s="53">
        <v>49</v>
      </c>
      <c r="DQ25" s="54">
        <v>29</v>
      </c>
      <c r="DR25" s="54">
        <v>27</v>
      </c>
      <c r="DS25" s="53">
        <v>54</v>
      </c>
      <c r="DT25" s="54">
        <v>37</v>
      </c>
      <c r="DU25" s="54">
        <v>29</v>
      </c>
      <c r="DV25" s="53">
        <v>57</v>
      </c>
      <c r="DW25" s="54">
        <v>28</v>
      </c>
      <c r="DX25" s="54">
        <v>27</v>
      </c>
      <c r="DY25" s="53">
        <v>52</v>
      </c>
      <c r="DZ25" s="54">
        <v>34</v>
      </c>
      <c r="EA25" s="54">
        <v>25</v>
      </c>
      <c r="EB25" s="53">
        <v>48</v>
      </c>
      <c r="EC25" s="54">
        <v>32</v>
      </c>
      <c r="ED25" s="54">
        <v>30</v>
      </c>
      <c r="EE25" s="53">
        <v>46</v>
      </c>
      <c r="EF25" s="54">
        <v>23</v>
      </c>
      <c r="EG25" s="54">
        <v>28</v>
      </c>
      <c r="EH25" s="53">
        <v>43</v>
      </c>
      <c r="EI25" s="54">
        <v>28</v>
      </c>
      <c r="EJ25" s="54">
        <v>22</v>
      </c>
      <c r="EK25" s="53">
        <v>41</v>
      </c>
      <c r="EL25" s="54">
        <v>23</v>
      </c>
      <c r="EM25" s="54">
        <v>28</v>
      </c>
      <c r="EN25" s="53">
        <v>52</v>
      </c>
      <c r="EO25" s="54">
        <v>28</v>
      </c>
      <c r="EP25" s="54">
        <v>26</v>
      </c>
      <c r="EQ25" s="53">
        <v>58</v>
      </c>
      <c r="ER25" s="54">
        <v>23</v>
      </c>
      <c r="ES25" s="54">
        <v>24</v>
      </c>
      <c r="ET25" s="53">
        <v>55</v>
      </c>
      <c r="EU25" s="54">
        <v>29</v>
      </c>
      <c r="EV25" s="54">
        <v>23</v>
      </c>
      <c r="EW25" s="53">
        <v>51</v>
      </c>
      <c r="EX25" s="54">
        <v>23</v>
      </c>
      <c r="EY25" s="54">
        <v>29</v>
      </c>
      <c r="EZ25" s="53">
        <v>53</v>
      </c>
      <c r="FA25" s="54">
        <v>26</v>
      </c>
      <c r="FB25" s="54">
        <v>24</v>
      </c>
      <c r="FC25" s="54">
        <v>48</v>
      </c>
      <c r="FD25" s="54">
        <v>22</v>
      </c>
      <c r="FE25" s="54">
        <v>29</v>
      </c>
      <c r="FF25" s="54">
        <v>54</v>
      </c>
      <c r="FG25" s="54">
        <v>18</v>
      </c>
      <c r="FH25" s="54">
        <v>23</v>
      </c>
      <c r="FI25" s="54">
        <v>58</v>
      </c>
      <c r="FJ25" s="54">
        <v>12</v>
      </c>
      <c r="FK25" s="54">
        <v>20</v>
      </c>
      <c r="FL25" s="54">
        <v>55</v>
      </c>
      <c r="FM25" s="54">
        <v>18</v>
      </c>
      <c r="FN25" s="54">
        <v>19</v>
      </c>
      <c r="FO25" s="6">
        <v>53</v>
      </c>
      <c r="FP25" s="6">
        <v>16</v>
      </c>
      <c r="FQ25" s="6">
        <v>13</v>
      </c>
      <c r="FR25" s="16">
        <v>46</v>
      </c>
      <c r="FS25" s="16">
        <v>15</v>
      </c>
      <c r="FT25" s="16">
        <v>12</v>
      </c>
      <c r="FU25" s="16">
        <v>53</v>
      </c>
      <c r="FV25" s="6">
        <v>17</v>
      </c>
      <c r="FW25" s="6">
        <v>15</v>
      </c>
      <c r="FX25" s="6">
        <v>50</v>
      </c>
      <c r="FY25" s="6">
        <v>18</v>
      </c>
      <c r="FZ25" s="6">
        <v>13</v>
      </c>
      <c r="GA25" s="16">
        <v>46</v>
      </c>
      <c r="GB25" s="16">
        <v>13</v>
      </c>
      <c r="GC25" s="16">
        <v>18</v>
      </c>
      <c r="GD25" s="16">
        <v>55</v>
      </c>
      <c r="GE25" s="16">
        <v>28</v>
      </c>
      <c r="GF25" s="16">
        <v>25</v>
      </c>
      <c r="GG25" s="84">
        <v>51</v>
      </c>
      <c r="GH25" s="16">
        <v>23</v>
      </c>
      <c r="GI25" s="16">
        <v>28</v>
      </c>
      <c r="GJ25" s="84">
        <v>43</v>
      </c>
      <c r="GK25" s="16">
        <v>22</v>
      </c>
      <c r="GL25" s="16">
        <v>26</v>
      </c>
      <c r="GM25" s="84">
        <v>46</v>
      </c>
      <c r="GN25" s="16">
        <v>20</v>
      </c>
      <c r="GO25" s="16">
        <v>28</v>
      </c>
      <c r="GP25" s="16">
        <v>49</v>
      </c>
      <c r="GQ25" s="16">
        <v>18</v>
      </c>
      <c r="GR25" s="16">
        <v>23</v>
      </c>
      <c r="GS25" s="16">
        <v>48</v>
      </c>
      <c r="GT25" s="16">
        <v>12</v>
      </c>
      <c r="GU25" s="16">
        <v>20</v>
      </c>
      <c r="GV25" s="16">
        <v>59</v>
      </c>
      <c r="GW25" s="16">
        <v>16</v>
      </c>
      <c r="GX25" s="16">
        <v>25</v>
      </c>
      <c r="GY25" s="16">
        <v>68</v>
      </c>
      <c r="GZ25" s="16">
        <v>19</v>
      </c>
      <c r="HA25" s="16">
        <v>22</v>
      </c>
      <c r="HB25" s="16">
        <v>65</v>
      </c>
      <c r="HC25" s="16">
        <v>20</v>
      </c>
      <c r="HD25" s="16">
        <v>28</v>
      </c>
      <c r="HE25" s="16">
        <v>62</v>
      </c>
      <c r="HF25" s="16">
        <v>18</v>
      </c>
      <c r="HG25" s="16">
        <v>22</v>
      </c>
      <c r="HH25" s="16">
        <v>58</v>
      </c>
      <c r="HI25" s="16">
        <v>12</v>
      </c>
      <c r="HJ25" s="16">
        <v>23</v>
      </c>
      <c r="HK25" s="16">
        <v>62</v>
      </c>
      <c r="HL25" s="16">
        <v>15</v>
      </c>
      <c r="HM25" s="16">
        <v>29</v>
      </c>
      <c r="HN25" s="16">
        <v>58</v>
      </c>
      <c r="HO25" s="16">
        <v>16</v>
      </c>
      <c r="HP25" s="16">
        <v>23</v>
      </c>
      <c r="HQ25" s="6">
        <v>52</v>
      </c>
      <c r="HR25" s="6">
        <v>13</v>
      </c>
      <c r="HS25" s="6">
        <v>19</v>
      </c>
      <c r="HT25" s="16">
        <v>58</v>
      </c>
      <c r="HU25" s="16">
        <v>18</v>
      </c>
      <c r="HV25" s="16">
        <v>21</v>
      </c>
      <c r="HW25" s="16">
        <v>53</v>
      </c>
      <c r="HX25" s="16">
        <v>24</v>
      </c>
      <c r="HY25" s="16">
        <v>25</v>
      </c>
      <c r="HZ25" s="87">
        <v>57</v>
      </c>
      <c r="IA25" s="16">
        <v>26</v>
      </c>
      <c r="IB25" s="16">
        <v>27</v>
      </c>
      <c r="IC25" s="6">
        <v>52</v>
      </c>
      <c r="ID25" s="6">
        <v>28</v>
      </c>
      <c r="IE25" s="6">
        <v>35</v>
      </c>
      <c r="IF25" s="14">
        <v>100</v>
      </c>
      <c r="IG25" s="14">
        <v>100</v>
      </c>
      <c r="IH25" s="14">
        <v>100</v>
      </c>
      <c r="II25" s="14">
        <v>100</v>
      </c>
      <c r="IJ25" s="14">
        <v>100</v>
      </c>
      <c r="IK25" s="14">
        <v>100</v>
      </c>
      <c r="IL25" s="14">
        <v>100</v>
      </c>
      <c r="IM25" s="14">
        <v>100</v>
      </c>
      <c r="IN25" s="14">
        <v>100</v>
      </c>
      <c r="IO25" s="14">
        <v>100</v>
      </c>
      <c r="IP25" s="14">
        <v>100</v>
      </c>
      <c r="IQ25" s="14">
        <v>100</v>
      </c>
      <c r="IR25" s="25">
        <v>100</v>
      </c>
      <c r="IS25" s="25">
        <v>100</v>
      </c>
      <c r="IT25" s="25">
        <v>100</v>
      </c>
      <c r="IU25" s="25">
        <v>100</v>
      </c>
      <c r="IV25" s="25">
        <v>100</v>
      </c>
      <c r="IW25" s="25">
        <v>100</v>
      </c>
      <c r="IX25" s="58">
        <f t="shared" si="0"/>
        <v>0</v>
      </c>
      <c r="IY25" s="2"/>
      <c r="IZ25" s="2"/>
      <c r="JA25" s="2"/>
      <c r="JB25" s="2"/>
      <c r="JC25" s="2"/>
    </row>
    <row r="26" spans="1:263" ht="13.5" customHeight="1">
      <c r="A26" s="55">
        <v>19</v>
      </c>
      <c r="B26" s="52" t="s">
        <v>110</v>
      </c>
      <c r="C26" s="6">
        <v>320</v>
      </c>
      <c r="D26" s="33">
        <v>210</v>
      </c>
      <c r="E26" s="131">
        <v>260</v>
      </c>
      <c r="F26" s="117"/>
      <c r="G26" s="53"/>
      <c r="H26" s="53"/>
      <c r="I26" s="53"/>
      <c r="J26" s="53"/>
      <c r="K26" s="53"/>
      <c r="L26" s="53"/>
      <c r="M26" s="53"/>
      <c r="N26" s="53"/>
      <c r="O26" s="122">
        <v>100</v>
      </c>
      <c r="P26" s="70">
        <v>100</v>
      </c>
      <c r="Q26" s="70">
        <v>100</v>
      </c>
      <c r="R26" s="122">
        <v>100</v>
      </c>
      <c r="S26" s="70">
        <v>100</v>
      </c>
      <c r="T26" s="70">
        <v>100</v>
      </c>
      <c r="U26" s="122">
        <v>100</v>
      </c>
      <c r="V26" s="70">
        <v>100</v>
      </c>
      <c r="W26" s="70">
        <v>100</v>
      </c>
      <c r="X26" s="122">
        <v>100</v>
      </c>
      <c r="Y26" s="70">
        <v>100</v>
      </c>
      <c r="Z26" s="70"/>
      <c r="AA26" s="122">
        <v>100</v>
      </c>
      <c r="AB26" s="70">
        <v>100</v>
      </c>
      <c r="AC26" s="70"/>
      <c r="AD26" s="122">
        <v>100</v>
      </c>
      <c r="AE26" s="70">
        <v>100</v>
      </c>
      <c r="AF26" s="70"/>
      <c r="AG26" s="53">
        <v>64</v>
      </c>
      <c r="AH26" s="70">
        <v>100</v>
      </c>
      <c r="AI26" s="70"/>
      <c r="AJ26" s="53">
        <v>59</v>
      </c>
      <c r="AK26" s="54">
        <v>84</v>
      </c>
      <c r="AL26" s="70"/>
      <c r="AM26" s="53">
        <v>65</v>
      </c>
      <c r="AN26" s="54">
        <v>82</v>
      </c>
      <c r="AO26" s="70">
        <v>100</v>
      </c>
      <c r="AP26" s="53">
        <v>72</v>
      </c>
      <c r="AQ26" s="54">
        <v>75</v>
      </c>
      <c r="AR26" s="54">
        <v>94</v>
      </c>
      <c r="AS26" s="53">
        <v>65</v>
      </c>
      <c r="AT26" s="54">
        <v>71</v>
      </c>
      <c r="AU26" s="54">
        <v>90</v>
      </c>
      <c r="AV26" s="53">
        <v>72</v>
      </c>
      <c r="AW26" s="54">
        <v>69</v>
      </c>
      <c r="AX26" s="54">
        <v>85</v>
      </c>
      <c r="AY26" s="53">
        <v>70</v>
      </c>
      <c r="AZ26" s="54">
        <v>64</v>
      </c>
      <c r="BA26" s="54">
        <v>81</v>
      </c>
      <c r="BB26" s="53">
        <v>78</v>
      </c>
      <c r="BC26" s="54">
        <v>62</v>
      </c>
      <c r="BD26" s="54">
        <v>80</v>
      </c>
      <c r="BE26" s="122">
        <v>100</v>
      </c>
      <c r="BF26" s="54">
        <v>69</v>
      </c>
      <c r="BG26" s="54">
        <v>75</v>
      </c>
      <c r="BH26" s="122">
        <v>100</v>
      </c>
      <c r="BI26" s="70">
        <v>100</v>
      </c>
      <c r="BJ26" s="70">
        <v>100</v>
      </c>
      <c r="BK26" s="122">
        <v>100</v>
      </c>
      <c r="BL26" s="54">
        <v>85</v>
      </c>
      <c r="BM26" s="70">
        <v>100</v>
      </c>
      <c r="BN26" s="122">
        <v>100</v>
      </c>
      <c r="BO26" s="54">
        <v>73</v>
      </c>
      <c r="BP26" s="54">
        <v>95</v>
      </c>
      <c r="BQ26" s="122">
        <v>100</v>
      </c>
      <c r="BR26" s="54">
        <v>70</v>
      </c>
      <c r="BS26" s="54">
        <v>84</v>
      </c>
      <c r="BT26" s="122">
        <v>100</v>
      </c>
      <c r="BU26" s="54">
        <v>64</v>
      </c>
      <c r="BV26" s="54">
        <v>78</v>
      </c>
      <c r="BW26" s="122">
        <v>100</v>
      </c>
      <c r="BX26" s="54">
        <v>60</v>
      </c>
      <c r="BY26" s="54">
        <v>68</v>
      </c>
      <c r="BZ26" s="53">
        <v>93</v>
      </c>
      <c r="CA26" s="54">
        <v>59</v>
      </c>
      <c r="CB26" s="54">
        <v>64</v>
      </c>
      <c r="CC26" s="53">
        <v>81</v>
      </c>
      <c r="CD26" s="54">
        <v>50</v>
      </c>
      <c r="CE26" s="54">
        <v>65</v>
      </c>
      <c r="CF26" s="53">
        <v>76</v>
      </c>
      <c r="CG26" s="54">
        <v>51</v>
      </c>
      <c r="CH26" s="54">
        <v>54</v>
      </c>
      <c r="CI26" s="53">
        <v>74</v>
      </c>
      <c r="CJ26" s="54">
        <v>41</v>
      </c>
      <c r="CK26" s="54">
        <v>59</v>
      </c>
      <c r="CL26" s="53">
        <v>68</v>
      </c>
      <c r="CM26" s="54">
        <v>40</v>
      </c>
      <c r="CN26" s="54">
        <v>55</v>
      </c>
      <c r="CO26" s="53">
        <v>73</v>
      </c>
      <c r="CP26" s="54">
        <v>38</v>
      </c>
      <c r="CQ26" s="54">
        <v>42</v>
      </c>
      <c r="CR26" s="53">
        <v>67</v>
      </c>
      <c r="CS26" s="54">
        <v>36</v>
      </c>
      <c r="CT26" s="54">
        <v>40</v>
      </c>
      <c r="CU26" s="53">
        <v>62</v>
      </c>
      <c r="CV26" s="54">
        <v>38</v>
      </c>
      <c r="CW26" s="54">
        <v>42</v>
      </c>
      <c r="CX26" s="53">
        <v>57</v>
      </c>
      <c r="CY26" s="54">
        <v>40</v>
      </c>
      <c r="CZ26" s="54">
        <v>49</v>
      </c>
      <c r="DA26" s="53">
        <v>52</v>
      </c>
      <c r="DB26" s="54">
        <v>37</v>
      </c>
      <c r="DC26" s="54">
        <v>44</v>
      </c>
      <c r="DD26" s="53">
        <v>55</v>
      </c>
      <c r="DE26" s="54">
        <v>39</v>
      </c>
      <c r="DF26" s="54">
        <v>42</v>
      </c>
      <c r="DG26" s="53">
        <v>51</v>
      </c>
      <c r="DH26" s="54">
        <v>33</v>
      </c>
      <c r="DI26" s="54">
        <v>36</v>
      </c>
      <c r="DJ26" s="53">
        <v>57</v>
      </c>
      <c r="DK26" s="54">
        <v>38</v>
      </c>
      <c r="DL26" s="54">
        <v>34</v>
      </c>
      <c r="DM26" s="53">
        <v>51</v>
      </c>
      <c r="DN26" s="54">
        <v>33</v>
      </c>
      <c r="DO26" s="54">
        <v>36</v>
      </c>
      <c r="DP26" s="53">
        <v>46</v>
      </c>
      <c r="DQ26" s="54">
        <v>23</v>
      </c>
      <c r="DR26" s="54">
        <v>32</v>
      </c>
      <c r="DS26" s="53">
        <v>54</v>
      </c>
      <c r="DT26" s="54">
        <v>25</v>
      </c>
      <c r="DU26" s="54">
        <v>26</v>
      </c>
      <c r="DV26" s="53">
        <v>49</v>
      </c>
      <c r="DW26" s="54">
        <v>23</v>
      </c>
      <c r="DX26" s="54">
        <v>28</v>
      </c>
      <c r="DY26" s="53">
        <v>46</v>
      </c>
      <c r="DZ26" s="54">
        <v>29</v>
      </c>
      <c r="EA26" s="54">
        <v>23</v>
      </c>
      <c r="EB26" s="53">
        <v>43</v>
      </c>
      <c r="EC26" s="54">
        <v>23</v>
      </c>
      <c r="ED26" s="54">
        <v>56</v>
      </c>
      <c r="EE26" s="53">
        <v>59</v>
      </c>
      <c r="EF26" s="54">
        <v>21</v>
      </c>
      <c r="EG26" s="54">
        <v>53</v>
      </c>
      <c r="EH26" s="53">
        <v>58</v>
      </c>
      <c r="EI26" s="54">
        <v>26</v>
      </c>
      <c r="EJ26" s="54">
        <v>51</v>
      </c>
      <c r="EK26" s="53">
        <v>53</v>
      </c>
      <c r="EL26" s="54">
        <v>29</v>
      </c>
      <c r="EM26" s="54">
        <v>49</v>
      </c>
      <c r="EN26" s="53">
        <v>51</v>
      </c>
      <c r="EO26" s="54">
        <v>25</v>
      </c>
      <c r="EP26" s="54">
        <v>44</v>
      </c>
      <c r="EQ26" s="53">
        <v>65</v>
      </c>
      <c r="ER26" s="54">
        <v>42</v>
      </c>
      <c r="ES26" s="54">
        <v>48</v>
      </c>
      <c r="ET26" s="53">
        <v>62</v>
      </c>
      <c r="EU26" s="54">
        <v>40</v>
      </c>
      <c r="EV26" s="54">
        <v>45</v>
      </c>
      <c r="EW26" s="53">
        <v>69</v>
      </c>
      <c r="EX26" s="54">
        <v>36</v>
      </c>
      <c r="EY26" s="54">
        <v>48</v>
      </c>
      <c r="EZ26" s="53">
        <v>64</v>
      </c>
      <c r="FA26" s="54">
        <v>38</v>
      </c>
      <c r="FB26" s="54">
        <v>45</v>
      </c>
      <c r="FC26" s="54">
        <v>62</v>
      </c>
      <c r="FD26" s="54">
        <v>44</v>
      </c>
      <c r="FE26" s="54">
        <v>47</v>
      </c>
      <c r="FF26" s="124">
        <v>100</v>
      </c>
      <c r="FG26" s="54">
        <v>40</v>
      </c>
      <c r="FH26" s="54">
        <v>41</v>
      </c>
      <c r="FI26" s="124">
        <v>100</v>
      </c>
      <c r="FJ26" s="54">
        <v>38</v>
      </c>
      <c r="FK26" s="54">
        <v>27</v>
      </c>
      <c r="FL26" s="124">
        <v>100</v>
      </c>
      <c r="FM26" s="54">
        <v>35</v>
      </c>
      <c r="FN26" s="54">
        <v>22</v>
      </c>
      <c r="FO26" s="14">
        <v>100</v>
      </c>
      <c r="FP26" s="6">
        <v>38</v>
      </c>
      <c r="FQ26" s="6">
        <v>31</v>
      </c>
      <c r="FR26" s="14">
        <v>100</v>
      </c>
      <c r="FS26" s="16">
        <v>33</v>
      </c>
      <c r="FT26" s="16">
        <v>28</v>
      </c>
      <c r="FU26" s="14">
        <v>100</v>
      </c>
      <c r="FV26" s="6">
        <v>35</v>
      </c>
      <c r="FW26" s="6">
        <v>23</v>
      </c>
      <c r="FX26" s="14">
        <v>100</v>
      </c>
      <c r="FY26" s="6">
        <v>33</v>
      </c>
      <c r="FZ26" s="6">
        <v>28</v>
      </c>
      <c r="GA26" s="14">
        <v>100</v>
      </c>
      <c r="GB26" s="16">
        <v>26</v>
      </c>
      <c r="GC26" s="16">
        <v>34</v>
      </c>
      <c r="GD26" s="14">
        <v>100</v>
      </c>
      <c r="GE26" s="16">
        <v>30</v>
      </c>
      <c r="GF26" s="16">
        <v>39</v>
      </c>
      <c r="GG26" s="14">
        <v>100</v>
      </c>
      <c r="GH26" s="16">
        <v>28</v>
      </c>
      <c r="GI26" s="16">
        <v>34</v>
      </c>
      <c r="GJ26" s="14">
        <v>100</v>
      </c>
      <c r="GK26" s="16">
        <v>26</v>
      </c>
      <c r="GL26" s="16">
        <v>31</v>
      </c>
      <c r="GM26" s="14">
        <v>100</v>
      </c>
      <c r="GN26" s="16">
        <v>43</v>
      </c>
      <c r="GO26" s="16">
        <v>52</v>
      </c>
      <c r="GP26" s="14">
        <v>100</v>
      </c>
      <c r="GQ26" s="16">
        <v>58</v>
      </c>
      <c r="GR26" s="16">
        <v>56</v>
      </c>
      <c r="GS26" s="14">
        <v>100</v>
      </c>
      <c r="GT26" s="16">
        <v>55</v>
      </c>
      <c r="GU26" s="16">
        <v>52</v>
      </c>
      <c r="GV26" s="14">
        <v>100</v>
      </c>
      <c r="GW26" s="16">
        <v>48</v>
      </c>
      <c r="GX26" s="16">
        <v>50</v>
      </c>
      <c r="GY26" s="14">
        <v>100</v>
      </c>
      <c r="GZ26" s="16">
        <v>44</v>
      </c>
      <c r="HA26" s="16">
        <v>43</v>
      </c>
      <c r="HB26" s="14">
        <v>100</v>
      </c>
      <c r="HC26" s="16">
        <v>48</v>
      </c>
      <c r="HD26" s="16">
        <v>40</v>
      </c>
      <c r="HE26" s="14">
        <v>100</v>
      </c>
      <c r="HF26" s="16">
        <v>45</v>
      </c>
      <c r="HG26" s="16">
        <v>32</v>
      </c>
      <c r="HH26" s="14">
        <v>100</v>
      </c>
      <c r="HI26" s="16">
        <v>48</v>
      </c>
      <c r="HJ26" s="16">
        <v>30</v>
      </c>
      <c r="HK26" s="14">
        <v>100</v>
      </c>
      <c r="HL26" s="16">
        <v>48</v>
      </c>
      <c r="HM26" s="16">
        <v>30</v>
      </c>
      <c r="HN26" s="14">
        <v>100</v>
      </c>
      <c r="HO26" s="16">
        <v>45</v>
      </c>
      <c r="HP26" s="16">
        <v>29</v>
      </c>
      <c r="HQ26" s="34">
        <v>100</v>
      </c>
      <c r="HR26" s="6">
        <v>46</v>
      </c>
      <c r="HS26" s="6">
        <v>37</v>
      </c>
      <c r="HT26" s="14">
        <v>100</v>
      </c>
      <c r="HU26" s="16">
        <v>42</v>
      </c>
      <c r="HV26" s="16">
        <v>36</v>
      </c>
      <c r="HW26" s="14">
        <v>100</v>
      </c>
      <c r="HX26" s="16">
        <v>40</v>
      </c>
      <c r="HY26" s="16">
        <v>35</v>
      </c>
      <c r="HZ26" s="14">
        <v>100</v>
      </c>
      <c r="IA26" s="16">
        <v>40</v>
      </c>
      <c r="IB26" s="16">
        <v>34</v>
      </c>
      <c r="IC26" s="34">
        <v>100</v>
      </c>
      <c r="ID26" s="6">
        <v>45</v>
      </c>
      <c r="IE26" s="6">
        <v>31</v>
      </c>
      <c r="IF26" s="14">
        <v>100</v>
      </c>
      <c r="IG26" s="14">
        <v>100</v>
      </c>
      <c r="IH26" s="14">
        <v>100</v>
      </c>
      <c r="II26" s="14">
        <v>100</v>
      </c>
      <c r="IJ26" s="14">
        <v>100</v>
      </c>
      <c r="IK26" s="14">
        <v>100</v>
      </c>
      <c r="IL26" s="14">
        <v>100</v>
      </c>
      <c r="IM26" s="14">
        <v>100</v>
      </c>
      <c r="IN26" s="14">
        <v>100</v>
      </c>
      <c r="IO26" s="14">
        <v>100</v>
      </c>
      <c r="IP26" s="14">
        <v>100</v>
      </c>
      <c r="IQ26" s="14">
        <v>100</v>
      </c>
      <c r="IR26" s="25">
        <v>100</v>
      </c>
      <c r="IS26" s="25">
        <v>100</v>
      </c>
      <c r="IT26" s="25">
        <v>100</v>
      </c>
      <c r="IU26" s="25">
        <v>100</v>
      </c>
      <c r="IV26" s="25">
        <v>100</v>
      </c>
      <c r="IW26" s="25">
        <v>100</v>
      </c>
      <c r="IX26" s="58">
        <f t="shared" si="0"/>
        <v>0</v>
      </c>
      <c r="IY26" s="2"/>
      <c r="IZ26" s="2"/>
      <c r="JA26" s="2"/>
      <c r="JB26" s="2"/>
      <c r="JC26" s="2"/>
    </row>
    <row r="27" spans="1:263" ht="13.5" customHeight="1">
      <c r="A27" s="55">
        <v>20</v>
      </c>
      <c r="B27" s="52" t="s">
        <v>111</v>
      </c>
      <c r="C27" s="6">
        <v>320</v>
      </c>
      <c r="D27" s="6">
        <v>480</v>
      </c>
      <c r="E27" s="24">
        <v>880</v>
      </c>
      <c r="F27" s="117"/>
      <c r="G27" s="53"/>
      <c r="H27" s="53"/>
      <c r="I27" s="53"/>
      <c r="J27" s="53"/>
      <c r="K27" s="53"/>
      <c r="L27" s="53"/>
      <c r="M27" s="53"/>
      <c r="N27" s="53"/>
      <c r="O27" s="122">
        <v>100</v>
      </c>
      <c r="P27" s="70">
        <v>100</v>
      </c>
      <c r="Q27" s="70">
        <v>100</v>
      </c>
      <c r="R27" s="122">
        <v>100</v>
      </c>
      <c r="S27" s="70">
        <v>100</v>
      </c>
      <c r="T27" s="70">
        <v>100</v>
      </c>
      <c r="U27" s="122">
        <v>100</v>
      </c>
      <c r="V27" s="70">
        <v>100</v>
      </c>
      <c r="W27" s="70">
        <v>100</v>
      </c>
      <c r="X27" s="122">
        <v>100</v>
      </c>
      <c r="Y27" s="70">
        <v>100</v>
      </c>
      <c r="Z27" s="70"/>
      <c r="AA27" s="122">
        <v>100</v>
      </c>
      <c r="AB27" s="70">
        <v>100</v>
      </c>
      <c r="AC27" s="70"/>
      <c r="AD27" s="122">
        <v>100</v>
      </c>
      <c r="AE27" s="70">
        <v>100</v>
      </c>
      <c r="AF27" s="70"/>
      <c r="AG27" s="122">
        <v>100</v>
      </c>
      <c r="AH27" s="70">
        <v>100</v>
      </c>
      <c r="AI27" s="70"/>
      <c r="AJ27" s="122">
        <v>100</v>
      </c>
      <c r="AK27" s="70">
        <v>100</v>
      </c>
      <c r="AL27" s="70"/>
      <c r="AM27" s="122">
        <v>100</v>
      </c>
      <c r="AN27" s="70">
        <v>100</v>
      </c>
      <c r="AO27" s="70"/>
      <c r="AP27" s="122">
        <v>100</v>
      </c>
      <c r="AQ27" s="70">
        <v>100</v>
      </c>
      <c r="AR27" s="70"/>
      <c r="AS27" s="122">
        <v>100</v>
      </c>
      <c r="AT27" s="70">
        <v>100</v>
      </c>
      <c r="AU27" s="70"/>
      <c r="AV27" s="122">
        <v>100</v>
      </c>
      <c r="AW27" s="70">
        <v>100</v>
      </c>
      <c r="AX27" s="70"/>
      <c r="AY27" s="122">
        <v>100</v>
      </c>
      <c r="AZ27" s="70">
        <v>100</v>
      </c>
      <c r="BA27" s="70"/>
      <c r="BB27" s="122">
        <v>100</v>
      </c>
      <c r="BC27" s="70">
        <v>100</v>
      </c>
      <c r="BD27" s="70"/>
      <c r="BE27" s="122">
        <v>100</v>
      </c>
      <c r="BF27" s="70">
        <v>100</v>
      </c>
      <c r="BG27" s="70"/>
      <c r="BH27" s="122">
        <v>100</v>
      </c>
      <c r="BI27" s="70">
        <v>100</v>
      </c>
      <c r="BJ27" s="70"/>
      <c r="BK27" s="122">
        <v>100</v>
      </c>
      <c r="BL27" s="70">
        <v>100</v>
      </c>
      <c r="BM27" s="70"/>
      <c r="BN27" s="122">
        <v>100</v>
      </c>
      <c r="BO27" s="70">
        <v>100</v>
      </c>
      <c r="BP27" s="70"/>
      <c r="BQ27" s="122">
        <v>100</v>
      </c>
      <c r="BR27" s="70">
        <v>100</v>
      </c>
      <c r="BS27" s="70"/>
      <c r="BT27" s="122">
        <v>100</v>
      </c>
      <c r="BU27" s="70">
        <v>100</v>
      </c>
      <c r="BV27" s="70"/>
      <c r="BW27" s="122">
        <v>100</v>
      </c>
      <c r="BX27" s="70">
        <v>100</v>
      </c>
      <c r="BY27" s="70"/>
      <c r="BZ27" s="122">
        <v>100</v>
      </c>
      <c r="CA27" s="70">
        <v>100</v>
      </c>
      <c r="CB27" s="70"/>
      <c r="CC27" s="53">
        <v>92</v>
      </c>
      <c r="CD27" s="70">
        <v>100</v>
      </c>
      <c r="CE27" s="70">
        <v>100</v>
      </c>
      <c r="CF27" s="53">
        <v>87</v>
      </c>
      <c r="CG27" s="70">
        <v>100</v>
      </c>
      <c r="CH27" s="54">
        <v>82</v>
      </c>
      <c r="CI27" s="53">
        <v>78</v>
      </c>
      <c r="CJ27" s="54">
        <v>96</v>
      </c>
      <c r="CK27" s="54">
        <v>74</v>
      </c>
      <c r="CL27" s="53">
        <v>72</v>
      </c>
      <c r="CM27" s="54">
        <v>87</v>
      </c>
      <c r="CN27" s="54">
        <v>76</v>
      </c>
      <c r="CO27" s="53">
        <v>66</v>
      </c>
      <c r="CP27" s="54">
        <v>84</v>
      </c>
      <c r="CQ27" s="54">
        <v>78</v>
      </c>
      <c r="CR27" s="53">
        <v>72</v>
      </c>
      <c r="CS27" s="54">
        <v>81</v>
      </c>
      <c r="CT27" s="54">
        <v>74</v>
      </c>
      <c r="CU27" s="53">
        <v>67</v>
      </c>
      <c r="CV27" s="54">
        <v>74</v>
      </c>
      <c r="CW27" s="54">
        <v>81</v>
      </c>
      <c r="CX27" s="53">
        <v>62</v>
      </c>
      <c r="CY27" s="54">
        <v>71</v>
      </c>
      <c r="CZ27" s="54">
        <v>66</v>
      </c>
      <c r="DA27" s="53">
        <v>60</v>
      </c>
      <c r="DB27" s="54">
        <v>67</v>
      </c>
      <c r="DC27" s="54">
        <v>64</v>
      </c>
      <c r="DD27" s="53">
        <v>68</v>
      </c>
      <c r="DE27" s="54">
        <v>62</v>
      </c>
      <c r="DF27" s="54">
        <v>53</v>
      </c>
      <c r="DG27" s="53">
        <v>63</v>
      </c>
      <c r="DH27" s="54">
        <v>58</v>
      </c>
      <c r="DI27" s="54">
        <v>55</v>
      </c>
      <c r="DJ27" s="53">
        <v>56</v>
      </c>
      <c r="DK27" s="54">
        <v>53</v>
      </c>
      <c r="DL27" s="54">
        <v>65</v>
      </c>
      <c r="DM27" s="53">
        <v>51</v>
      </c>
      <c r="DN27" s="54">
        <v>40</v>
      </c>
      <c r="DO27" s="54">
        <v>58</v>
      </c>
      <c r="DP27" s="53">
        <v>53</v>
      </c>
      <c r="DQ27" s="54">
        <v>37</v>
      </c>
      <c r="DR27" s="54">
        <v>51</v>
      </c>
      <c r="DS27" s="53">
        <v>49</v>
      </c>
      <c r="DT27" s="54">
        <v>35</v>
      </c>
      <c r="DU27" s="54">
        <v>53</v>
      </c>
      <c r="DV27" s="53">
        <v>46</v>
      </c>
      <c r="DW27" s="54">
        <v>33</v>
      </c>
      <c r="DX27" s="54">
        <v>62</v>
      </c>
      <c r="DY27" s="53">
        <v>42</v>
      </c>
      <c r="DZ27" s="54">
        <v>28</v>
      </c>
      <c r="EA27" s="54">
        <v>61</v>
      </c>
      <c r="EB27" s="53">
        <v>48</v>
      </c>
      <c r="EC27" s="54">
        <v>34</v>
      </c>
      <c r="ED27" s="54">
        <v>56</v>
      </c>
      <c r="EE27" s="53">
        <v>43</v>
      </c>
      <c r="EF27" s="54">
        <v>53</v>
      </c>
      <c r="EG27" s="54">
        <v>50</v>
      </c>
      <c r="EH27" s="53">
        <v>57</v>
      </c>
      <c r="EI27" s="54">
        <v>55</v>
      </c>
      <c r="EJ27" s="54">
        <v>47</v>
      </c>
      <c r="EK27" s="53">
        <v>51</v>
      </c>
      <c r="EL27" s="54">
        <v>52</v>
      </c>
      <c r="EM27" s="54">
        <v>45</v>
      </c>
      <c r="EN27" s="53">
        <v>56</v>
      </c>
      <c r="EO27" s="54">
        <v>49</v>
      </c>
      <c r="EP27" s="54">
        <v>47</v>
      </c>
      <c r="EQ27" s="53">
        <v>54</v>
      </c>
      <c r="ER27" s="54">
        <v>57</v>
      </c>
      <c r="ES27" s="54">
        <v>46</v>
      </c>
      <c r="ET27" s="53">
        <v>50</v>
      </c>
      <c r="EU27" s="54">
        <v>53</v>
      </c>
      <c r="EV27" s="54">
        <v>42</v>
      </c>
      <c r="EW27" s="53">
        <v>58</v>
      </c>
      <c r="EX27" s="54">
        <v>50</v>
      </c>
      <c r="EY27" s="54">
        <v>45</v>
      </c>
      <c r="EZ27" s="53">
        <v>56</v>
      </c>
      <c r="FA27" s="54">
        <v>59</v>
      </c>
      <c r="FB27" s="54">
        <v>42</v>
      </c>
      <c r="FC27" s="54">
        <v>57</v>
      </c>
      <c r="FD27" s="54">
        <v>53</v>
      </c>
      <c r="FE27" s="54">
        <v>40</v>
      </c>
      <c r="FF27" s="54">
        <v>58</v>
      </c>
      <c r="FG27" s="54">
        <v>55</v>
      </c>
      <c r="FH27" s="54">
        <v>38</v>
      </c>
      <c r="FI27" s="54">
        <v>53</v>
      </c>
      <c r="FJ27" s="54">
        <v>52</v>
      </c>
      <c r="FK27" s="54">
        <v>42</v>
      </c>
      <c r="FL27" s="54">
        <v>62</v>
      </c>
      <c r="FM27" s="54">
        <v>58</v>
      </c>
      <c r="FN27" s="54">
        <v>65</v>
      </c>
      <c r="FO27" s="6">
        <v>75</v>
      </c>
      <c r="FP27" s="6">
        <v>64</v>
      </c>
      <c r="FQ27" s="6">
        <v>61</v>
      </c>
      <c r="FR27" s="16">
        <v>78</v>
      </c>
      <c r="FS27" s="16">
        <v>62</v>
      </c>
      <c r="FT27" s="16">
        <v>62</v>
      </c>
      <c r="FU27" s="6">
        <v>75</v>
      </c>
      <c r="FV27" s="6">
        <v>63</v>
      </c>
      <c r="FW27" s="6">
        <v>74</v>
      </c>
      <c r="FX27" s="6">
        <v>68</v>
      </c>
      <c r="FY27" s="6">
        <v>62</v>
      </c>
      <c r="FZ27" s="6">
        <v>70</v>
      </c>
      <c r="GA27" s="16">
        <v>63</v>
      </c>
      <c r="GB27" s="16">
        <v>65</v>
      </c>
      <c r="GC27" s="16">
        <v>67</v>
      </c>
      <c r="GD27" s="16">
        <v>60</v>
      </c>
      <c r="GE27" s="16">
        <v>61</v>
      </c>
      <c r="GF27" s="16">
        <v>62</v>
      </c>
      <c r="GG27" s="16">
        <v>58</v>
      </c>
      <c r="GH27" s="16">
        <v>57</v>
      </c>
      <c r="GI27" s="16">
        <v>60</v>
      </c>
      <c r="GJ27" s="16">
        <v>54</v>
      </c>
      <c r="GK27" s="16">
        <v>52</v>
      </c>
      <c r="GL27" s="16">
        <v>51</v>
      </c>
      <c r="GM27" s="16">
        <v>51</v>
      </c>
      <c r="GN27" s="16">
        <v>59</v>
      </c>
      <c r="GO27" s="16">
        <v>56</v>
      </c>
      <c r="GP27" s="16">
        <v>57</v>
      </c>
      <c r="GQ27" s="16">
        <v>53</v>
      </c>
      <c r="GR27" s="16">
        <v>51</v>
      </c>
      <c r="GS27" s="16">
        <v>62</v>
      </c>
      <c r="GT27" s="16">
        <v>58</v>
      </c>
      <c r="GU27" s="16">
        <v>55</v>
      </c>
      <c r="GV27" s="16">
        <v>78</v>
      </c>
      <c r="GW27" s="16">
        <v>53</v>
      </c>
      <c r="GX27" s="16">
        <v>51</v>
      </c>
      <c r="GY27" s="16">
        <v>72</v>
      </c>
      <c r="GZ27" s="16">
        <v>50</v>
      </c>
      <c r="HA27" s="16">
        <v>55</v>
      </c>
      <c r="HB27" s="16">
        <v>65</v>
      </c>
      <c r="HC27" s="16">
        <v>48</v>
      </c>
      <c r="HD27" s="16">
        <v>49</v>
      </c>
      <c r="HE27" s="16">
        <v>72</v>
      </c>
      <c r="HF27" s="16">
        <v>43</v>
      </c>
      <c r="HG27" s="16">
        <v>45</v>
      </c>
      <c r="HH27" s="16">
        <v>70</v>
      </c>
      <c r="HI27" s="16">
        <v>42</v>
      </c>
      <c r="HJ27" s="16">
        <v>41</v>
      </c>
      <c r="HK27" s="16">
        <v>67</v>
      </c>
      <c r="HL27" s="16">
        <v>38</v>
      </c>
      <c r="HM27" s="16">
        <v>39</v>
      </c>
      <c r="HN27" s="16">
        <v>73</v>
      </c>
      <c r="HO27" s="16">
        <v>34</v>
      </c>
      <c r="HP27" s="16">
        <v>36</v>
      </c>
      <c r="HQ27" s="6">
        <v>85</v>
      </c>
      <c r="HR27" s="6">
        <v>31</v>
      </c>
      <c r="HS27" s="6">
        <v>40</v>
      </c>
      <c r="HT27" s="16">
        <v>80</v>
      </c>
      <c r="HU27" s="16">
        <v>35</v>
      </c>
      <c r="HV27" s="16">
        <v>34</v>
      </c>
      <c r="HW27" s="16">
        <v>76</v>
      </c>
      <c r="HX27" s="16">
        <v>40</v>
      </c>
      <c r="HY27" s="16">
        <v>37</v>
      </c>
      <c r="HZ27" s="87">
        <v>78</v>
      </c>
      <c r="IA27" s="16">
        <v>41</v>
      </c>
      <c r="IB27" s="16">
        <v>37</v>
      </c>
      <c r="IC27" s="16">
        <v>72</v>
      </c>
      <c r="ID27" s="6">
        <v>41</v>
      </c>
      <c r="IE27" s="6">
        <v>37</v>
      </c>
      <c r="IF27" s="14">
        <v>100</v>
      </c>
      <c r="IG27" s="14">
        <v>100</v>
      </c>
      <c r="IH27" s="14">
        <v>100</v>
      </c>
      <c r="II27" s="14">
        <v>100</v>
      </c>
      <c r="IJ27" s="14">
        <v>100</v>
      </c>
      <c r="IK27" s="14">
        <v>100</v>
      </c>
      <c r="IL27" s="14">
        <v>100</v>
      </c>
      <c r="IM27" s="14">
        <v>100</v>
      </c>
      <c r="IN27" s="14">
        <v>100</v>
      </c>
      <c r="IO27" s="14">
        <v>100</v>
      </c>
      <c r="IP27" s="14">
        <v>100</v>
      </c>
      <c r="IQ27" s="14">
        <v>100</v>
      </c>
      <c r="IR27" s="25">
        <v>100</v>
      </c>
      <c r="IS27" s="25">
        <v>100</v>
      </c>
      <c r="IT27" s="25">
        <v>100</v>
      </c>
      <c r="IU27" s="25">
        <v>100</v>
      </c>
      <c r="IV27" s="25">
        <v>100</v>
      </c>
      <c r="IW27" s="25">
        <v>100</v>
      </c>
      <c r="IX27" s="58">
        <f t="shared" si="0"/>
        <v>0</v>
      </c>
      <c r="IY27" s="2"/>
      <c r="IZ27" s="2"/>
      <c r="JA27" s="2"/>
      <c r="JB27" s="2"/>
      <c r="JC27" s="2"/>
    </row>
    <row r="28" spans="1:263" ht="13.5" customHeight="1">
      <c r="A28" s="55">
        <v>21</v>
      </c>
      <c r="B28" s="52" t="s">
        <v>112</v>
      </c>
      <c r="C28" s="6">
        <v>70</v>
      </c>
      <c r="D28" s="6">
        <v>70</v>
      </c>
      <c r="E28" s="24">
        <v>110</v>
      </c>
      <c r="F28" s="117"/>
      <c r="G28" s="53"/>
      <c r="H28" s="53"/>
      <c r="I28" s="53"/>
      <c r="J28" s="53"/>
      <c r="K28" s="53"/>
      <c r="L28" s="53"/>
      <c r="M28" s="53"/>
      <c r="N28" s="53"/>
      <c r="O28" s="122">
        <v>100</v>
      </c>
      <c r="P28" s="70">
        <v>100</v>
      </c>
      <c r="Q28" s="70">
        <v>100</v>
      </c>
      <c r="R28" s="122">
        <v>100</v>
      </c>
      <c r="S28" s="70">
        <v>100</v>
      </c>
      <c r="T28" s="70">
        <v>100</v>
      </c>
      <c r="U28" s="122">
        <v>100</v>
      </c>
      <c r="V28" s="70">
        <v>100</v>
      </c>
      <c r="W28" s="70">
        <v>100</v>
      </c>
      <c r="X28" s="122">
        <v>100</v>
      </c>
      <c r="Y28" s="70">
        <v>100</v>
      </c>
      <c r="Z28" s="70"/>
      <c r="AA28" s="53">
        <v>13</v>
      </c>
      <c r="AB28" s="70">
        <v>100</v>
      </c>
      <c r="AC28" s="70"/>
      <c r="AD28" s="53">
        <v>22</v>
      </c>
      <c r="AE28" s="70">
        <v>100</v>
      </c>
      <c r="AF28" s="70"/>
      <c r="AG28" s="53">
        <v>18</v>
      </c>
      <c r="AH28" s="70">
        <v>100</v>
      </c>
      <c r="AI28" s="70"/>
      <c r="AJ28" s="53">
        <v>21</v>
      </c>
      <c r="AK28" s="70">
        <v>100</v>
      </c>
      <c r="AL28" s="70"/>
      <c r="AM28" s="53">
        <v>18</v>
      </c>
      <c r="AN28" s="54">
        <v>35</v>
      </c>
      <c r="AO28" s="70">
        <v>100</v>
      </c>
      <c r="AP28" s="53">
        <v>23</v>
      </c>
      <c r="AQ28" s="54">
        <v>34</v>
      </c>
      <c r="AR28" s="70">
        <v>95</v>
      </c>
      <c r="AS28" s="53">
        <v>32</v>
      </c>
      <c r="AT28" s="54">
        <v>31</v>
      </c>
      <c r="AU28" s="54">
        <v>84</v>
      </c>
      <c r="AV28" s="53">
        <v>56</v>
      </c>
      <c r="AW28" s="54">
        <v>42</v>
      </c>
      <c r="AX28" s="54">
        <v>78</v>
      </c>
      <c r="AY28" s="53">
        <v>88</v>
      </c>
      <c r="AZ28" s="54">
        <v>53</v>
      </c>
      <c r="BA28" s="54">
        <v>72</v>
      </c>
      <c r="BB28" s="53">
        <v>85</v>
      </c>
      <c r="BC28" s="54">
        <v>52</v>
      </c>
      <c r="BD28" s="54">
        <v>59</v>
      </c>
      <c r="BE28" s="53">
        <v>79</v>
      </c>
      <c r="BF28" s="54">
        <v>50</v>
      </c>
      <c r="BG28" s="54">
        <v>59</v>
      </c>
      <c r="BH28" s="122">
        <v>100</v>
      </c>
      <c r="BI28" s="70">
        <v>100</v>
      </c>
      <c r="BJ28" s="54">
        <v>68</v>
      </c>
      <c r="BK28" s="122">
        <v>100</v>
      </c>
      <c r="BL28" s="70">
        <v>100</v>
      </c>
      <c r="BM28" s="54">
        <v>58</v>
      </c>
      <c r="BN28" s="122">
        <v>100</v>
      </c>
      <c r="BO28" s="54">
        <v>86</v>
      </c>
      <c r="BP28" s="70">
        <v>100</v>
      </c>
      <c r="BQ28" s="122">
        <v>100</v>
      </c>
      <c r="BR28" s="54">
        <v>72</v>
      </c>
      <c r="BS28" s="70">
        <v>100</v>
      </c>
      <c r="BT28" s="53">
        <v>94</v>
      </c>
      <c r="BU28" s="54">
        <v>67</v>
      </c>
      <c r="BV28" s="70">
        <v>100</v>
      </c>
      <c r="BW28" s="122">
        <v>100</v>
      </c>
      <c r="BX28" s="54">
        <v>72</v>
      </c>
      <c r="BY28" s="54">
        <v>89</v>
      </c>
      <c r="BZ28" s="122">
        <v>100</v>
      </c>
      <c r="CA28" s="54">
        <v>76</v>
      </c>
      <c r="CB28" s="54">
        <v>82</v>
      </c>
      <c r="CC28" s="53">
        <v>82</v>
      </c>
      <c r="CD28" s="54">
        <v>73</v>
      </c>
      <c r="CE28" s="54">
        <v>74</v>
      </c>
      <c r="CF28" s="53">
        <v>68</v>
      </c>
      <c r="CG28" s="54">
        <v>75</v>
      </c>
      <c r="CH28" s="54">
        <v>66</v>
      </c>
      <c r="CI28" s="53">
        <v>65</v>
      </c>
      <c r="CJ28" s="54">
        <v>72</v>
      </c>
      <c r="CK28" s="54">
        <v>69</v>
      </c>
      <c r="CL28" s="53">
        <v>67</v>
      </c>
      <c r="CM28" s="54">
        <v>64</v>
      </c>
      <c r="CN28" s="54">
        <v>61</v>
      </c>
      <c r="CO28" s="53">
        <v>61</v>
      </c>
      <c r="CP28" s="54">
        <v>63</v>
      </c>
      <c r="CQ28" s="54">
        <v>58</v>
      </c>
      <c r="CR28" s="53">
        <v>57</v>
      </c>
      <c r="CS28" s="54">
        <v>59</v>
      </c>
      <c r="CT28" s="54">
        <v>55</v>
      </c>
      <c r="CU28" s="53">
        <v>51</v>
      </c>
      <c r="CV28" s="54">
        <v>48</v>
      </c>
      <c r="CW28" s="54">
        <v>53</v>
      </c>
      <c r="CX28" s="53">
        <v>55</v>
      </c>
      <c r="CY28" s="54">
        <v>43</v>
      </c>
      <c r="CZ28" s="54">
        <v>47</v>
      </c>
      <c r="DA28" s="53">
        <v>68</v>
      </c>
      <c r="DB28" s="54">
        <v>42</v>
      </c>
      <c r="DC28" s="54">
        <v>39</v>
      </c>
      <c r="DD28" s="53">
        <v>62</v>
      </c>
      <c r="DE28" s="54">
        <v>38</v>
      </c>
      <c r="DF28" s="54">
        <v>35</v>
      </c>
      <c r="DG28" s="53">
        <v>57</v>
      </c>
      <c r="DH28" s="54">
        <v>32</v>
      </c>
      <c r="DI28" s="54">
        <v>27</v>
      </c>
      <c r="DJ28" s="53">
        <v>52</v>
      </c>
      <c r="DK28" s="54">
        <v>30</v>
      </c>
      <c r="DL28" s="54">
        <v>18</v>
      </c>
      <c r="DM28" s="53">
        <v>57</v>
      </c>
      <c r="DN28" s="54">
        <v>32</v>
      </c>
      <c r="DO28" s="54">
        <v>14</v>
      </c>
      <c r="DP28" s="53">
        <v>49</v>
      </c>
      <c r="DQ28" s="54">
        <v>26</v>
      </c>
      <c r="DR28" s="54">
        <v>18</v>
      </c>
      <c r="DS28" s="53">
        <v>47</v>
      </c>
      <c r="DT28" s="54">
        <v>22</v>
      </c>
      <c r="DU28" s="54">
        <v>24</v>
      </c>
      <c r="DV28" s="53">
        <v>43</v>
      </c>
      <c r="DW28" s="54">
        <v>27</v>
      </c>
      <c r="DX28" s="54">
        <v>23</v>
      </c>
      <c r="DY28" s="53">
        <v>49</v>
      </c>
      <c r="DZ28" s="54">
        <v>34</v>
      </c>
      <c r="EA28" s="54">
        <v>31</v>
      </c>
      <c r="EB28" s="53">
        <v>45</v>
      </c>
      <c r="EC28" s="54">
        <v>38</v>
      </c>
      <c r="ED28" s="54">
        <v>29</v>
      </c>
      <c r="EE28" s="53">
        <v>48</v>
      </c>
      <c r="EF28" s="54">
        <v>36</v>
      </c>
      <c r="EG28" s="54">
        <v>22</v>
      </c>
      <c r="EH28" s="53">
        <v>43</v>
      </c>
      <c r="EI28" s="54">
        <v>32</v>
      </c>
      <c r="EJ28" s="54">
        <v>21</v>
      </c>
      <c r="EK28" s="53">
        <v>49</v>
      </c>
      <c r="EL28" s="54">
        <v>36</v>
      </c>
      <c r="EM28" s="54">
        <v>30</v>
      </c>
      <c r="EN28" s="53">
        <v>45</v>
      </c>
      <c r="EO28" s="54">
        <v>32</v>
      </c>
      <c r="EP28" s="54">
        <v>38</v>
      </c>
      <c r="EQ28" s="53">
        <v>42</v>
      </c>
      <c r="ER28" s="54">
        <v>30</v>
      </c>
      <c r="ES28" s="54">
        <v>35</v>
      </c>
      <c r="ET28" s="53">
        <v>48</v>
      </c>
      <c r="EU28" s="54">
        <v>39</v>
      </c>
      <c r="EV28" s="54">
        <v>46</v>
      </c>
      <c r="EW28" s="53">
        <v>45</v>
      </c>
      <c r="EX28" s="54">
        <v>25</v>
      </c>
      <c r="EY28" s="54">
        <v>43</v>
      </c>
      <c r="EZ28" s="53">
        <v>50</v>
      </c>
      <c r="FA28" s="54">
        <v>28</v>
      </c>
      <c r="FB28" s="54">
        <v>40</v>
      </c>
      <c r="FC28" s="54">
        <v>56</v>
      </c>
      <c r="FD28" s="54">
        <v>25</v>
      </c>
      <c r="FE28" s="54">
        <v>36</v>
      </c>
      <c r="FF28" s="54">
        <v>52</v>
      </c>
      <c r="FG28" s="54">
        <v>28</v>
      </c>
      <c r="FH28" s="54">
        <v>33</v>
      </c>
      <c r="FI28" s="54">
        <v>59</v>
      </c>
      <c r="FJ28" s="54">
        <v>34</v>
      </c>
      <c r="FK28" s="54">
        <v>32</v>
      </c>
      <c r="FL28" s="54">
        <v>58</v>
      </c>
      <c r="FM28" s="54">
        <v>42</v>
      </c>
      <c r="FN28" s="54">
        <v>37</v>
      </c>
      <c r="FO28" s="6">
        <v>52</v>
      </c>
      <c r="FP28" s="6">
        <v>46</v>
      </c>
      <c r="FQ28" s="6">
        <v>32</v>
      </c>
      <c r="FR28" s="16">
        <v>55</v>
      </c>
      <c r="FS28" s="6">
        <v>48</v>
      </c>
      <c r="FT28" s="6">
        <v>80</v>
      </c>
      <c r="FU28" s="6">
        <v>55</v>
      </c>
      <c r="FV28" s="6">
        <v>47</v>
      </c>
      <c r="FW28" s="6">
        <v>79</v>
      </c>
      <c r="FX28" s="6">
        <v>58</v>
      </c>
      <c r="FY28" s="6">
        <v>43</v>
      </c>
      <c r="FZ28" s="6">
        <v>72</v>
      </c>
      <c r="GA28" s="16">
        <v>69</v>
      </c>
      <c r="GB28" s="6">
        <v>27</v>
      </c>
      <c r="GC28" s="6">
        <v>33</v>
      </c>
      <c r="GD28" s="16">
        <v>65</v>
      </c>
      <c r="GE28" s="6">
        <v>30</v>
      </c>
      <c r="GF28" s="6">
        <v>32</v>
      </c>
      <c r="GG28" s="16">
        <v>63</v>
      </c>
      <c r="GH28" s="16">
        <v>27</v>
      </c>
      <c r="GI28" s="16">
        <v>34</v>
      </c>
      <c r="GJ28" s="16">
        <v>71</v>
      </c>
      <c r="GK28" s="16">
        <v>23</v>
      </c>
      <c r="GL28" s="16">
        <v>25</v>
      </c>
      <c r="GM28" s="16">
        <v>69</v>
      </c>
      <c r="GN28" s="16">
        <v>20</v>
      </c>
      <c r="GO28" s="16">
        <v>21</v>
      </c>
      <c r="GP28" s="16">
        <v>65</v>
      </c>
      <c r="GQ28" s="16">
        <v>17</v>
      </c>
      <c r="GR28" s="16">
        <v>25</v>
      </c>
      <c r="GS28" s="16">
        <v>69</v>
      </c>
      <c r="GT28" s="16">
        <v>14</v>
      </c>
      <c r="GU28" s="16">
        <v>23</v>
      </c>
      <c r="GV28" s="14">
        <v>100</v>
      </c>
      <c r="GW28" s="14">
        <v>100</v>
      </c>
      <c r="GX28" s="14">
        <v>100</v>
      </c>
      <c r="GY28" s="14">
        <v>100</v>
      </c>
      <c r="GZ28" s="14">
        <v>100</v>
      </c>
      <c r="HA28" s="14">
        <v>100</v>
      </c>
      <c r="HB28" s="14">
        <v>100</v>
      </c>
      <c r="HC28" s="14">
        <v>100</v>
      </c>
      <c r="HD28" s="14">
        <v>100</v>
      </c>
      <c r="HE28" s="14">
        <v>100</v>
      </c>
      <c r="HF28" s="14">
        <v>100</v>
      </c>
      <c r="HG28" s="14">
        <v>100</v>
      </c>
      <c r="HH28" s="14">
        <v>100</v>
      </c>
      <c r="HI28" s="14">
        <v>100</v>
      </c>
      <c r="HJ28" s="14">
        <v>100</v>
      </c>
      <c r="HK28" s="14">
        <v>100</v>
      </c>
      <c r="HL28" s="14">
        <v>100</v>
      </c>
      <c r="HM28" s="14">
        <v>100</v>
      </c>
      <c r="HN28" s="14">
        <v>100</v>
      </c>
      <c r="HO28" s="14">
        <v>100</v>
      </c>
      <c r="HP28" s="14">
        <v>100</v>
      </c>
      <c r="HQ28" s="34">
        <v>100</v>
      </c>
      <c r="HR28" s="34">
        <v>100</v>
      </c>
      <c r="HS28" s="34">
        <v>100</v>
      </c>
      <c r="HT28" s="14">
        <v>100</v>
      </c>
      <c r="HU28" s="14">
        <v>100</v>
      </c>
      <c r="HV28" s="14">
        <v>100</v>
      </c>
      <c r="HW28" s="14">
        <v>100</v>
      </c>
      <c r="HX28" s="14">
        <v>100</v>
      </c>
      <c r="HY28" s="14">
        <v>100</v>
      </c>
      <c r="HZ28" s="14">
        <v>100</v>
      </c>
      <c r="IA28" s="14">
        <v>100</v>
      </c>
      <c r="IB28" s="14">
        <v>100</v>
      </c>
      <c r="IC28" s="34">
        <v>100</v>
      </c>
      <c r="ID28" s="34">
        <v>100</v>
      </c>
      <c r="IE28" s="34">
        <v>100</v>
      </c>
      <c r="IF28" s="14">
        <v>100</v>
      </c>
      <c r="IG28" s="14">
        <v>100</v>
      </c>
      <c r="IH28" s="14">
        <v>100</v>
      </c>
      <c r="II28" s="14">
        <v>100</v>
      </c>
      <c r="IJ28" s="14">
        <v>100</v>
      </c>
      <c r="IK28" s="14">
        <v>100</v>
      </c>
      <c r="IL28" s="14">
        <v>100</v>
      </c>
      <c r="IM28" s="14">
        <v>100</v>
      </c>
      <c r="IN28" s="14">
        <v>100</v>
      </c>
      <c r="IO28" s="14">
        <v>100</v>
      </c>
      <c r="IP28" s="14">
        <v>100</v>
      </c>
      <c r="IQ28" s="14">
        <v>100</v>
      </c>
      <c r="IR28" s="25">
        <v>100</v>
      </c>
      <c r="IS28" s="25">
        <v>100</v>
      </c>
      <c r="IT28" s="25">
        <v>100</v>
      </c>
      <c r="IU28" s="25">
        <v>100</v>
      </c>
      <c r="IV28" s="25">
        <v>100</v>
      </c>
      <c r="IW28" s="25">
        <v>100</v>
      </c>
      <c r="IX28" s="58">
        <f t="shared" si="0"/>
        <v>0</v>
      </c>
      <c r="IY28" s="110"/>
      <c r="IZ28" s="2"/>
      <c r="JA28" s="2"/>
      <c r="JB28" s="2"/>
      <c r="JC28" s="2"/>
    </row>
    <row r="29" spans="1:263" ht="13.5" customHeight="1">
      <c r="A29" s="55">
        <v>22</v>
      </c>
      <c r="B29" s="52" t="s">
        <v>113</v>
      </c>
      <c r="C29" s="8">
        <v>480</v>
      </c>
      <c r="D29" s="33">
        <v>260</v>
      </c>
      <c r="E29" s="131">
        <v>880</v>
      </c>
      <c r="F29" s="117"/>
      <c r="G29" s="53"/>
      <c r="H29" s="53"/>
      <c r="I29" s="53"/>
      <c r="J29" s="53"/>
      <c r="K29" s="53"/>
      <c r="L29" s="53"/>
      <c r="M29" s="53"/>
      <c r="N29" s="53"/>
      <c r="O29" s="122">
        <v>100</v>
      </c>
      <c r="P29" s="70">
        <v>100</v>
      </c>
      <c r="Q29" s="70">
        <v>100</v>
      </c>
      <c r="R29" s="53">
        <v>98</v>
      </c>
      <c r="S29" s="70">
        <v>100</v>
      </c>
      <c r="T29" s="70">
        <v>100</v>
      </c>
      <c r="U29" s="53">
        <v>49</v>
      </c>
      <c r="V29" s="70">
        <v>100</v>
      </c>
      <c r="W29" s="54">
        <v>83</v>
      </c>
      <c r="X29" s="53">
        <v>48</v>
      </c>
      <c r="Y29" s="70">
        <v>100</v>
      </c>
      <c r="Z29" s="54">
        <v>80</v>
      </c>
      <c r="AA29" s="53">
        <v>71</v>
      </c>
      <c r="AB29" s="70">
        <v>100</v>
      </c>
      <c r="AC29" s="54">
        <v>76</v>
      </c>
      <c r="AD29" s="53">
        <v>53</v>
      </c>
      <c r="AE29" s="54">
        <v>90</v>
      </c>
      <c r="AF29" s="54">
        <v>72</v>
      </c>
      <c r="AG29" s="53">
        <v>49</v>
      </c>
      <c r="AH29" s="54">
        <v>83</v>
      </c>
      <c r="AI29" s="54">
        <v>65</v>
      </c>
      <c r="AJ29" s="53">
        <v>46</v>
      </c>
      <c r="AK29" s="54">
        <v>76</v>
      </c>
      <c r="AL29" s="54">
        <v>70</v>
      </c>
      <c r="AM29" s="53">
        <v>42</v>
      </c>
      <c r="AN29" s="54">
        <v>78</v>
      </c>
      <c r="AO29" s="54">
        <v>65</v>
      </c>
      <c r="AP29" s="53">
        <v>40</v>
      </c>
      <c r="AQ29" s="54">
        <v>74</v>
      </c>
      <c r="AR29" s="54">
        <v>61</v>
      </c>
      <c r="AS29" s="53">
        <v>42</v>
      </c>
      <c r="AT29" s="54">
        <v>71</v>
      </c>
      <c r="AU29" s="54">
        <v>58</v>
      </c>
      <c r="AV29" s="53">
        <v>58</v>
      </c>
      <c r="AW29" s="54">
        <v>70</v>
      </c>
      <c r="AX29" s="54">
        <v>62</v>
      </c>
      <c r="AY29" s="122">
        <v>100</v>
      </c>
      <c r="AZ29" s="54">
        <v>65</v>
      </c>
      <c r="BA29" s="54">
        <v>60</v>
      </c>
      <c r="BB29" s="122">
        <v>100</v>
      </c>
      <c r="BC29" s="54">
        <v>85</v>
      </c>
      <c r="BD29" s="54">
        <v>91</v>
      </c>
      <c r="BE29" s="122">
        <v>100</v>
      </c>
      <c r="BF29" s="54">
        <v>82</v>
      </c>
      <c r="BG29" s="54">
        <v>89</v>
      </c>
      <c r="BH29" s="122">
        <v>100</v>
      </c>
      <c r="BI29" s="54">
        <v>76</v>
      </c>
      <c r="BJ29" s="70">
        <v>100</v>
      </c>
      <c r="BK29" s="122">
        <v>100</v>
      </c>
      <c r="BL29" s="54">
        <v>66</v>
      </c>
      <c r="BM29" s="70">
        <v>100</v>
      </c>
      <c r="BN29" s="122">
        <v>100</v>
      </c>
      <c r="BO29" s="54">
        <v>54</v>
      </c>
      <c r="BP29" s="54">
        <v>91</v>
      </c>
      <c r="BQ29" s="122">
        <v>100</v>
      </c>
      <c r="BR29" s="54">
        <v>61</v>
      </c>
      <c r="BS29" s="70">
        <v>100</v>
      </c>
      <c r="BT29" s="122">
        <v>100</v>
      </c>
      <c r="BU29" s="54">
        <v>75</v>
      </c>
      <c r="BV29" s="70">
        <v>100</v>
      </c>
      <c r="BW29" s="122">
        <v>100</v>
      </c>
      <c r="BX29" s="54">
        <v>66</v>
      </c>
      <c r="BY29" s="70">
        <v>100</v>
      </c>
      <c r="BZ29" s="122">
        <v>100</v>
      </c>
      <c r="CA29" s="54">
        <v>61</v>
      </c>
      <c r="CB29" s="54">
        <v>83</v>
      </c>
      <c r="CC29" s="53">
        <v>78</v>
      </c>
      <c r="CD29" s="54">
        <v>65</v>
      </c>
      <c r="CE29" s="54">
        <v>70</v>
      </c>
      <c r="CF29" s="53">
        <v>78</v>
      </c>
      <c r="CG29" s="54">
        <v>57</v>
      </c>
      <c r="CH29" s="54">
        <v>70</v>
      </c>
      <c r="CI29" s="53">
        <v>71</v>
      </c>
      <c r="CJ29" s="54">
        <v>53</v>
      </c>
      <c r="CK29" s="54">
        <v>66</v>
      </c>
      <c r="CL29" s="53">
        <v>68</v>
      </c>
      <c r="CM29" s="54">
        <v>81</v>
      </c>
      <c r="CN29" s="54">
        <v>72</v>
      </c>
      <c r="CO29" s="53">
        <v>40</v>
      </c>
      <c r="CP29" s="54">
        <v>74</v>
      </c>
      <c r="CQ29" s="54">
        <v>70</v>
      </c>
      <c r="CR29" s="53">
        <v>48</v>
      </c>
      <c r="CS29" s="54">
        <v>71</v>
      </c>
      <c r="CT29" s="54">
        <v>69</v>
      </c>
      <c r="CU29" s="53">
        <v>57</v>
      </c>
      <c r="CV29" s="54">
        <v>67</v>
      </c>
      <c r="CW29" s="54">
        <v>62</v>
      </c>
      <c r="CX29" s="53">
        <v>53</v>
      </c>
      <c r="CY29" s="54">
        <v>66</v>
      </c>
      <c r="CZ29" s="54">
        <v>54</v>
      </c>
      <c r="DA29" s="53">
        <v>51</v>
      </c>
      <c r="DB29" s="54">
        <v>60</v>
      </c>
      <c r="DC29" s="54">
        <v>52</v>
      </c>
      <c r="DD29" s="53">
        <v>43</v>
      </c>
      <c r="DE29" s="54">
        <v>57</v>
      </c>
      <c r="DF29" s="54">
        <v>49</v>
      </c>
      <c r="DG29" s="53">
        <v>49</v>
      </c>
      <c r="DH29" s="54">
        <v>52</v>
      </c>
      <c r="DI29" s="54">
        <v>43</v>
      </c>
      <c r="DJ29" s="53">
        <v>43</v>
      </c>
      <c r="DK29" s="54">
        <v>46</v>
      </c>
      <c r="DL29" s="54">
        <v>48</v>
      </c>
      <c r="DM29" s="53">
        <v>42</v>
      </c>
      <c r="DN29" s="54">
        <v>37</v>
      </c>
      <c r="DO29" s="54">
        <v>44</v>
      </c>
      <c r="DP29" s="53">
        <v>39</v>
      </c>
      <c r="DQ29" s="54">
        <v>33</v>
      </c>
      <c r="DR29" s="54">
        <v>35</v>
      </c>
      <c r="DS29" s="53">
        <v>48</v>
      </c>
      <c r="DT29" s="54">
        <v>32</v>
      </c>
      <c r="DU29" s="54">
        <v>32</v>
      </c>
      <c r="DV29" s="53">
        <v>51</v>
      </c>
      <c r="DW29" s="54">
        <v>29</v>
      </c>
      <c r="DX29" s="54">
        <v>31</v>
      </c>
      <c r="DY29" s="53">
        <v>48</v>
      </c>
      <c r="DZ29" s="54">
        <v>33</v>
      </c>
      <c r="EA29" s="54">
        <v>36</v>
      </c>
      <c r="EB29" s="53">
        <v>46</v>
      </c>
      <c r="EC29" s="54">
        <v>30</v>
      </c>
      <c r="ED29" s="54">
        <v>38</v>
      </c>
      <c r="EE29" s="53">
        <v>42</v>
      </c>
      <c r="EF29" s="54">
        <v>28</v>
      </c>
      <c r="EG29" s="54">
        <v>36</v>
      </c>
      <c r="EH29" s="53">
        <v>38</v>
      </c>
      <c r="EI29" s="54">
        <v>26</v>
      </c>
      <c r="EJ29" s="54">
        <v>34</v>
      </c>
      <c r="EK29" s="53">
        <v>32</v>
      </c>
      <c r="EL29" s="54">
        <v>22</v>
      </c>
      <c r="EM29" s="54">
        <v>31</v>
      </c>
      <c r="EN29" s="53">
        <v>39</v>
      </c>
      <c r="EO29" s="54">
        <v>38</v>
      </c>
      <c r="EP29" s="54">
        <v>27</v>
      </c>
      <c r="EQ29" s="53">
        <v>46</v>
      </c>
      <c r="ER29" s="54">
        <v>32</v>
      </c>
      <c r="ES29" s="54">
        <v>38</v>
      </c>
      <c r="ET29" s="53">
        <v>44</v>
      </c>
      <c r="EU29" s="54">
        <v>30</v>
      </c>
      <c r="EV29" s="54">
        <v>54</v>
      </c>
      <c r="EW29" s="53">
        <v>41</v>
      </c>
      <c r="EX29" s="54">
        <v>29</v>
      </c>
      <c r="EY29" s="54">
        <v>55</v>
      </c>
      <c r="EZ29" s="53">
        <v>39</v>
      </c>
      <c r="FA29" s="54">
        <v>26</v>
      </c>
      <c r="FB29" s="54">
        <v>53</v>
      </c>
      <c r="FC29" s="54">
        <v>43</v>
      </c>
      <c r="FD29" s="54">
        <v>24</v>
      </c>
      <c r="FE29" s="54">
        <v>45</v>
      </c>
      <c r="FF29" s="124">
        <v>100</v>
      </c>
      <c r="FG29" s="54">
        <v>20</v>
      </c>
      <c r="FH29" s="54">
        <v>22</v>
      </c>
      <c r="FI29" s="124">
        <v>100</v>
      </c>
      <c r="FJ29" s="54">
        <v>15</v>
      </c>
      <c r="FK29" s="54">
        <v>18</v>
      </c>
      <c r="FL29" s="124">
        <v>100</v>
      </c>
      <c r="FM29" s="54">
        <v>19</v>
      </c>
      <c r="FN29" s="54">
        <v>17</v>
      </c>
      <c r="FO29" s="14">
        <v>100</v>
      </c>
      <c r="FP29" s="6">
        <v>13</v>
      </c>
      <c r="FQ29" s="6">
        <v>16</v>
      </c>
      <c r="FR29" s="14">
        <v>100</v>
      </c>
      <c r="FS29" s="16">
        <v>18</v>
      </c>
      <c r="FT29" s="16">
        <v>19</v>
      </c>
      <c r="FU29" s="14">
        <v>100</v>
      </c>
      <c r="FV29" s="6">
        <v>16</v>
      </c>
      <c r="FW29" s="6">
        <v>12</v>
      </c>
      <c r="FX29" s="14">
        <v>100</v>
      </c>
      <c r="FY29" s="6">
        <v>15</v>
      </c>
      <c r="FZ29" s="6">
        <v>11</v>
      </c>
      <c r="GA29" s="14">
        <v>100</v>
      </c>
      <c r="GB29" s="16">
        <v>16</v>
      </c>
      <c r="GC29" s="16">
        <v>15</v>
      </c>
      <c r="GD29" s="14">
        <v>100</v>
      </c>
      <c r="GE29" s="16">
        <v>18</v>
      </c>
      <c r="GF29" s="16">
        <v>13</v>
      </c>
      <c r="GG29" s="14">
        <v>100</v>
      </c>
      <c r="GH29" s="16">
        <v>17</v>
      </c>
      <c r="GI29" s="16">
        <v>19</v>
      </c>
      <c r="GJ29" s="14">
        <v>100</v>
      </c>
      <c r="GK29" s="16">
        <v>19</v>
      </c>
      <c r="GL29" s="16">
        <v>29</v>
      </c>
      <c r="GM29" s="14">
        <v>100</v>
      </c>
      <c r="GN29" s="16">
        <v>17</v>
      </c>
      <c r="GO29" s="16">
        <v>26</v>
      </c>
      <c r="GP29" s="14">
        <v>100</v>
      </c>
      <c r="GQ29" s="16">
        <v>19</v>
      </c>
      <c r="GR29" s="16">
        <v>21</v>
      </c>
      <c r="GS29" s="14">
        <v>100</v>
      </c>
      <c r="GT29" s="16">
        <v>14</v>
      </c>
      <c r="GU29" s="16">
        <v>19</v>
      </c>
      <c r="GV29" s="14">
        <v>100</v>
      </c>
      <c r="GW29" s="16">
        <v>13</v>
      </c>
      <c r="GX29" s="16">
        <v>22</v>
      </c>
      <c r="GY29" s="14">
        <v>100</v>
      </c>
      <c r="GZ29" s="16">
        <v>18</v>
      </c>
      <c r="HA29" s="16">
        <v>19</v>
      </c>
      <c r="HB29" s="14">
        <v>100</v>
      </c>
      <c r="HC29" s="16">
        <v>14</v>
      </c>
      <c r="HD29" s="16">
        <v>25</v>
      </c>
      <c r="HE29" s="14">
        <v>100</v>
      </c>
      <c r="HF29" s="16">
        <v>18</v>
      </c>
      <c r="HG29" s="16">
        <v>22</v>
      </c>
      <c r="HH29" s="14">
        <v>100</v>
      </c>
      <c r="HI29" s="16">
        <v>23</v>
      </c>
      <c r="HJ29" s="16">
        <v>28</v>
      </c>
      <c r="HK29" s="14">
        <v>100</v>
      </c>
      <c r="HL29" s="16">
        <v>39</v>
      </c>
      <c r="HM29" s="16">
        <v>35</v>
      </c>
      <c r="HN29" s="14">
        <v>100</v>
      </c>
      <c r="HO29" s="16">
        <v>32</v>
      </c>
      <c r="HP29" s="16">
        <v>38</v>
      </c>
      <c r="HQ29" s="34">
        <v>100</v>
      </c>
      <c r="HR29" s="6">
        <v>39</v>
      </c>
      <c r="HS29" s="6">
        <v>47</v>
      </c>
      <c r="HT29" s="14">
        <v>100</v>
      </c>
      <c r="HU29" s="16">
        <v>31</v>
      </c>
      <c r="HV29" s="16">
        <v>48</v>
      </c>
      <c r="HW29" s="14">
        <v>100</v>
      </c>
      <c r="HX29" s="16">
        <v>34</v>
      </c>
      <c r="HY29" s="16">
        <v>42</v>
      </c>
      <c r="HZ29" s="14">
        <v>100</v>
      </c>
      <c r="IA29" s="16">
        <v>32</v>
      </c>
      <c r="IB29" s="16">
        <v>37</v>
      </c>
      <c r="IC29" s="34">
        <v>100</v>
      </c>
      <c r="ID29" s="6">
        <v>31</v>
      </c>
      <c r="IE29" s="6">
        <v>37</v>
      </c>
      <c r="IF29" s="14">
        <v>100</v>
      </c>
      <c r="IG29" s="14">
        <v>100</v>
      </c>
      <c r="IH29" s="14">
        <v>100</v>
      </c>
      <c r="II29" s="14">
        <v>100</v>
      </c>
      <c r="IJ29" s="14">
        <v>100</v>
      </c>
      <c r="IK29" s="14">
        <v>100</v>
      </c>
      <c r="IL29" s="14">
        <v>100</v>
      </c>
      <c r="IM29" s="14">
        <v>100</v>
      </c>
      <c r="IN29" s="14">
        <v>100</v>
      </c>
      <c r="IO29" s="14">
        <v>100</v>
      </c>
      <c r="IP29" s="14">
        <v>100</v>
      </c>
      <c r="IQ29" s="14">
        <v>100</v>
      </c>
      <c r="IR29" s="25">
        <v>100</v>
      </c>
      <c r="IS29" s="25">
        <v>100</v>
      </c>
      <c r="IT29" s="25">
        <v>100</v>
      </c>
      <c r="IU29" s="25">
        <v>100</v>
      </c>
      <c r="IV29" s="25">
        <v>100</v>
      </c>
      <c r="IW29" s="25">
        <v>100</v>
      </c>
      <c r="IX29" s="58">
        <f t="shared" si="0"/>
        <v>0</v>
      </c>
      <c r="IY29" s="110"/>
      <c r="IZ29" s="2"/>
      <c r="JA29" s="2"/>
      <c r="JB29" s="2"/>
      <c r="JC29" s="2"/>
    </row>
    <row r="30" spans="1:263" ht="13.5" customHeight="1">
      <c r="A30" s="55">
        <v>23</v>
      </c>
      <c r="B30" s="52" t="s">
        <v>114</v>
      </c>
      <c r="C30" s="8">
        <v>50</v>
      </c>
      <c r="D30" s="8">
        <v>50</v>
      </c>
      <c r="E30" s="132">
        <v>70</v>
      </c>
      <c r="F30" s="112"/>
      <c r="G30" s="54"/>
      <c r="H30" s="54"/>
      <c r="I30" s="53"/>
      <c r="J30" s="53"/>
      <c r="K30" s="53"/>
      <c r="L30" s="53"/>
      <c r="M30" s="53"/>
      <c r="N30" s="53"/>
      <c r="O30" s="122">
        <v>100</v>
      </c>
      <c r="P30" s="70">
        <v>100</v>
      </c>
      <c r="Q30" s="70">
        <v>100</v>
      </c>
      <c r="R30" s="122">
        <v>100</v>
      </c>
      <c r="S30" s="70">
        <v>100</v>
      </c>
      <c r="T30" s="70">
        <v>100</v>
      </c>
      <c r="U30" s="122">
        <v>100</v>
      </c>
      <c r="V30" s="70">
        <v>100</v>
      </c>
      <c r="W30" s="70">
        <v>100</v>
      </c>
      <c r="X30" s="122">
        <v>100</v>
      </c>
      <c r="Y30" s="70">
        <v>100</v>
      </c>
      <c r="Z30" s="70">
        <v>100</v>
      </c>
      <c r="AA30" s="122">
        <v>100</v>
      </c>
      <c r="AB30" s="70">
        <v>100</v>
      </c>
      <c r="AC30" s="70">
        <v>100</v>
      </c>
      <c r="AD30" s="122">
        <v>100</v>
      </c>
      <c r="AE30" s="70">
        <v>100</v>
      </c>
      <c r="AF30" s="70">
        <v>100</v>
      </c>
      <c r="AG30" s="122">
        <v>100</v>
      </c>
      <c r="AH30" s="70">
        <v>100</v>
      </c>
      <c r="AI30" s="70">
        <v>100</v>
      </c>
      <c r="AJ30" s="122">
        <v>100</v>
      </c>
      <c r="AK30" s="70">
        <v>100</v>
      </c>
      <c r="AL30" s="70">
        <v>100</v>
      </c>
      <c r="AM30" s="122">
        <v>100</v>
      </c>
      <c r="AN30" s="70">
        <v>100</v>
      </c>
      <c r="AO30" s="70">
        <v>100</v>
      </c>
      <c r="AP30" s="122">
        <v>100</v>
      </c>
      <c r="AQ30" s="70">
        <v>100</v>
      </c>
      <c r="AR30" s="70">
        <v>100</v>
      </c>
      <c r="AS30" s="122">
        <v>100</v>
      </c>
      <c r="AT30" s="70">
        <v>100</v>
      </c>
      <c r="AU30" s="70">
        <v>100</v>
      </c>
      <c r="AV30" s="122">
        <v>100</v>
      </c>
      <c r="AW30" s="70">
        <v>100</v>
      </c>
      <c r="AX30" s="70">
        <v>100</v>
      </c>
      <c r="AY30" s="122">
        <v>100</v>
      </c>
      <c r="AZ30" s="70">
        <v>100</v>
      </c>
      <c r="BA30" s="70">
        <v>100</v>
      </c>
      <c r="BB30" s="122">
        <v>100</v>
      </c>
      <c r="BC30" s="70">
        <v>100</v>
      </c>
      <c r="BD30" s="70">
        <v>100</v>
      </c>
      <c r="BE30" s="122">
        <v>100</v>
      </c>
      <c r="BF30" s="70">
        <v>100</v>
      </c>
      <c r="BG30" s="70">
        <v>100</v>
      </c>
      <c r="BH30" s="122">
        <v>100</v>
      </c>
      <c r="BI30" s="70">
        <v>100</v>
      </c>
      <c r="BJ30" s="70">
        <v>100</v>
      </c>
      <c r="BK30" s="122">
        <v>100</v>
      </c>
      <c r="BL30" s="70">
        <v>100</v>
      </c>
      <c r="BM30" s="70">
        <v>100</v>
      </c>
      <c r="BN30" s="122">
        <v>100</v>
      </c>
      <c r="BO30" s="70">
        <v>100</v>
      </c>
      <c r="BP30" s="70">
        <v>100</v>
      </c>
      <c r="BQ30" s="122">
        <v>100</v>
      </c>
      <c r="BR30" s="70">
        <v>100</v>
      </c>
      <c r="BS30" s="70">
        <v>100</v>
      </c>
      <c r="BT30" s="122">
        <v>100</v>
      </c>
      <c r="BU30" s="70">
        <v>100</v>
      </c>
      <c r="BV30" s="70">
        <v>100</v>
      </c>
      <c r="BW30" s="122">
        <v>100</v>
      </c>
      <c r="BX30" s="70">
        <v>100</v>
      </c>
      <c r="BY30" s="70">
        <v>100</v>
      </c>
      <c r="BZ30" s="122">
        <v>100</v>
      </c>
      <c r="CA30" s="70">
        <v>100</v>
      </c>
      <c r="CB30" s="70">
        <v>100</v>
      </c>
      <c r="CC30" s="122">
        <v>100</v>
      </c>
      <c r="CD30" s="70">
        <v>100</v>
      </c>
      <c r="CE30" s="70">
        <v>100</v>
      </c>
      <c r="CF30" s="122">
        <v>100</v>
      </c>
      <c r="CG30" s="70">
        <v>100</v>
      </c>
      <c r="CH30" s="70">
        <v>100</v>
      </c>
      <c r="CI30" s="122">
        <v>100</v>
      </c>
      <c r="CJ30" s="70">
        <v>100</v>
      </c>
      <c r="CK30" s="70">
        <v>100</v>
      </c>
      <c r="CL30" s="122">
        <v>100</v>
      </c>
      <c r="CM30" s="70">
        <v>100</v>
      </c>
      <c r="CN30" s="70">
        <v>100</v>
      </c>
      <c r="CO30" s="122">
        <v>100</v>
      </c>
      <c r="CP30" s="70">
        <v>100</v>
      </c>
      <c r="CQ30" s="70">
        <v>100</v>
      </c>
      <c r="CR30" s="122">
        <v>100</v>
      </c>
      <c r="CS30" s="70">
        <v>100</v>
      </c>
      <c r="CT30" s="70">
        <v>100</v>
      </c>
      <c r="CU30" s="122">
        <v>100</v>
      </c>
      <c r="CV30" s="70">
        <v>100</v>
      </c>
      <c r="CW30" s="70">
        <v>100</v>
      </c>
      <c r="CX30" s="114">
        <v>100</v>
      </c>
      <c r="CY30" s="115">
        <v>100</v>
      </c>
      <c r="CZ30" s="115">
        <v>100</v>
      </c>
      <c r="DA30" s="114">
        <v>100</v>
      </c>
      <c r="DB30" s="115">
        <v>100</v>
      </c>
      <c r="DC30" s="115">
        <v>100</v>
      </c>
      <c r="DD30" s="114">
        <v>100</v>
      </c>
      <c r="DE30" s="115">
        <v>100</v>
      </c>
      <c r="DF30" s="115">
        <v>100</v>
      </c>
      <c r="DG30" s="114">
        <v>100</v>
      </c>
      <c r="DH30" s="115">
        <v>100</v>
      </c>
      <c r="DI30" s="115">
        <v>100</v>
      </c>
      <c r="DJ30" s="114">
        <v>100</v>
      </c>
      <c r="DK30" s="115">
        <v>100</v>
      </c>
      <c r="DL30" s="115">
        <v>100</v>
      </c>
      <c r="DM30" s="114">
        <v>100</v>
      </c>
      <c r="DN30" s="115">
        <v>100</v>
      </c>
      <c r="DO30" s="115">
        <v>100</v>
      </c>
      <c r="DP30" s="114">
        <v>100</v>
      </c>
      <c r="DQ30" s="115">
        <v>100</v>
      </c>
      <c r="DR30" s="115">
        <v>100</v>
      </c>
      <c r="DS30" s="114">
        <v>100</v>
      </c>
      <c r="DT30" s="115">
        <v>100</v>
      </c>
      <c r="DU30" s="115">
        <v>100</v>
      </c>
      <c r="DV30" s="114">
        <v>100</v>
      </c>
      <c r="DW30" s="115">
        <v>100</v>
      </c>
      <c r="DX30" s="115">
        <v>100</v>
      </c>
      <c r="DY30" s="114">
        <v>100</v>
      </c>
      <c r="DZ30" s="115">
        <v>100</v>
      </c>
      <c r="EA30" s="115">
        <v>100</v>
      </c>
      <c r="EB30" s="114">
        <v>100</v>
      </c>
      <c r="EC30" s="115">
        <v>100</v>
      </c>
      <c r="ED30" s="115">
        <v>100</v>
      </c>
      <c r="EE30" s="114">
        <v>100</v>
      </c>
      <c r="EF30" s="115">
        <v>100</v>
      </c>
      <c r="EG30" s="115">
        <v>100</v>
      </c>
      <c r="EH30" s="114">
        <v>100</v>
      </c>
      <c r="EI30" s="115">
        <v>100</v>
      </c>
      <c r="EJ30" s="115">
        <v>100</v>
      </c>
      <c r="EK30" s="114">
        <v>100</v>
      </c>
      <c r="EL30" s="115">
        <v>100</v>
      </c>
      <c r="EM30" s="115">
        <v>100</v>
      </c>
      <c r="EN30" s="114">
        <v>100</v>
      </c>
      <c r="EO30" s="115">
        <v>100</v>
      </c>
      <c r="EP30" s="115">
        <v>100</v>
      </c>
      <c r="EQ30" s="114">
        <v>100</v>
      </c>
      <c r="ER30" s="115">
        <v>100</v>
      </c>
      <c r="ES30" s="115">
        <v>100</v>
      </c>
      <c r="ET30" s="114">
        <v>100</v>
      </c>
      <c r="EU30" s="115">
        <v>100</v>
      </c>
      <c r="EV30" s="115">
        <v>100</v>
      </c>
      <c r="EW30" s="114">
        <v>100</v>
      </c>
      <c r="EX30" s="115">
        <v>100</v>
      </c>
      <c r="EY30" s="115">
        <v>100</v>
      </c>
      <c r="EZ30" s="114">
        <v>100</v>
      </c>
      <c r="FA30" s="115">
        <v>100</v>
      </c>
      <c r="FB30" s="115">
        <v>100</v>
      </c>
      <c r="FC30" s="124">
        <v>100</v>
      </c>
      <c r="FD30" s="124">
        <v>100</v>
      </c>
      <c r="FE30" s="124">
        <v>100</v>
      </c>
      <c r="FF30" s="124">
        <v>100</v>
      </c>
      <c r="FG30" s="124">
        <v>100</v>
      </c>
      <c r="FH30" s="124">
        <v>100</v>
      </c>
      <c r="FI30" s="124">
        <v>100</v>
      </c>
      <c r="FJ30" s="124">
        <v>100</v>
      </c>
      <c r="FK30" s="124">
        <v>100</v>
      </c>
      <c r="FL30" s="124">
        <v>100</v>
      </c>
      <c r="FM30" s="124">
        <v>100</v>
      </c>
      <c r="FN30" s="124">
        <v>100</v>
      </c>
      <c r="FO30" s="14">
        <v>100</v>
      </c>
      <c r="FP30" s="14">
        <v>100</v>
      </c>
      <c r="FQ30" s="14">
        <v>100</v>
      </c>
      <c r="FR30" s="14">
        <v>100</v>
      </c>
      <c r="FS30" s="14">
        <v>100</v>
      </c>
      <c r="FT30" s="14">
        <v>100</v>
      </c>
      <c r="FU30" s="14">
        <v>100</v>
      </c>
      <c r="FV30" s="14">
        <v>100</v>
      </c>
      <c r="FW30" s="14">
        <v>100</v>
      </c>
      <c r="FX30" s="14">
        <v>100</v>
      </c>
      <c r="FY30" s="14">
        <v>100</v>
      </c>
      <c r="FZ30" s="14">
        <v>100</v>
      </c>
      <c r="GA30" s="14">
        <v>100</v>
      </c>
      <c r="GB30" s="14">
        <v>100</v>
      </c>
      <c r="GC30" s="14">
        <v>100</v>
      </c>
      <c r="GD30" s="14">
        <v>100</v>
      </c>
      <c r="GE30" s="14">
        <v>100</v>
      </c>
      <c r="GF30" s="14">
        <v>100</v>
      </c>
      <c r="GG30" s="14">
        <v>100</v>
      </c>
      <c r="GH30" s="14">
        <v>100</v>
      </c>
      <c r="GI30" s="14">
        <v>100</v>
      </c>
      <c r="GJ30" s="14">
        <v>100</v>
      </c>
      <c r="GK30" s="14">
        <v>100</v>
      </c>
      <c r="GL30" s="14">
        <v>100</v>
      </c>
      <c r="GM30" s="14">
        <v>100</v>
      </c>
      <c r="GN30" s="14">
        <v>100</v>
      </c>
      <c r="GO30" s="14">
        <v>100</v>
      </c>
      <c r="GP30" s="14">
        <v>100</v>
      </c>
      <c r="GQ30" s="14">
        <v>100</v>
      </c>
      <c r="GR30" s="14">
        <v>100</v>
      </c>
      <c r="GS30" s="14">
        <v>100</v>
      </c>
      <c r="GT30" s="14">
        <v>100</v>
      </c>
      <c r="GU30" s="14">
        <v>100</v>
      </c>
      <c r="GV30" s="14">
        <v>100</v>
      </c>
      <c r="GW30" s="14">
        <v>100</v>
      </c>
      <c r="GX30" s="14">
        <v>100</v>
      </c>
      <c r="GY30" s="14">
        <v>100</v>
      </c>
      <c r="GZ30" s="14">
        <v>100</v>
      </c>
      <c r="HA30" s="14">
        <v>100</v>
      </c>
      <c r="HB30" s="14">
        <v>100</v>
      </c>
      <c r="HC30" s="14">
        <v>100</v>
      </c>
      <c r="HD30" s="14">
        <v>100</v>
      </c>
      <c r="HE30" s="14">
        <v>100</v>
      </c>
      <c r="HF30" s="14">
        <v>100</v>
      </c>
      <c r="HG30" s="14">
        <v>100</v>
      </c>
      <c r="HH30" s="14">
        <v>100</v>
      </c>
      <c r="HI30" s="14">
        <v>100</v>
      </c>
      <c r="HJ30" s="14">
        <v>100</v>
      </c>
      <c r="HK30" s="14">
        <v>100</v>
      </c>
      <c r="HL30" s="14">
        <v>100</v>
      </c>
      <c r="HM30" s="14">
        <v>100</v>
      </c>
      <c r="HN30" s="14">
        <v>100</v>
      </c>
      <c r="HO30" s="14">
        <v>100</v>
      </c>
      <c r="HP30" s="14">
        <v>100</v>
      </c>
      <c r="HQ30" s="34">
        <v>100</v>
      </c>
      <c r="HR30" s="34">
        <v>100</v>
      </c>
      <c r="HS30" s="34">
        <v>100</v>
      </c>
      <c r="HT30" s="14">
        <v>100</v>
      </c>
      <c r="HU30" s="14">
        <v>100</v>
      </c>
      <c r="HV30" s="14">
        <v>100</v>
      </c>
      <c r="HW30" s="14">
        <v>100</v>
      </c>
      <c r="HX30" s="14">
        <v>100</v>
      </c>
      <c r="HY30" s="14">
        <v>100</v>
      </c>
      <c r="HZ30" s="14">
        <v>100</v>
      </c>
      <c r="IA30" s="14">
        <v>100</v>
      </c>
      <c r="IB30" s="14">
        <v>100</v>
      </c>
      <c r="IC30" s="34">
        <v>100</v>
      </c>
      <c r="ID30" s="34">
        <v>100</v>
      </c>
      <c r="IE30" s="34">
        <v>100</v>
      </c>
      <c r="IF30" s="14">
        <v>100</v>
      </c>
      <c r="IG30" s="14">
        <v>100</v>
      </c>
      <c r="IH30" s="14">
        <v>100</v>
      </c>
      <c r="II30" s="14">
        <v>100</v>
      </c>
      <c r="IJ30" s="14">
        <v>100</v>
      </c>
      <c r="IK30" s="14">
        <v>100</v>
      </c>
      <c r="IL30" s="14">
        <v>100</v>
      </c>
      <c r="IM30" s="14">
        <v>100</v>
      </c>
      <c r="IN30" s="14">
        <v>100</v>
      </c>
      <c r="IO30" s="14">
        <v>100</v>
      </c>
      <c r="IP30" s="14">
        <v>100</v>
      </c>
      <c r="IQ30" s="14">
        <v>100</v>
      </c>
      <c r="IR30" s="25">
        <v>100</v>
      </c>
      <c r="IS30" s="25">
        <v>100</v>
      </c>
      <c r="IT30" s="25">
        <v>100</v>
      </c>
      <c r="IU30" s="25">
        <v>100</v>
      </c>
      <c r="IV30" s="25">
        <v>100</v>
      </c>
      <c r="IW30" s="25">
        <v>100</v>
      </c>
      <c r="IX30" s="58">
        <f t="shared" si="0"/>
        <v>0</v>
      </c>
      <c r="IY30" s="110"/>
      <c r="IZ30" s="2"/>
      <c r="JA30" s="2"/>
      <c r="JB30" s="2"/>
      <c r="JC30" s="2"/>
    </row>
    <row r="31" spans="1:263" ht="13.5" customHeight="1">
      <c r="A31" s="55">
        <v>24</v>
      </c>
      <c r="B31" s="52" t="s">
        <v>115</v>
      </c>
      <c r="C31" s="6">
        <v>480</v>
      </c>
      <c r="D31" s="33">
        <v>140</v>
      </c>
      <c r="E31" s="131">
        <v>140</v>
      </c>
      <c r="F31" s="117"/>
      <c r="G31" s="53"/>
      <c r="H31" s="53"/>
      <c r="I31" s="53"/>
      <c r="J31" s="53"/>
      <c r="K31" s="53"/>
      <c r="L31" s="53"/>
      <c r="M31" s="53"/>
      <c r="N31" s="53"/>
      <c r="O31" s="122">
        <v>100</v>
      </c>
      <c r="P31" s="70">
        <v>100</v>
      </c>
      <c r="Q31" s="70">
        <v>100</v>
      </c>
      <c r="R31" s="122">
        <v>100</v>
      </c>
      <c r="S31" s="70">
        <v>100</v>
      </c>
      <c r="T31" s="70">
        <v>100</v>
      </c>
      <c r="U31" s="122">
        <v>100</v>
      </c>
      <c r="V31" s="70">
        <v>100</v>
      </c>
      <c r="W31" s="70">
        <v>100</v>
      </c>
      <c r="X31" s="122">
        <v>100</v>
      </c>
      <c r="Y31" s="70">
        <v>100</v>
      </c>
      <c r="Z31" s="70">
        <v>100</v>
      </c>
      <c r="AA31" s="122">
        <v>100</v>
      </c>
      <c r="AB31" s="70">
        <v>100</v>
      </c>
      <c r="AC31" s="70">
        <v>100</v>
      </c>
      <c r="AD31" s="122">
        <v>100</v>
      </c>
      <c r="AE31" s="70">
        <v>100</v>
      </c>
      <c r="AF31" s="70">
        <v>100</v>
      </c>
      <c r="AG31" s="122">
        <v>100</v>
      </c>
      <c r="AH31" s="70">
        <v>100</v>
      </c>
      <c r="AI31" s="70">
        <v>100</v>
      </c>
      <c r="AJ31" s="122">
        <v>100</v>
      </c>
      <c r="AK31" s="70">
        <v>100</v>
      </c>
      <c r="AL31" s="70">
        <v>100</v>
      </c>
      <c r="AM31" s="122">
        <v>100</v>
      </c>
      <c r="AN31" s="70">
        <v>100</v>
      </c>
      <c r="AO31" s="70">
        <v>100</v>
      </c>
      <c r="AP31" s="122">
        <v>100</v>
      </c>
      <c r="AQ31" s="70">
        <v>100</v>
      </c>
      <c r="AR31" s="70">
        <v>100</v>
      </c>
      <c r="AS31" s="122">
        <v>100</v>
      </c>
      <c r="AT31" s="70">
        <v>100</v>
      </c>
      <c r="AU31" s="70">
        <v>100</v>
      </c>
      <c r="AV31" s="122">
        <v>100</v>
      </c>
      <c r="AW31" s="70">
        <v>100</v>
      </c>
      <c r="AX31" s="70">
        <v>100</v>
      </c>
      <c r="AY31" s="122">
        <v>100</v>
      </c>
      <c r="AZ31" s="70">
        <v>100</v>
      </c>
      <c r="BA31" s="70">
        <v>100</v>
      </c>
      <c r="BB31" s="122">
        <v>100</v>
      </c>
      <c r="BC31" s="70">
        <v>100</v>
      </c>
      <c r="BD31" s="70">
        <v>100</v>
      </c>
      <c r="BE31" s="122">
        <v>100</v>
      </c>
      <c r="BF31" s="70">
        <v>100</v>
      </c>
      <c r="BG31" s="70">
        <v>100</v>
      </c>
      <c r="BH31" s="122">
        <v>100</v>
      </c>
      <c r="BI31" s="70">
        <v>100</v>
      </c>
      <c r="BJ31" s="70">
        <v>100</v>
      </c>
      <c r="BK31" s="122">
        <v>100</v>
      </c>
      <c r="BL31" s="70">
        <v>100</v>
      </c>
      <c r="BM31" s="70">
        <v>100</v>
      </c>
      <c r="BN31" s="122">
        <v>100</v>
      </c>
      <c r="BO31" s="70">
        <v>100</v>
      </c>
      <c r="BP31" s="70">
        <v>100</v>
      </c>
      <c r="BQ31" s="122">
        <v>100</v>
      </c>
      <c r="BR31" s="70">
        <v>100</v>
      </c>
      <c r="BS31" s="70">
        <v>100</v>
      </c>
      <c r="BT31" s="122">
        <v>100</v>
      </c>
      <c r="BU31" s="70">
        <v>100</v>
      </c>
      <c r="BV31" s="70">
        <v>100</v>
      </c>
      <c r="BW31" s="122">
        <v>100</v>
      </c>
      <c r="BX31" s="70">
        <v>100</v>
      </c>
      <c r="BY31" s="70">
        <v>100</v>
      </c>
      <c r="BZ31" s="122">
        <v>100</v>
      </c>
      <c r="CA31" s="70">
        <v>100</v>
      </c>
      <c r="CB31" s="70">
        <v>100</v>
      </c>
      <c r="CC31" s="122">
        <v>100</v>
      </c>
      <c r="CD31" s="70">
        <v>100</v>
      </c>
      <c r="CE31" s="70">
        <v>100</v>
      </c>
      <c r="CF31" s="122">
        <v>100</v>
      </c>
      <c r="CG31" s="70">
        <v>100</v>
      </c>
      <c r="CH31" s="70">
        <v>100</v>
      </c>
      <c r="CI31" s="122">
        <v>100</v>
      </c>
      <c r="CJ31" s="70">
        <v>100</v>
      </c>
      <c r="CK31" s="70">
        <v>100</v>
      </c>
      <c r="CL31" s="122">
        <v>100</v>
      </c>
      <c r="CM31" s="70">
        <v>100</v>
      </c>
      <c r="CN31" s="70">
        <v>100</v>
      </c>
      <c r="CO31" s="122">
        <v>100</v>
      </c>
      <c r="CP31" s="70">
        <v>100</v>
      </c>
      <c r="CQ31" s="70">
        <v>100</v>
      </c>
      <c r="CR31" s="122">
        <v>100</v>
      </c>
      <c r="CS31" s="70">
        <v>100</v>
      </c>
      <c r="CT31" s="70">
        <v>100</v>
      </c>
      <c r="CU31" s="122">
        <v>100</v>
      </c>
      <c r="CV31" s="70">
        <v>100</v>
      </c>
      <c r="CW31" s="70">
        <v>100</v>
      </c>
      <c r="CX31" s="114">
        <v>100</v>
      </c>
      <c r="CY31" s="115">
        <v>100</v>
      </c>
      <c r="CZ31" s="115">
        <v>100</v>
      </c>
      <c r="DA31" s="114">
        <v>100</v>
      </c>
      <c r="DB31" s="115">
        <v>100</v>
      </c>
      <c r="DC31" s="115">
        <v>100</v>
      </c>
      <c r="DD31" s="114">
        <v>100</v>
      </c>
      <c r="DE31" s="115">
        <v>100</v>
      </c>
      <c r="DF31" s="115">
        <v>100</v>
      </c>
      <c r="DG31" s="114">
        <v>100</v>
      </c>
      <c r="DH31" s="115">
        <v>100</v>
      </c>
      <c r="DI31" s="115">
        <v>100</v>
      </c>
      <c r="DJ31" s="114">
        <v>100</v>
      </c>
      <c r="DK31" s="115">
        <v>100</v>
      </c>
      <c r="DL31" s="115">
        <v>100</v>
      </c>
      <c r="DM31" s="114">
        <v>100</v>
      </c>
      <c r="DN31" s="115">
        <v>100</v>
      </c>
      <c r="DO31" s="115">
        <v>100</v>
      </c>
      <c r="DP31" s="114">
        <v>100</v>
      </c>
      <c r="DQ31" s="115">
        <v>100</v>
      </c>
      <c r="DR31" s="115">
        <v>100</v>
      </c>
      <c r="DS31" s="114">
        <v>100</v>
      </c>
      <c r="DT31" s="115">
        <v>100</v>
      </c>
      <c r="DU31" s="115">
        <v>100</v>
      </c>
      <c r="DV31" s="114">
        <v>100</v>
      </c>
      <c r="DW31" s="115">
        <v>100</v>
      </c>
      <c r="DX31" s="115">
        <v>100</v>
      </c>
      <c r="DY31" s="114">
        <v>100</v>
      </c>
      <c r="DZ31" s="115">
        <v>100</v>
      </c>
      <c r="EA31" s="115">
        <v>100</v>
      </c>
      <c r="EB31" s="114">
        <v>100</v>
      </c>
      <c r="EC31" s="115">
        <v>100</v>
      </c>
      <c r="ED31" s="115">
        <v>100</v>
      </c>
      <c r="EE31" s="114">
        <v>100</v>
      </c>
      <c r="EF31" s="115">
        <v>100</v>
      </c>
      <c r="EG31" s="115">
        <v>100</v>
      </c>
      <c r="EH31" s="114">
        <v>100</v>
      </c>
      <c r="EI31" s="115">
        <v>100</v>
      </c>
      <c r="EJ31" s="115">
        <v>100</v>
      </c>
      <c r="EK31" s="114">
        <v>100</v>
      </c>
      <c r="EL31" s="115">
        <v>100</v>
      </c>
      <c r="EM31" s="115">
        <v>100</v>
      </c>
      <c r="EN31" s="114">
        <v>100</v>
      </c>
      <c r="EO31" s="115">
        <v>100</v>
      </c>
      <c r="EP31" s="115">
        <v>100</v>
      </c>
      <c r="EQ31" s="114">
        <v>100</v>
      </c>
      <c r="ER31" s="115">
        <v>100</v>
      </c>
      <c r="ES31" s="115">
        <v>100</v>
      </c>
      <c r="ET31" s="114">
        <v>100</v>
      </c>
      <c r="EU31" s="115">
        <v>100</v>
      </c>
      <c r="EV31" s="115">
        <v>100</v>
      </c>
      <c r="EW31" s="114">
        <v>100</v>
      </c>
      <c r="EX31" s="115">
        <v>100</v>
      </c>
      <c r="EY31" s="115">
        <v>100</v>
      </c>
      <c r="EZ31" s="114">
        <v>100</v>
      </c>
      <c r="FA31" s="115">
        <v>100</v>
      </c>
      <c r="FB31" s="115">
        <v>100</v>
      </c>
      <c r="FC31" s="124">
        <v>100</v>
      </c>
      <c r="FD31" s="124">
        <v>100</v>
      </c>
      <c r="FE31" s="124">
        <v>100</v>
      </c>
      <c r="FF31" s="124">
        <v>100</v>
      </c>
      <c r="FG31" s="124">
        <v>100</v>
      </c>
      <c r="FH31" s="124">
        <v>100</v>
      </c>
      <c r="FI31" s="124">
        <v>100</v>
      </c>
      <c r="FJ31" s="124">
        <v>100</v>
      </c>
      <c r="FK31" s="124">
        <v>100</v>
      </c>
      <c r="FL31" s="124">
        <v>100</v>
      </c>
      <c r="FM31" s="124">
        <v>100</v>
      </c>
      <c r="FN31" s="124">
        <v>100</v>
      </c>
      <c r="FO31" s="6">
        <v>61</v>
      </c>
      <c r="FP31" s="14">
        <v>100</v>
      </c>
      <c r="FQ31" s="14">
        <v>100</v>
      </c>
      <c r="FR31" s="16">
        <v>59</v>
      </c>
      <c r="FS31" s="14">
        <v>100</v>
      </c>
      <c r="FT31" s="14">
        <v>100</v>
      </c>
      <c r="FU31" s="16">
        <v>56</v>
      </c>
      <c r="FV31" s="14">
        <v>100</v>
      </c>
      <c r="FW31" s="14">
        <v>100</v>
      </c>
      <c r="FX31" s="6">
        <v>55</v>
      </c>
      <c r="FY31" s="14">
        <v>100</v>
      </c>
      <c r="FZ31" s="14">
        <v>100</v>
      </c>
      <c r="GA31" s="16">
        <v>52</v>
      </c>
      <c r="GB31" s="14">
        <v>100</v>
      </c>
      <c r="GC31" s="14">
        <v>100</v>
      </c>
      <c r="GD31" s="16">
        <v>48</v>
      </c>
      <c r="GE31" s="14">
        <v>100</v>
      </c>
      <c r="GF31" s="14">
        <v>100</v>
      </c>
      <c r="GG31" s="16">
        <v>41</v>
      </c>
      <c r="GH31" s="14">
        <v>100</v>
      </c>
      <c r="GI31" s="14">
        <v>100</v>
      </c>
      <c r="GJ31" s="16">
        <v>39</v>
      </c>
      <c r="GK31" s="14">
        <v>100</v>
      </c>
      <c r="GL31" s="14">
        <v>100</v>
      </c>
      <c r="GM31" s="16">
        <v>35</v>
      </c>
      <c r="GN31" s="16">
        <v>89</v>
      </c>
      <c r="GO31" s="14">
        <v>100</v>
      </c>
      <c r="GP31" s="16">
        <v>40</v>
      </c>
      <c r="GQ31" s="16">
        <v>84</v>
      </c>
      <c r="GR31" s="14">
        <v>100</v>
      </c>
      <c r="GS31" s="16">
        <v>45</v>
      </c>
      <c r="GT31" s="16">
        <v>82</v>
      </c>
      <c r="GU31" s="14">
        <v>100</v>
      </c>
      <c r="GV31" s="16">
        <v>52</v>
      </c>
      <c r="GW31" s="16">
        <v>74</v>
      </c>
      <c r="GX31" s="16">
        <v>80</v>
      </c>
      <c r="GY31" s="16">
        <v>58</v>
      </c>
      <c r="GZ31" s="16">
        <v>71</v>
      </c>
      <c r="HA31" s="16">
        <v>73</v>
      </c>
      <c r="HB31" s="16">
        <v>65</v>
      </c>
      <c r="HC31" s="16">
        <v>63</v>
      </c>
      <c r="HD31" s="16">
        <v>70</v>
      </c>
      <c r="HE31" s="16">
        <v>59</v>
      </c>
      <c r="HF31" s="16">
        <v>60</v>
      </c>
      <c r="HG31" s="16">
        <v>65</v>
      </c>
      <c r="HH31" s="16">
        <v>52</v>
      </c>
      <c r="HI31" s="16">
        <v>58</v>
      </c>
      <c r="HJ31" s="16">
        <v>61</v>
      </c>
      <c r="HK31" s="16">
        <v>67</v>
      </c>
      <c r="HL31" s="16">
        <v>53</v>
      </c>
      <c r="HM31" s="16">
        <v>60</v>
      </c>
      <c r="HN31" s="16">
        <v>63</v>
      </c>
      <c r="HO31" s="16">
        <v>52</v>
      </c>
      <c r="HP31" s="16">
        <v>58</v>
      </c>
      <c r="HQ31" s="6">
        <v>68</v>
      </c>
      <c r="HR31" s="6">
        <v>56</v>
      </c>
      <c r="HS31" s="6">
        <v>61</v>
      </c>
      <c r="HT31" s="16">
        <v>62</v>
      </c>
      <c r="HU31" s="16">
        <v>54</v>
      </c>
      <c r="HV31" s="16">
        <v>58</v>
      </c>
      <c r="HW31" s="16">
        <v>67</v>
      </c>
      <c r="HX31" s="16">
        <v>56</v>
      </c>
      <c r="HY31" s="16">
        <v>55</v>
      </c>
      <c r="HZ31" s="125">
        <v>69</v>
      </c>
      <c r="IA31" s="16">
        <v>53</v>
      </c>
      <c r="IB31" s="16">
        <v>55</v>
      </c>
      <c r="IC31" s="6">
        <v>79</v>
      </c>
      <c r="ID31" s="6">
        <v>55</v>
      </c>
      <c r="IE31" s="6">
        <v>55</v>
      </c>
      <c r="IF31" s="14">
        <v>100</v>
      </c>
      <c r="IG31" s="14">
        <v>100</v>
      </c>
      <c r="IH31" s="14">
        <v>100</v>
      </c>
      <c r="II31" s="14">
        <v>100</v>
      </c>
      <c r="IJ31" s="14">
        <v>100</v>
      </c>
      <c r="IK31" s="14">
        <v>100</v>
      </c>
      <c r="IL31" s="14">
        <v>100</v>
      </c>
      <c r="IM31" s="14">
        <v>100</v>
      </c>
      <c r="IN31" s="14">
        <v>100</v>
      </c>
      <c r="IO31" s="14">
        <v>100</v>
      </c>
      <c r="IP31" s="14">
        <v>100</v>
      </c>
      <c r="IQ31" s="14">
        <v>100</v>
      </c>
      <c r="IR31" s="25">
        <v>100</v>
      </c>
      <c r="IS31" s="25">
        <v>100</v>
      </c>
      <c r="IT31" s="25">
        <v>100</v>
      </c>
      <c r="IU31" s="25">
        <v>100</v>
      </c>
      <c r="IV31" s="25">
        <v>100</v>
      </c>
      <c r="IW31" s="25">
        <v>100</v>
      </c>
      <c r="IX31" s="58">
        <f t="shared" si="0"/>
        <v>0</v>
      </c>
      <c r="IY31" s="110"/>
      <c r="IZ31" s="2"/>
      <c r="JA31" s="2"/>
      <c r="JB31" s="2"/>
      <c r="JC31" s="2"/>
    </row>
    <row r="32" spans="1:263" ht="13.5" customHeight="1">
      <c r="A32" s="55">
        <v>25</v>
      </c>
      <c r="B32" s="52" t="s">
        <v>116</v>
      </c>
      <c r="C32" s="6">
        <v>110</v>
      </c>
      <c r="D32" s="33">
        <v>70</v>
      </c>
      <c r="E32" s="131"/>
      <c r="F32" s="117"/>
      <c r="G32" s="53"/>
      <c r="H32" s="53"/>
      <c r="I32" s="53"/>
      <c r="J32" s="53"/>
      <c r="K32" s="53"/>
      <c r="L32" s="53"/>
      <c r="M32" s="53"/>
      <c r="N32" s="53"/>
      <c r="O32" s="122">
        <v>100</v>
      </c>
      <c r="P32" s="70">
        <v>100</v>
      </c>
      <c r="Q32" s="70">
        <v>100</v>
      </c>
      <c r="R32" s="122">
        <v>100</v>
      </c>
      <c r="S32" s="70">
        <v>100</v>
      </c>
      <c r="T32" s="70">
        <v>100</v>
      </c>
      <c r="U32" s="122">
        <v>100</v>
      </c>
      <c r="V32" s="70">
        <v>100</v>
      </c>
      <c r="W32" s="70">
        <v>100</v>
      </c>
      <c r="X32" s="122">
        <v>100</v>
      </c>
      <c r="Y32" s="70">
        <v>100</v>
      </c>
      <c r="Z32" s="70">
        <v>100</v>
      </c>
      <c r="AA32" s="122">
        <v>100</v>
      </c>
      <c r="AB32" s="70">
        <v>100</v>
      </c>
      <c r="AC32" s="70">
        <v>100</v>
      </c>
      <c r="AD32" s="122">
        <v>100</v>
      </c>
      <c r="AE32" s="70">
        <v>100</v>
      </c>
      <c r="AF32" s="70">
        <v>100</v>
      </c>
      <c r="AG32" s="122">
        <v>100</v>
      </c>
      <c r="AH32" s="70">
        <v>100</v>
      </c>
      <c r="AI32" s="70">
        <v>100</v>
      </c>
      <c r="AJ32" s="122">
        <v>100</v>
      </c>
      <c r="AK32" s="70">
        <v>100</v>
      </c>
      <c r="AL32" s="70">
        <v>100</v>
      </c>
      <c r="AM32" s="122">
        <v>100</v>
      </c>
      <c r="AN32" s="70">
        <v>100</v>
      </c>
      <c r="AO32" s="70">
        <v>100</v>
      </c>
      <c r="AP32" s="122">
        <v>100</v>
      </c>
      <c r="AQ32" s="70">
        <v>100</v>
      </c>
      <c r="AR32" s="70">
        <v>100</v>
      </c>
      <c r="AS32" s="122">
        <v>100</v>
      </c>
      <c r="AT32" s="70">
        <v>100</v>
      </c>
      <c r="AU32" s="70">
        <v>100</v>
      </c>
      <c r="AV32" s="122">
        <v>100</v>
      </c>
      <c r="AW32" s="70">
        <v>100</v>
      </c>
      <c r="AX32" s="70">
        <v>100</v>
      </c>
      <c r="AY32" s="122">
        <v>100</v>
      </c>
      <c r="AZ32" s="70">
        <v>100</v>
      </c>
      <c r="BA32" s="70">
        <v>100</v>
      </c>
      <c r="BB32" s="122">
        <v>100</v>
      </c>
      <c r="BC32" s="70">
        <v>100</v>
      </c>
      <c r="BD32" s="70">
        <v>100</v>
      </c>
      <c r="BE32" s="122">
        <v>100</v>
      </c>
      <c r="BF32" s="70">
        <v>100</v>
      </c>
      <c r="BG32" s="70">
        <v>100</v>
      </c>
      <c r="BH32" s="122">
        <v>100</v>
      </c>
      <c r="BI32" s="70">
        <v>100</v>
      </c>
      <c r="BJ32" s="70">
        <v>100</v>
      </c>
      <c r="BK32" s="122">
        <v>100</v>
      </c>
      <c r="BL32" s="70">
        <v>100</v>
      </c>
      <c r="BM32" s="70">
        <v>100</v>
      </c>
      <c r="BN32" s="122">
        <v>100</v>
      </c>
      <c r="BO32" s="70">
        <v>100</v>
      </c>
      <c r="BP32" s="70">
        <v>100</v>
      </c>
      <c r="BQ32" s="122">
        <v>100</v>
      </c>
      <c r="BR32" s="70">
        <v>100</v>
      </c>
      <c r="BS32" s="70">
        <v>100</v>
      </c>
      <c r="BT32" s="122">
        <v>100</v>
      </c>
      <c r="BU32" s="70">
        <v>100</v>
      </c>
      <c r="BV32" s="70">
        <v>100</v>
      </c>
      <c r="BW32" s="122">
        <v>100</v>
      </c>
      <c r="BX32" s="70">
        <v>100</v>
      </c>
      <c r="BY32" s="70">
        <v>100</v>
      </c>
      <c r="BZ32" s="122">
        <v>100</v>
      </c>
      <c r="CA32" s="70">
        <v>100</v>
      </c>
      <c r="CB32" s="70">
        <v>100</v>
      </c>
      <c r="CC32" s="122">
        <v>100</v>
      </c>
      <c r="CD32" s="70">
        <v>100</v>
      </c>
      <c r="CE32" s="70">
        <v>100</v>
      </c>
      <c r="CF32" s="122">
        <v>100</v>
      </c>
      <c r="CG32" s="70">
        <v>100</v>
      </c>
      <c r="CH32" s="70">
        <v>100</v>
      </c>
      <c r="CI32" s="122">
        <v>100</v>
      </c>
      <c r="CJ32" s="70">
        <v>100</v>
      </c>
      <c r="CK32" s="70">
        <v>100</v>
      </c>
      <c r="CL32" s="122">
        <v>100</v>
      </c>
      <c r="CM32" s="70">
        <v>100</v>
      </c>
      <c r="CN32" s="70">
        <v>100</v>
      </c>
      <c r="CO32" s="122">
        <v>100</v>
      </c>
      <c r="CP32" s="70">
        <v>100</v>
      </c>
      <c r="CQ32" s="70">
        <v>100</v>
      </c>
      <c r="CR32" s="122">
        <v>100</v>
      </c>
      <c r="CS32" s="70">
        <v>100</v>
      </c>
      <c r="CT32" s="70">
        <v>100</v>
      </c>
      <c r="CU32" s="122">
        <v>100</v>
      </c>
      <c r="CV32" s="70">
        <v>100</v>
      </c>
      <c r="CW32" s="70">
        <v>100</v>
      </c>
      <c r="CX32" s="114">
        <v>100</v>
      </c>
      <c r="CY32" s="115">
        <v>100</v>
      </c>
      <c r="CZ32" s="115">
        <v>100</v>
      </c>
      <c r="DA32" s="114">
        <v>100</v>
      </c>
      <c r="DB32" s="115">
        <v>100</v>
      </c>
      <c r="DC32" s="115">
        <v>100</v>
      </c>
      <c r="DD32" s="114">
        <v>100</v>
      </c>
      <c r="DE32" s="115">
        <v>100</v>
      </c>
      <c r="DF32" s="115">
        <v>100</v>
      </c>
      <c r="DG32" s="114">
        <v>100</v>
      </c>
      <c r="DH32" s="115">
        <v>100</v>
      </c>
      <c r="DI32" s="115">
        <v>100</v>
      </c>
      <c r="DJ32" s="114">
        <v>100</v>
      </c>
      <c r="DK32" s="115">
        <v>100</v>
      </c>
      <c r="DL32" s="115">
        <v>100</v>
      </c>
      <c r="DM32" s="114">
        <v>100</v>
      </c>
      <c r="DN32" s="115">
        <v>100</v>
      </c>
      <c r="DO32" s="115">
        <v>100</v>
      </c>
      <c r="DP32" s="114">
        <v>100</v>
      </c>
      <c r="DQ32" s="115">
        <v>100</v>
      </c>
      <c r="DR32" s="115">
        <v>100</v>
      </c>
      <c r="DS32" s="114">
        <v>100</v>
      </c>
      <c r="DT32" s="115">
        <v>100</v>
      </c>
      <c r="DU32" s="115">
        <v>100</v>
      </c>
      <c r="DV32" s="114">
        <v>100</v>
      </c>
      <c r="DW32" s="115">
        <v>100</v>
      </c>
      <c r="DX32" s="115">
        <v>100</v>
      </c>
      <c r="DY32" s="114">
        <v>100</v>
      </c>
      <c r="DZ32" s="115">
        <v>100</v>
      </c>
      <c r="EA32" s="115">
        <v>100</v>
      </c>
      <c r="EB32" s="114">
        <v>100</v>
      </c>
      <c r="EC32" s="115">
        <v>100</v>
      </c>
      <c r="ED32" s="115">
        <v>100</v>
      </c>
      <c r="EE32" s="114">
        <v>100</v>
      </c>
      <c r="EF32" s="115">
        <v>100</v>
      </c>
      <c r="EG32" s="115">
        <v>100</v>
      </c>
      <c r="EH32" s="114">
        <v>100</v>
      </c>
      <c r="EI32" s="115">
        <v>100</v>
      </c>
      <c r="EJ32" s="115">
        <v>100</v>
      </c>
      <c r="EK32" s="114">
        <v>100</v>
      </c>
      <c r="EL32" s="115">
        <v>100</v>
      </c>
      <c r="EM32" s="115">
        <v>100</v>
      </c>
      <c r="EN32" s="114">
        <v>100</v>
      </c>
      <c r="EO32" s="115">
        <v>100</v>
      </c>
      <c r="EP32" s="115">
        <v>100</v>
      </c>
      <c r="EQ32" s="114">
        <v>100</v>
      </c>
      <c r="ER32" s="115">
        <v>100</v>
      </c>
      <c r="ES32" s="115">
        <v>100</v>
      </c>
      <c r="ET32" s="114">
        <v>100</v>
      </c>
      <c r="EU32" s="115">
        <v>100</v>
      </c>
      <c r="EV32" s="115">
        <v>100</v>
      </c>
      <c r="EW32" s="114">
        <v>100</v>
      </c>
      <c r="EX32" s="115">
        <v>100</v>
      </c>
      <c r="EY32" s="115">
        <v>100</v>
      </c>
      <c r="EZ32" s="114">
        <v>100</v>
      </c>
      <c r="FA32" s="115">
        <v>100</v>
      </c>
      <c r="FB32" s="115">
        <v>100</v>
      </c>
      <c r="FC32" s="124">
        <v>100</v>
      </c>
      <c r="FD32" s="124">
        <v>100</v>
      </c>
      <c r="FE32" s="124">
        <v>100</v>
      </c>
      <c r="FF32" s="124">
        <v>100</v>
      </c>
      <c r="FG32" s="124">
        <v>100</v>
      </c>
      <c r="FH32" s="124">
        <v>100</v>
      </c>
      <c r="FI32" s="124">
        <v>100</v>
      </c>
      <c r="FJ32" s="124">
        <v>100</v>
      </c>
      <c r="FK32" s="124">
        <v>100</v>
      </c>
      <c r="FL32" s="124">
        <v>100</v>
      </c>
      <c r="FM32" s="124">
        <v>100</v>
      </c>
      <c r="FN32" s="124">
        <v>100</v>
      </c>
      <c r="FO32" s="14">
        <v>100</v>
      </c>
      <c r="FP32" s="14">
        <v>100</v>
      </c>
      <c r="FQ32" s="14">
        <v>100</v>
      </c>
      <c r="FR32" s="14">
        <v>100</v>
      </c>
      <c r="FS32" s="14">
        <v>100</v>
      </c>
      <c r="FT32" s="14">
        <v>100</v>
      </c>
      <c r="FU32" s="14">
        <v>100</v>
      </c>
      <c r="FV32" s="14">
        <v>100</v>
      </c>
      <c r="FW32" s="14">
        <v>100</v>
      </c>
      <c r="FX32" s="14">
        <v>100</v>
      </c>
      <c r="FY32" s="14">
        <v>100</v>
      </c>
      <c r="FZ32" s="14">
        <v>100</v>
      </c>
      <c r="GA32" s="14">
        <v>100</v>
      </c>
      <c r="GB32" s="14">
        <v>100</v>
      </c>
      <c r="GC32" s="14">
        <v>100</v>
      </c>
      <c r="GD32" s="14">
        <v>100</v>
      </c>
      <c r="GE32" s="14">
        <v>100</v>
      </c>
      <c r="GF32" s="14">
        <v>100</v>
      </c>
      <c r="GG32" s="14">
        <v>100</v>
      </c>
      <c r="GH32" s="14">
        <v>100</v>
      </c>
      <c r="GI32" s="14">
        <v>100</v>
      </c>
      <c r="GJ32" s="14">
        <v>100</v>
      </c>
      <c r="GK32" s="14">
        <v>100</v>
      </c>
      <c r="GL32" s="14">
        <v>100</v>
      </c>
      <c r="GM32" s="14">
        <v>100</v>
      </c>
      <c r="GN32" s="14">
        <v>100</v>
      </c>
      <c r="GO32" s="14">
        <v>100</v>
      </c>
      <c r="GP32" s="14">
        <v>100</v>
      </c>
      <c r="GQ32" s="14">
        <v>100</v>
      </c>
      <c r="GR32" s="14">
        <v>100</v>
      </c>
      <c r="GS32" s="14">
        <v>100</v>
      </c>
      <c r="GT32" s="14">
        <v>100</v>
      </c>
      <c r="GU32" s="14">
        <v>100</v>
      </c>
      <c r="GV32" s="14">
        <v>100</v>
      </c>
      <c r="GW32" s="14">
        <v>100</v>
      </c>
      <c r="GX32" s="14">
        <v>100</v>
      </c>
      <c r="GY32" s="14">
        <v>100</v>
      </c>
      <c r="GZ32" s="14">
        <v>100</v>
      </c>
      <c r="HA32" s="14">
        <v>100</v>
      </c>
      <c r="HB32" s="14">
        <v>100</v>
      </c>
      <c r="HC32" s="14">
        <v>100</v>
      </c>
      <c r="HD32" s="14">
        <v>100</v>
      </c>
      <c r="HE32" s="14">
        <v>100</v>
      </c>
      <c r="HF32" s="14">
        <v>100</v>
      </c>
      <c r="HG32" s="14">
        <v>100</v>
      </c>
      <c r="HH32" s="14">
        <v>100</v>
      </c>
      <c r="HI32" s="14">
        <v>100</v>
      </c>
      <c r="HJ32" s="14">
        <v>100</v>
      </c>
      <c r="HK32" s="14">
        <v>100</v>
      </c>
      <c r="HL32" s="14">
        <v>100</v>
      </c>
      <c r="HM32" s="14">
        <v>100</v>
      </c>
      <c r="HN32" s="14">
        <v>100</v>
      </c>
      <c r="HO32" s="14">
        <v>100</v>
      </c>
      <c r="HP32" s="14">
        <v>100</v>
      </c>
      <c r="HQ32" s="34">
        <v>100</v>
      </c>
      <c r="HR32" s="34">
        <v>100</v>
      </c>
      <c r="HS32" s="34">
        <v>100</v>
      </c>
      <c r="HT32" s="14">
        <v>100</v>
      </c>
      <c r="HU32" s="14">
        <v>100</v>
      </c>
      <c r="HV32" s="14">
        <v>100</v>
      </c>
      <c r="HW32" s="14">
        <v>100</v>
      </c>
      <c r="HX32" s="14">
        <v>100</v>
      </c>
      <c r="HY32" s="14">
        <v>100</v>
      </c>
      <c r="HZ32" s="14">
        <v>100</v>
      </c>
      <c r="IA32" s="14">
        <v>100</v>
      </c>
      <c r="IB32" s="14">
        <v>100</v>
      </c>
      <c r="IC32" s="34">
        <v>100</v>
      </c>
      <c r="ID32" s="34">
        <v>100</v>
      </c>
      <c r="IE32" s="34">
        <v>100</v>
      </c>
      <c r="IF32" s="14">
        <v>100</v>
      </c>
      <c r="IG32" s="14">
        <v>100</v>
      </c>
      <c r="IH32" s="14">
        <v>100</v>
      </c>
      <c r="II32" s="14">
        <v>100</v>
      </c>
      <c r="IJ32" s="14">
        <v>100</v>
      </c>
      <c r="IK32" s="14">
        <v>100</v>
      </c>
      <c r="IL32" s="14">
        <v>100</v>
      </c>
      <c r="IM32" s="14">
        <v>100</v>
      </c>
      <c r="IN32" s="14">
        <v>100</v>
      </c>
      <c r="IO32" s="14">
        <v>100</v>
      </c>
      <c r="IP32" s="14">
        <v>100</v>
      </c>
      <c r="IQ32" s="14">
        <v>100</v>
      </c>
      <c r="IR32" s="25">
        <v>100</v>
      </c>
      <c r="IS32" s="25">
        <v>100</v>
      </c>
      <c r="IT32" s="25">
        <v>100</v>
      </c>
      <c r="IU32" s="25">
        <v>100</v>
      </c>
      <c r="IV32" s="25">
        <v>100</v>
      </c>
      <c r="IW32" s="25">
        <v>100</v>
      </c>
      <c r="IX32" s="58">
        <f t="shared" si="0"/>
        <v>0</v>
      </c>
      <c r="IY32" s="110"/>
      <c r="IZ32" s="2"/>
      <c r="JA32" s="2"/>
      <c r="JB32" s="2"/>
      <c r="JC32" s="2"/>
    </row>
    <row r="33" spans="1:263" ht="13.5" customHeight="1">
      <c r="A33" s="55">
        <v>26</v>
      </c>
      <c r="B33" s="52" t="s">
        <v>117</v>
      </c>
      <c r="C33" s="6">
        <v>210</v>
      </c>
      <c r="D33" s="6">
        <v>320</v>
      </c>
      <c r="E33" s="24">
        <v>140</v>
      </c>
      <c r="F33" s="117"/>
      <c r="G33" s="53"/>
      <c r="H33" s="53"/>
      <c r="I33" s="53"/>
      <c r="J33" s="53"/>
      <c r="K33" s="53"/>
      <c r="L33" s="53"/>
      <c r="M33" s="53"/>
      <c r="N33" s="53"/>
      <c r="O33" s="122">
        <v>100</v>
      </c>
      <c r="P33" s="70">
        <v>100</v>
      </c>
      <c r="Q33" s="70">
        <v>100</v>
      </c>
      <c r="R33" s="122">
        <v>100</v>
      </c>
      <c r="S33" s="70">
        <v>100</v>
      </c>
      <c r="T33" s="70">
        <v>100</v>
      </c>
      <c r="U33" s="122">
        <v>100</v>
      </c>
      <c r="V33" s="70">
        <v>100</v>
      </c>
      <c r="W33" s="70">
        <v>100</v>
      </c>
      <c r="X33" s="122">
        <v>100</v>
      </c>
      <c r="Y33" s="70">
        <v>100</v>
      </c>
      <c r="Z33" s="70">
        <v>100</v>
      </c>
      <c r="AA33" s="122">
        <v>100</v>
      </c>
      <c r="AB33" s="70">
        <v>100</v>
      </c>
      <c r="AC33" s="70">
        <v>100</v>
      </c>
      <c r="AD33" s="122">
        <v>100</v>
      </c>
      <c r="AE33" s="70">
        <v>100</v>
      </c>
      <c r="AF33" s="70">
        <v>100</v>
      </c>
      <c r="AG33" s="122">
        <v>100</v>
      </c>
      <c r="AH33" s="70">
        <v>100</v>
      </c>
      <c r="AI33" s="70">
        <v>100</v>
      </c>
      <c r="AJ33" s="122">
        <v>100</v>
      </c>
      <c r="AK33" s="70">
        <v>100</v>
      </c>
      <c r="AL33" s="70">
        <v>100</v>
      </c>
      <c r="AM33" s="122">
        <v>100</v>
      </c>
      <c r="AN33" s="70">
        <v>100</v>
      </c>
      <c r="AO33" s="70">
        <v>100</v>
      </c>
      <c r="AP33" s="122">
        <v>100</v>
      </c>
      <c r="AQ33" s="70">
        <v>100</v>
      </c>
      <c r="AR33" s="70">
        <v>100</v>
      </c>
      <c r="AS33" s="122">
        <v>100</v>
      </c>
      <c r="AT33" s="70">
        <v>100</v>
      </c>
      <c r="AU33" s="70">
        <v>100</v>
      </c>
      <c r="AV33" s="122">
        <v>100</v>
      </c>
      <c r="AW33" s="70">
        <v>100</v>
      </c>
      <c r="AX33" s="70">
        <v>100</v>
      </c>
      <c r="AY33" s="122">
        <v>100</v>
      </c>
      <c r="AZ33" s="70">
        <v>100</v>
      </c>
      <c r="BA33" s="70">
        <v>100</v>
      </c>
      <c r="BB33" s="122">
        <v>100</v>
      </c>
      <c r="BC33" s="70">
        <v>100</v>
      </c>
      <c r="BD33" s="70">
        <v>100</v>
      </c>
      <c r="BE33" s="122">
        <v>100</v>
      </c>
      <c r="BF33" s="70">
        <v>100</v>
      </c>
      <c r="BG33" s="70">
        <v>100</v>
      </c>
      <c r="BH33" s="122">
        <v>100</v>
      </c>
      <c r="BI33" s="70">
        <v>100</v>
      </c>
      <c r="BJ33" s="70">
        <v>100</v>
      </c>
      <c r="BK33" s="122">
        <v>100</v>
      </c>
      <c r="BL33" s="70">
        <v>100</v>
      </c>
      <c r="BM33" s="70">
        <v>100</v>
      </c>
      <c r="BN33" s="122">
        <v>100</v>
      </c>
      <c r="BO33" s="70">
        <v>100</v>
      </c>
      <c r="BP33" s="70">
        <v>100</v>
      </c>
      <c r="BQ33" s="122">
        <v>100</v>
      </c>
      <c r="BR33" s="70">
        <v>100</v>
      </c>
      <c r="BS33" s="70">
        <v>100</v>
      </c>
      <c r="BT33" s="122">
        <v>100</v>
      </c>
      <c r="BU33" s="70">
        <v>100</v>
      </c>
      <c r="BV33" s="70">
        <v>100</v>
      </c>
      <c r="BW33" s="122">
        <v>100</v>
      </c>
      <c r="BX33" s="70">
        <v>100</v>
      </c>
      <c r="BY33" s="70">
        <v>100</v>
      </c>
      <c r="BZ33" s="122">
        <v>100</v>
      </c>
      <c r="CA33" s="70">
        <v>100</v>
      </c>
      <c r="CB33" s="70">
        <v>100</v>
      </c>
      <c r="CC33" s="53">
        <v>88</v>
      </c>
      <c r="CD33" s="70">
        <v>100</v>
      </c>
      <c r="CE33" s="70">
        <v>100</v>
      </c>
      <c r="CF33" s="53">
        <v>77</v>
      </c>
      <c r="CG33" s="70">
        <v>100</v>
      </c>
      <c r="CH33" s="54">
        <v>68</v>
      </c>
      <c r="CI33" s="53">
        <v>61</v>
      </c>
      <c r="CJ33" s="54">
        <v>87</v>
      </c>
      <c r="CK33" s="54">
        <v>64</v>
      </c>
      <c r="CL33" s="53">
        <v>68</v>
      </c>
      <c r="CM33" s="54">
        <v>83</v>
      </c>
      <c r="CN33" s="54">
        <v>61</v>
      </c>
      <c r="CO33" s="53">
        <v>55</v>
      </c>
      <c r="CP33" s="54">
        <v>82</v>
      </c>
      <c r="CQ33" s="54">
        <v>56</v>
      </c>
      <c r="CR33" s="53">
        <v>53</v>
      </c>
      <c r="CS33" s="54">
        <v>77</v>
      </c>
      <c r="CT33" s="54">
        <v>54</v>
      </c>
      <c r="CU33" s="53">
        <v>48</v>
      </c>
      <c r="CV33" s="54">
        <v>67</v>
      </c>
      <c r="CW33" s="54">
        <v>51</v>
      </c>
      <c r="CX33" s="53">
        <v>44</v>
      </c>
      <c r="CY33" s="54">
        <v>62</v>
      </c>
      <c r="CZ33" s="54">
        <v>59</v>
      </c>
      <c r="DA33" s="53">
        <v>42</v>
      </c>
      <c r="DB33" s="54">
        <v>56</v>
      </c>
      <c r="DC33" s="54">
        <v>53</v>
      </c>
      <c r="DD33" s="53">
        <v>42</v>
      </c>
      <c r="DE33" s="54">
        <v>56</v>
      </c>
      <c r="DF33" s="54">
        <v>53</v>
      </c>
      <c r="DG33" s="53">
        <v>40</v>
      </c>
      <c r="DH33" s="54">
        <v>53</v>
      </c>
      <c r="DI33" s="54">
        <v>64</v>
      </c>
      <c r="DJ33" s="53">
        <v>38</v>
      </c>
      <c r="DK33" s="54">
        <v>51</v>
      </c>
      <c r="DL33" s="54">
        <v>62</v>
      </c>
      <c r="DM33" s="53">
        <v>33</v>
      </c>
      <c r="DN33" s="54">
        <v>50</v>
      </c>
      <c r="DO33" s="54">
        <v>59</v>
      </c>
      <c r="DP33" s="53">
        <v>39</v>
      </c>
      <c r="DQ33" s="54">
        <v>47</v>
      </c>
      <c r="DR33" s="54">
        <v>55</v>
      </c>
      <c r="DS33" s="53">
        <v>32</v>
      </c>
      <c r="DT33" s="54">
        <v>45</v>
      </c>
      <c r="DU33" s="54">
        <v>51</v>
      </c>
      <c r="DV33" s="53">
        <v>30</v>
      </c>
      <c r="DW33" s="54">
        <v>42</v>
      </c>
      <c r="DX33" s="54">
        <v>46</v>
      </c>
      <c r="DY33" s="53">
        <v>37</v>
      </c>
      <c r="DZ33" s="54">
        <v>39</v>
      </c>
      <c r="EA33" s="54">
        <v>42</v>
      </c>
      <c r="EB33" s="53">
        <v>39</v>
      </c>
      <c r="EC33" s="54">
        <v>36</v>
      </c>
      <c r="ED33" s="54">
        <v>41</v>
      </c>
      <c r="EE33" s="53">
        <v>43</v>
      </c>
      <c r="EF33" s="54">
        <v>58</v>
      </c>
      <c r="EG33" s="54">
        <v>46</v>
      </c>
      <c r="EH33" s="53">
        <v>56</v>
      </c>
      <c r="EI33" s="54">
        <v>53</v>
      </c>
      <c r="EJ33" s="54">
        <v>43</v>
      </c>
      <c r="EK33" s="53">
        <v>55</v>
      </c>
      <c r="EL33" s="54">
        <v>48</v>
      </c>
      <c r="EM33" s="54">
        <v>46</v>
      </c>
      <c r="EN33" s="53">
        <v>53</v>
      </c>
      <c r="EO33" s="54">
        <v>42</v>
      </c>
      <c r="EP33" s="54">
        <v>41</v>
      </c>
      <c r="EQ33" s="53">
        <v>50</v>
      </c>
      <c r="ER33" s="54">
        <v>43</v>
      </c>
      <c r="ES33" s="54">
        <v>35</v>
      </c>
      <c r="ET33" s="53">
        <v>46</v>
      </c>
      <c r="EU33" s="54">
        <v>42</v>
      </c>
      <c r="EV33" s="54">
        <v>28</v>
      </c>
      <c r="EW33" s="53">
        <v>42</v>
      </c>
      <c r="EX33" s="54">
        <v>34</v>
      </c>
      <c r="EY33" s="54">
        <v>22</v>
      </c>
      <c r="EZ33" s="53">
        <v>43</v>
      </c>
      <c r="FA33" s="54">
        <v>32</v>
      </c>
      <c r="FB33" s="54">
        <v>19</v>
      </c>
      <c r="FC33" s="54">
        <v>42</v>
      </c>
      <c r="FD33" s="54">
        <v>38</v>
      </c>
      <c r="FE33" s="54">
        <v>17</v>
      </c>
      <c r="FF33" s="128">
        <v>56</v>
      </c>
      <c r="FG33" s="128">
        <v>13</v>
      </c>
      <c r="FH33" s="128">
        <v>52</v>
      </c>
      <c r="FI33" s="54">
        <v>85</v>
      </c>
      <c r="FJ33" s="54">
        <v>12</v>
      </c>
      <c r="FK33" s="54">
        <v>43</v>
      </c>
      <c r="FL33" s="128">
        <v>82</v>
      </c>
      <c r="FM33" s="128">
        <v>16</v>
      </c>
      <c r="FN33" s="128">
        <v>38</v>
      </c>
      <c r="FO33" s="6">
        <v>76</v>
      </c>
      <c r="FP33" s="6">
        <v>19</v>
      </c>
      <c r="FQ33" s="6">
        <v>32</v>
      </c>
      <c r="FR33" s="16">
        <v>77</v>
      </c>
      <c r="FS33" s="16">
        <v>15</v>
      </c>
      <c r="FT33" s="16">
        <v>33</v>
      </c>
      <c r="FU33" s="6">
        <v>78</v>
      </c>
      <c r="FV33" s="6">
        <v>12</v>
      </c>
      <c r="FW33" s="6">
        <v>28</v>
      </c>
      <c r="FX33" s="6">
        <v>73</v>
      </c>
      <c r="FY33" s="6">
        <v>13</v>
      </c>
      <c r="FZ33" s="6">
        <v>25</v>
      </c>
      <c r="GA33" s="16">
        <v>78</v>
      </c>
      <c r="GB33" s="16">
        <v>15</v>
      </c>
      <c r="GC33" s="16">
        <v>22</v>
      </c>
      <c r="GD33" s="16">
        <v>72</v>
      </c>
      <c r="GE33" s="16">
        <v>13</v>
      </c>
      <c r="GF33" s="16">
        <v>21</v>
      </c>
      <c r="GG33" s="16">
        <v>69</v>
      </c>
      <c r="GH33" s="16">
        <v>15</v>
      </c>
      <c r="GI33" s="16">
        <v>24</v>
      </c>
      <c r="GJ33" s="16">
        <v>62</v>
      </c>
      <c r="GK33" s="16">
        <v>13</v>
      </c>
      <c r="GL33" s="16">
        <v>20</v>
      </c>
      <c r="GM33" s="16">
        <v>60</v>
      </c>
      <c r="GN33" s="16">
        <v>18</v>
      </c>
      <c r="GO33" s="16">
        <v>16</v>
      </c>
      <c r="GP33" s="16">
        <v>67</v>
      </c>
      <c r="GQ33" s="16">
        <v>14</v>
      </c>
      <c r="GR33" s="16">
        <v>13</v>
      </c>
      <c r="GS33" s="16">
        <v>59</v>
      </c>
      <c r="GT33" s="16">
        <v>12</v>
      </c>
      <c r="GU33" s="16">
        <v>10</v>
      </c>
      <c r="GV33" s="16">
        <v>65</v>
      </c>
      <c r="GW33" s="16">
        <v>17</v>
      </c>
      <c r="GX33" s="16">
        <v>9</v>
      </c>
      <c r="GY33" s="16">
        <v>63</v>
      </c>
      <c r="GZ33" s="16">
        <v>15</v>
      </c>
      <c r="HA33" s="16">
        <v>10</v>
      </c>
      <c r="HB33" s="16">
        <v>58</v>
      </c>
      <c r="HC33" s="16">
        <v>12</v>
      </c>
      <c r="HD33" s="16">
        <v>6</v>
      </c>
      <c r="HE33" s="16">
        <v>53</v>
      </c>
      <c r="HF33" s="16">
        <v>15</v>
      </c>
      <c r="HG33" s="16">
        <v>10</v>
      </c>
      <c r="HH33" s="16">
        <v>52</v>
      </c>
      <c r="HI33" s="16">
        <v>12</v>
      </c>
      <c r="HJ33" s="16">
        <v>8</v>
      </c>
      <c r="HK33" s="16">
        <v>49</v>
      </c>
      <c r="HL33" s="16">
        <v>18</v>
      </c>
      <c r="HM33" s="16">
        <v>10</v>
      </c>
      <c r="HN33" s="16">
        <v>56</v>
      </c>
      <c r="HO33" s="16">
        <v>21</v>
      </c>
      <c r="HP33" s="16">
        <v>9</v>
      </c>
      <c r="HQ33" s="6">
        <v>51</v>
      </c>
      <c r="HR33" s="6">
        <v>22</v>
      </c>
      <c r="HS33" s="6">
        <v>5</v>
      </c>
      <c r="HT33" s="16">
        <v>49</v>
      </c>
      <c r="HU33" s="16">
        <v>21</v>
      </c>
      <c r="HV33" s="16">
        <v>6</v>
      </c>
      <c r="HW33" s="16">
        <v>58</v>
      </c>
      <c r="HX33" s="16">
        <v>22</v>
      </c>
      <c r="HY33" s="16">
        <v>9</v>
      </c>
      <c r="HZ33" s="16">
        <v>62</v>
      </c>
      <c r="IA33" s="16">
        <v>25</v>
      </c>
      <c r="IB33" s="16">
        <v>9</v>
      </c>
      <c r="IC33" s="34">
        <v>100</v>
      </c>
      <c r="ID33" s="6">
        <v>26</v>
      </c>
      <c r="IE33" s="6">
        <v>9</v>
      </c>
      <c r="IF33" s="14">
        <v>100</v>
      </c>
      <c r="IG33" s="14">
        <v>100</v>
      </c>
      <c r="IH33" s="14">
        <v>100</v>
      </c>
      <c r="II33" s="14">
        <v>100</v>
      </c>
      <c r="IJ33" s="14">
        <v>100</v>
      </c>
      <c r="IK33" s="14">
        <v>100</v>
      </c>
      <c r="IL33" s="14">
        <v>100</v>
      </c>
      <c r="IM33" s="14">
        <v>100</v>
      </c>
      <c r="IN33" s="14">
        <v>100</v>
      </c>
      <c r="IO33" s="14">
        <v>100</v>
      </c>
      <c r="IP33" s="14">
        <v>100</v>
      </c>
      <c r="IQ33" s="14">
        <v>100</v>
      </c>
      <c r="IR33" s="25">
        <v>100</v>
      </c>
      <c r="IS33" s="25">
        <v>100</v>
      </c>
      <c r="IT33" s="25">
        <v>100</v>
      </c>
      <c r="IU33" s="25">
        <v>100</v>
      </c>
      <c r="IV33" s="25">
        <v>100</v>
      </c>
      <c r="IW33" s="25">
        <v>100</v>
      </c>
      <c r="IX33" s="58">
        <f t="shared" si="0"/>
        <v>0</v>
      </c>
      <c r="IY33" s="110"/>
      <c r="IZ33" s="2"/>
      <c r="JA33" s="2"/>
      <c r="JB33" s="2"/>
      <c r="JC33" s="2"/>
    </row>
    <row r="34" spans="1:263" ht="13.5" customHeight="1">
      <c r="A34" s="55">
        <v>27</v>
      </c>
      <c r="B34" s="52" t="s">
        <v>118</v>
      </c>
      <c r="C34" s="6">
        <v>480</v>
      </c>
      <c r="D34" s="33">
        <v>210</v>
      </c>
      <c r="E34" s="131">
        <v>480</v>
      </c>
      <c r="F34" s="112"/>
      <c r="G34" s="54"/>
      <c r="H34" s="54"/>
      <c r="I34" s="53"/>
      <c r="J34" s="53"/>
      <c r="K34" s="53"/>
      <c r="L34" s="53"/>
      <c r="M34" s="53"/>
      <c r="N34" s="53"/>
      <c r="O34" s="122">
        <v>100</v>
      </c>
      <c r="P34" s="70">
        <v>100</v>
      </c>
      <c r="Q34" s="70">
        <v>100</v>
      </c>
      <c r="R34" s="122">
        <v>100</v>
      </c>
      <c r="S34" s="70">
        <v>100</v>
      </c>
      <c r="T34" s="70">
        <v>100</v>
      </c>
      <c r="U34" s="122">
        <v>100</v>
      </c>
      <c r="V34" s="70">
        <v>100</v>
      </c>
      <c r="W34" s="70">
        <v>100</v>
      </c>
      <c r="X34" s="122">
        <v>100</v>
      </c>
      <c r="Y34" s="70"/>
      <c r="Z34" s="70"/>
      <c r="AA34" s="122">
        <v>100</v>
      </c>
      <c r="AB34" s="70"/>
      <c r="AC34" s="70"/>
      <c r="AD34" s="122">
        <v>100</v>
      </c>
      <c r="AE34" s="70"/>
      <c r="AF34" s="70"/>
      <c r="AG34" s="122">
        <v>100</v>
      </c>
      <c r="AH34" s="70"/>
      <c r="AI34" s="70"/>
      <c r="AJ34" s="122">
        <v>100</v>
      </c>
      <c r="AK34" s="70"/>
      <c r="AL34" s="70"/>
      <c r="AM34" s="122">
        <v>100</v>
      </c>
      <c r="AN34" s="70"/>
      <c r="AO34" s="70"/>
      <c r="AP34" s="122">
        <v>100</v>
      </c>
      <c r="AQ34" s="70"/>
      <c r="AR34" s="70"/>
      <c r="AS34" s="122">
        <v>100</v>
      </c>
      <c r="AT34" s="70"/>
      <c r="AU34" s="70"/>
      <c r="AV34" s="122">
        <v>100</v>
      </c>
      <c r="AW34" s="70"/>
      <c r="AX34" s="70"/>
      <c r="AY34" s="122">
        <v>100</v>
      </c>
      <c r="AZ34" s="70"/>
      <c r="BA34" s="70"/>
      <c r="BB34" s="122">
        <v>100</v>
      </c>
      <c r="BC34" s="70"/>
      <c r="BD34" s="70"/>
      <c r="BE34" s="122">
        <v>100</v>
      </c>
      <c r="BF34" s="70"/>
      <c r="BG34" s="70"/>
      <c r="BH34" s="122">
        <v>100</v>
      </c>
      <c r="BI34" s="70"/>
      <c r="BJ34" s="70"/>
      <c r="BK34" s="122">
        <v>100</v>
      </c>
      <c r="BL34" s="70"/>
      <c r="BM34" s="70"/>
      <c r="BN34" s="122">
        <v>100</v>
      </c>
      <c r="BO34" s="70"/>
      <c r="BP34" s="70"/>
      <c r="BQ34" s="122">
        <v>100</v>
      </c>
      <c r="BR34" s="70"/>
      <c r="BS34" s="70"/>
      <c r="BT34" s="122">
        <v>100</v>
      </c>
      <c r="BU34" s="70"/>
      <c r="BV34" s="70"/>
      <c r="BW34" s="122">
        <v>100</v>
      </c>
      <c r="BX34" s="70"/>
      <c r="BY34" s="70"/>
      <c r="BZ34" s="122">
        <v>100</v>
      </c>
      <c r="CA34" s="70"/>
      <c r="CB34" s="70"/>
      <c r="CC34" s="122">
        <v>100</v>
      </c>
      <c r="CD34" s="70"/>
      <c r="CE34" s="70"/>
      <c r="CF34" s="122">
        <v>100</v>
      </c>
      <c r="CG34" s="70"/>
      <c r="CH34" s="70"/>
      <c r="CI34" s="122">
        <v>100</v>
      </c>
      <c r="CJ34" s="70"/>
      <c r="CK34" s="70"/>
      <c r="CL34" s="122">
        <v>100</v>
      </c>
      <c r="CM34" s="70"/>
      <c r="CN34" s="70"/>
      <c r="CO34" s="122">
        <v>100</v>
      </c>
      <c r="CP34" s="70"/>
      <c r="CQ34" s="70"/>
      <c r="CR34" s="122">
        <v>100</v>
      </c>
      <c r="CS34" s="70"/>
      <c r="CT34" s="70"/>
      <c r="CU34" s="122">
        <v>100</v>
      </c>
      <c r="CV34" s="70"/>
      <c r="CW34" s="70"/>
      <c r="CX34" s="114">
        <v>100</v>
      </c>
      <c r="CY34" s="115"/>
      <c r="CZ34" s="115"/>
      <c r="DA34" s="114">
        <v>100</v>
      </c>
      <c r="DB34" s="115"/>
      <c r="DC34" s="115"/>
      <c r="DD34" s="114">
        <v>100</v>
      </c>
      <c r="DE34" s="115"/>
      <c r="DF34" s="115"/>
      <c r="DG34" s="114">
        <v>100</v>
      </c>
      <c r="DH34" s="115"/>
      <c r="DI34" s="115"/>
      <c r="DJ34" s="114">
        <v>100</v>
      </c>
      <c r="DK34" s="115"/>
      <c r="DL34" s="115"/>
      <c r="DM34" s="114">
        <v>100</v>
      </c>
      <c r="DN34" s="115"/>
      <c r="DO34" s="115"/>
      <c r="DP34" s="114">
        <v>100</v>
      </c>
      <c r="DQ34" s="115"/>
      <c r="DR34" s="115"/>
      <c r="DS34" s="114">
        <v>100</v>
      </c>
      <c r="DT34" s="115"/>
      <c r="DU34" s="115"/>
      <c r="DV34" s="114">
        <v>100</v>
      </c>
      <c r="DW34" s="115"/>
      <c r="DX34" s="115"/>
      <c r="DY34" s="114">
        <v>100</v>
      </c>
      <c r="DZ34" s="115"/>
      <c r="EA34" s="115"/>
      <c r="EB34" s="114">
        <v>100</v>
      </c>
      <c r="EC34" s="115"/>
      <c r="ED34" s="115"/>
      <c r="EE34" s="114">
        <v>100</v>
      </c>
      <c r="EF34" s="115"/>
      <c r="EG34" s="115"/>
      <c r="EH34" s="114">
        <v>100</v>
      </c>
      <c r="EI34" s="70"/>
      <c r="EJ34" s="70"/>
      <c r="EK34" s="53">
        <v>89</v>
      </c>
      <c r="EL34" s="70"/>
      <c r="EM34" s="70"/>
      <c r="EN34" s="53">
        <v>84</v>
      </c>
      <c r="EO34" s="70"/>
      <c r="EP34" s="70"/>
      <c r="EQ34" s="53">
        <v>86</v>
      </c>
      <c r="ER34" s="70"/>
      <c r="ES34" s="70"/>
      <c r="ET34" s="53">
        <v>82</v>
      </c>
      <c r="EU34" s="70"/>
      <c r="EV34" s="70"/>
      <c r="EW34" s="53">
        <v>78</v>
      </c>
      <c r="EX34" s="129">
        <v>100</v>
      </c>
      <c r="EY34" s="70"/>
      <c r="EZ34" s="53">
        <v>68</v>
      </c>
      <c r="FA34" s="127">
        <v>86</v>
      </c>
      <c r="FB34" s="124">
        <v>100</v>
      </c>
      <c r="FC34" s="54">
        <v>65</v>
      </c>
      <c r="FD34" s="54">
        <v>74</v>
      </c>
      <c r="FE34" s="124">
        <v>100</v>
      </c>
      <c r="FF34" s="124">
        <v>100</v>
      </c>
      <c r="FG34" s="128">
        <v>68</v>
      </c>
      <c r="FH34" s="124">
        <v>100</v>
      </c>
      <c r="FI34" s="124">
        <v>100</v>
      </c>
      <c r="FJ34" s="54">
        <v>61</v>
      </c>
      <c r="FK34" s="54">
        <v>84</v>
      </c>
      <c r="FL34" s="124">
        <v>100</v>
      </c>
      <c r="FM34" s="128">
        <v>59</v>
      </c>
      <c r="FN34" s="128">
        <v>82</v>
      </c>
      <c r="FO34" s="6">
        <v>29</v>
      </c>
      <c r="FP34" s="6">
        <v>55</v>
      </c>
      <c r="FQ34" s="6">
        <v>79</v>
      </c>
      <c r="FR34" s="16">
        <v>23</v>
      </c>
      <c r="FS34" s="16">
        <v>58</v>
      </c>
      <c r="FT34" s="16">
        <v>75</v>
      </c>
      <c r="FU34" s="16">
        <v>28</v>
      </c>
      <c r="FV34" s="6">
        <v>62</v>
      </c>
      <c r="FW34" s="6">
        <v>81</v>
      </c>
      <c r="FX34" s="6">
        <v>23</v>
      </c>
      <c r="FY34" s="6">
        <v>68</v>
      </c>
      <c r="FZ34" s="6">
        <v>75</v>
      </c>
      <c r="GA34" s="16">
        <v>42</v>
      </c>
      <c r="GB34" s="16">
        <v>66</v>
      </c>
      <c r="GC34" s="16">
        <v>72</v>
      </c>
      <c r="GD34" s="16">
        <v>49</v>
      </c>
      <c r="GE34" s="16">
        <v>62</v>
      </c>
      <c r="GF34" s="16">
        <v>68</v>
      </c>
      <c r="GG34" s="84">
        <v>57</v>
      </c>
      <c r="GH34" s="16">
        <v>68</v>
      </c>
      <c r="GI34" s="16">
        <v>61</v>
      </c>
      <c r="GJ34" s="84">
        <v>53</v>
      </c>
      <c r="GK34" s="16">
        <v>60</v>
      </c>
      <c r="GL34" s="16">
        <v>59</v>
      </c>
      <c r="GM34" s="84">
        <v>52</v>
      </c>
      <c r="GN34" s="16">
        <v>55</v>
      </c>
      <c r="GO34" s="16">
        <v>56</v>
      </c>
      <c r="GP34" s="16">
        <v>48</v>
      </c>
      <c r="GQ34" s="16">
        <v>52</v>
      </c>
      <c r="GR34" s="16">
        <v>54</v>
      </c>
      <c r="GS34" s="16">
        <v>42</v>
      </c>
      <c r="GT34" s="16">
        <v>50</v>
      </c>
      <c r="GU34" s="16">
        <v>41</v>
      </c>
      <c r="GV34" s="16">
        <v>60</v>
      </c>
      <c r="GW34" s="16">
        <v>48</v>
      </c>
      <c r="GX34" s="16">
        <v>47</v>
      </c>
      <c r="GY34" s="16">
        <v>55</v>
      </c>
      <c r="GZ34" s="16">
        <v>43</v>
      </c>
      <c r="HA34" s="16">
        <v>41</v>
      </c>
      <c r="HB34" s="16">
        <v>59</v>
      </c>
      <c r="HC34" s="16">
        <v>50</v>
      </c>
      <c r="HD34" s="16">
        <v>59</v>
      </c>
      <c r="HE34" s="16">
        <v>56</v>
      </c>
      <c r="HF34" s="16">
        <v>48</v>
      </c>
      <c r="HG34" s="16">
        <v>53</v>
      </c>
      <c r="HH34" s="16">
        <v>53</v>
      </c>
      <c r="HI34" s="16">
        <v>42</v>
      </c>
      <c r="HJ34" s="16">
        <v>50</v>
      </c>
      <c r="HK34" s="16">
        <v>50</v>
      </c>
      <c r="HL34" s="16">
        <v>40</v>
      </c>
      <c r="HM34" s="16">
        <v>45</v>
      </c>
      <c r="HN34" s="16">
        <v>48</v>
      </c>
      <c r="HO34" s="16">
        <v>41</v>
      </c>
      <c r="HP34" s="16">
        <v>52</v>
      </c>
      <c r="HQ34" s="6">
        <v>42</v>
      </c>
      <c r="HR34" s="6">
        <v>46</v>
      </c>
      <c r="HS34" s="6">
        <v>51</v>
      </c>
      <c r="HT34" s="16">
        <v>49</v>
      </c>
      <c r="HU34" s="16">
        <v>48</v>
      </c>
      <c r="HV34" s="16">
        <v>46</v>
      </c>
      <c r="HW34" s="16">
        <v>53</v>
      </c>
      <c r="HX34" s="16">
        <v>43</v>
      </c>
      <c r="HY34" s="16">
        <v>45</v>
      </c>
      <c r="HZ34" s="16">
        <v>58</v>
      </c>
      <c r="IA34" s="16">
        <v>45</v>
      </c>
      <c r="IB34" s="16">
        <v>44</v>
      </c>
      <c r="IC34" s="6">
        <v>69</v>
      </c>
      <c r="ID34" s="6">
        <v>42</v>
      </c>
      <c r="IE34" s="6">
        <v>44</v>
      </c>
      <c r="IF34" s="16">
        <v>78</v>
      </c>
      <c r="IG34" s="14">
        <v>100</v>
      </c>
      <c r="IH34" s="14">
        <v>100</v>
      </c>
      <c r="II34" s="14">
        <v>100</v>
      </c>
      <c r="IJ34" s="14">
        <v>100</v>
      </c>
      <c r="IK34" s="14">
        <v>100</v>
      </c>
      <c r="IL34" s="14">
        <v>100</v>
      </c>
      <c r="IM34" s="14">
        <v>100</v>
      </c>
      <c r="IN34" s="14">
        <v>100</v>
      </c>
      <c r="IO34" s="14">
        <v>100</v>
      </c>
      <c r="IP34" s="14">
        <v>100</v>
      </c>
      <c r="IQ34" s="14">
        <v>100</v>
      </c>
      <c r="IR34" s="25">
        <v>100</v>
      </c>
      <c r="IS34" s="25">
        <v>100</v>
      </c>
      <c r="IT34" s="25">
        <v>100</v>
      </c>
      <c r="IU34" s="25">
        <v>100</v>
      </c>
      <c r="IV34" s="25">
        <v>100</v>
      </c>
      <c r="IW34" s="25">
        <v>100</v>
      </c>
      <c r="IX34" s="58">
        <f t="shared" si="0"/>
        <v>0</v>
      </c>
      <c r="IY34" s="110"/>
      <c r="IZ34" s="2"/>
      <c r="JA34" s="2"/>
      <c r="JB34" s="2"/>
      <c r="JC34" s="2"/>
    </row>
    <row r="35" spans="1:263" ht="15" customHeight="1">
      <c r="A35" s="55">
        <v>28</v>
      </c>
      <c r="B35" s="52" t="s">
        <v>119</v>
      </c>
      <c r="C35" s="6">
        <v>10</v>
      </c>
      <c r="D35" s="6">
        <v>10</v>
      </c>
      <c r="E35" s="6">
        <v>10</v>
      </c>
      <c r="F35" s="117"/>
      <c r="G35" s="53"/>
      <c r="H35" s="53"/>
      <c r="I35" s="53"/>
      <c r="J35" s="53"/>
      <c r="K35" s="53"/>
      <c r="L35" s="53">
        <v>39</v>
      </c>
      <c r="M35" s="53"/>
      <c r="N35" s="53"/>
      <c r="O35" s="53">
        <v>39</v>
      </c>
      <c r="P35" s="70">
        <v>100</v>
      </c>
      <c r="Q35" s="70">
        <v>100</v>
      </c>
      <c r="R35" s="53">
        <v>25</v>
      </c>
      <c r="S35" s="70">
        <v>100</v>
      </c>
      <c r="T35" s="70">
        <v>100</v>
      </c>
      <c r="U35" s="53">
        <v>15</v>
      </c>
      <c r="V35" s="54">
        <v>16</v>
      </c>
      <c r="W35" s="54">
        <v>16</v>
      </c>
      <c r="X35" s="53">
        <v>13</v>
      </c>
      <c r="Y35" s="54">
        <v>15</v>
      </c>
      <c r="Z35" s="54">
        <v>18</v>
      </c>
      <c r="AA35" s="53">
        <v>8</v>
      </c>
      <c r="AB35" s="54">
        <v>14</v>
      </c>
      <c r="AC35" s="54">
        <v>19</v>
      </c>
      <c r="AD35" s="53">
        <v>10</v>
      </c>
      <c r="AE35" s="54">
        <v>12</v>
      </c>
      <c r="AF35" s="54">
        <v>16</v>
      </c>
      <c r="AG35" s="53">
        <v>9</v>
      </c>
      <c r="AH35" s="54">
        <v>1</v>
      </c>
      <c r="AI35" s="54">
        <v>3</v>
      </c>
      <c r="AJ35" s="53">
        <v>8</v>
      </c>
      <c r="AK35" s="54">
        <v>1</v>
      </c>
      <c r="AL35" s="54">
        <v>1</v>
      </c>
      <c r="AM35" s="53">
        <v>6</v>
      </c>
      <c r="AN35" s="54">
        <v>1</v>
      </c>
      <c r="AO35" s="54">
        <v>1</v>
      </c>
      <c r="AP35" s="53">
        <v>4</v>
      </c>
      <c r="AQ35" s="54">
        <v>1</v>
      </c>
      <c r="AR35" s="54">
        <v>1</v>
      </c>
      <c r="AS35" s="53">
        <v>5</v>
      </c>
      <c r="AT35" s="54">
        <v>1</v>
      </c>
      <c r="AU35" s="54">
        <v>1</v>
      </c>
      <c r="AV35" s="53">
        <v>5</v>
      </c>
      <c r="AW35" s="54">
        <v>1</v>
      </c>
      <c r="AX35" s="54">
        <v>1</v>
      </c>
      <c r="AY35" s="53">
        <v>4</v>
      </c>
      <c r="AZ35" s="54">
        <v>1</v>
      </c>
      <c r="BA35" s="54">
        <v>1</v>
      </c>
      <c r="BB35" s="53">
        <v>4</v>
      </c>
      <c r="BC35" s="54">
        <v>1</v>
      </c>
      <c r="BD35" s="54">
        <v>1</v>
      </c>
      <c r="BE35" s="53">
        <v>7</v>
      </c>
      <c r="BF35" s="54">
        <v>1</v>
      </c>
      <c r="BG35" s="54">
        <v>1</v>
      </c>
      <c r="BH35" s="53">
        <v>6</v>
      </c>
      <c r="BI35" s="54">
        <v>1</v>
      </c>
      <c r="BJ35" s="54">
        <v>4</v>
      </c>
      <c r="BK35" s="53">
        <v>5</v>
      </c>
      <c r="BL35" s="54">
        <v>1</v>
      </c>
      <c r="BM35" s="54">
        <v>2</v>
      </c>
      <c r="BN35" s="53">
        <v>5</v>
      </c>
      <c r="BO35" s="54">
        <v>2</v>
      </c>
      <c r="BP35" s="54">
        <v>2</v>
      </c>
      <c r="BQ35" s="53">
        <v>4</v>
      </c>
      <c r="BR35" s="54">
        <v>2</v>
      </c>
      <c r="BS35" s="54">
        <v>1</v>
      </c>
      <c r="BT35" s="53">
        <v>9</v>
      </c>
      <c r="BU35" s="54">
        <v>2</v>
      </c>
      <c r="BV35" s="54">
        <v>1</v>
      </c>
      <c r="BW35" s="53">
        <v>10</v>
      </c>
      <c r="BX35" s="54">
        <v>1</v>
      </c>
      <c r="BY35" s="54">
        <v>2</v>
      </c>
      <c r="BZ35" s="53">
        <v>9</v>
      </c>
      <c r="CA35" s="54">
        <v>2</v>
      </c>
      <c r="CB35" s="54">
        <v>4</v>
      </c>
      <c r="CC35" s="53">
        <v>8</v>
      </c>
      <c r="CD35" s="54">
        <v>5</v>
      </c>
      <c r="CE35" s="54">
        <v>3</v>
      </c>
      <c r="CF35" s="53">
        <v>5</v>
      </c>
      <c r="CG35" s="54">
        <v>4</v>
      </c>
      <c r="CH35" s="54">
        <v>2</v>
      </c>
      <c r="CI35" s="53">
        <v>3</v>
      </c>
      <c r="CJ35" s="54">
        <v>2</v>
      </c>
      <c r="CK35" s="54">
        <v>1</v>
      </c>
      <c r="CL35" s="53">
        <v>2</v>
      </c>
      <c r="CM35" s="54">
        <v>1</v>
      </c>
      <c r="CN35" s="54">
        <v>1</v>
      </c>
      <c r="CO35" s="53">
        <v>1</v>
      </c>
      <c r="CP35" s="54">
        <v>1</v>
      </c>
      <c r="CQ35" s="54">
        <v>1</v>
      </c>
      <c r="CR35" s="53">
        <v>1</v>
      </c>
      <c r="CS35" s="54">
        <v>1</v>
      </c>
      <c r="CT35" s="54">
        <v>1</v>
      </c>
      <c r="CU35" s="53">
        <v>1</v>
      </c>
      <c r="CV35" s="54">
        <v>1</v>
      </c>
      <c r="CW35" s="54">
        <v>1</v>
      </c>
      <c r="CX35" s="53">
        <v>2</v>
      </c>
      <c r="CY35" s="54">
        <v>1</v>
      </c>
      <c r="CZ35" s="54">
        <v>1</v>
      </c>
      <c r="DA35" s="53">
        <v>1</v>
      </c>
      <c r="DB35" s="54">
        <v>1</v>
      </c>
      <c r="DC35" s="54">
        <v>1</v>
      </c>
      <c r="DD35" s="53">
        <v>1</v>
      </c>
      <c r="DE35" s="54">
        <v>3</v>
      </c>
      <c r="DF35" s="54">
        <v>4</v>
      </c>
      <c r="DG35" s="53">
        <v>1</v>
      </c>
      <c r="DH35" s="54">
        <v>3</v>
      </c>
      <c r="DI35" s="54">
        <v>3</v>
      </c>
      <c r="DJ35" s="53">
        <v>1</v>
      </c>
      <c r="DK35" s="54">
        <v>3</v>
      </c>
      <c r="DL35" s="54">
        <v>2</v>
      </c>
      <c r="DM35" s="53">
        <v>1</v>
      </c>
      <c r="DN35" s="54">
        <v>2</v>
      </c>
      <c r="DO35" s="54">
        <v>2</v>
      </c>
      <c r="DP35" s="53">
        <v>1</v>
      </c>
      <c r="DQ35" s="54">
        <v>2</v>
      </c>
      <c r="DR35" s="54">
        <v>2</v>
      </c>
      <c r="DS35" s="53">
        <v>1</v>
      </c>
      <c r="DT35" s="54">
        <v>1</v>
      </c>
      <c r="DU35" s="54">
        <v>2</v>
      </c>
      <c r="DV35" s="53">
        <v>1</v>
      </c>
      <c r="DW35" s="54">
        <v>2</v>
      </c>
      <c r="DX35" s="54">
        <v>1</v>
      </c>
      <c r="DY35" s="53">
        <v>1</v>
      </c>
      <c r="DZ35" s="54">
        <v>5</v>
      </c>
      <c r="EA35" s="54">
        <v>1</v>
      </c>
      <c r="EB35" s="53">
        <v>6</v>
      </c>
      <c r="EC35" s="54">
        <v>4</v>
      </c>
      <c r="ED35" s="54">
        <v>7</v>
      </c>
      <c r="EE35" s="53">
        <v>5</v>
      </c>
      <c r="EF35" s="54">
        <v>8</v>
      </c>
      <c r="EG35" s="54">
        <v>4</v>
      </c>
      <c r="EH35" s="53">
        <v>8</v>
      </c>
      <c r="EI35" s="54">
        <v>6</v>
      </c>
      <c r="EJ35" s="54">
        <v>3</v>
      </c>
      <c r="EK35" s="53">
        <v>7</v>
      </c>
      <c r="EL35" s="54">
        <v>5</v>
      </c>
      <c r="EM35" s="54">
        <v>2</v>
      </c>
      <c r="EN35" s="53">
        <v>11</v>
      </c>
      <c r="EO35" s="54">
        <v>7</v>
      </c>
      <c r="EP35" s="54">
        <v>5</v>
      </c>
      <c r="EQ35" s="53">
        <v>10</v>
      </c>
      <c r="ER35" s="54">
        <v>8</v>
      </c>
      <c r="ES35" s="54">
        <v>7</v>
      </c>
      <c r="ET35" s="53">
        <v>10</v>
      </c>
      <c r="EU35" s="54">
        <v>9</v>
      </c>
      <c r="EV35" s="54">
        <v>6</v>
      </c>
      <c r="EW35" s="53">
        <v>8</v>
      </c>
      <c r="EX35" s="54">
        <v>7</v>
      </c>
      <c r="EY35" s="54">
        <v>5</v>
      </c>
      <c r="EZ35" s="53">
        <v>7</v>
      </c>
      <c r="FA35" s="54">
        <v>6</v>
      </c>
      <c r="FB35" s="54">
        <v>6</v>
      </c>
      <c r="FC35" s="54">
        <v>9</v>
      </c>
      <c r="FD35" s="54">
        <v>3</v>
      </c>
      <c r="FE35" s="54">
        <v>2</v>
      </c>
      <c r="FF35" s="54">
        <v>7</v>
      </c>
      <c r="FG35" s="54">
        <v>4</v>
      </c>
      <c r="FH35" s="54">
        <v>3</v>
      </c>
      <c r="FI35" s="54">
        <v>6</v>
      </c>
      <c r="FJ35" s="54">
        <v>3</v>
      </c>
      <c r="FK35" s="54">
        <v>9</v>
      </c>
      <c r="FL35" s="54">
        <v>10</v>
      </c>
      <c r="FM35" s="54">
        <v>5</v>
      </c>
      <c r="FN35" s="54">
        <v>6</v>
      </c>
      <c r="FO35" s="6">
        <v>8</v>
      </c>
      <c r="FP35" s="6">
        <v>6</v>
      </c>
      <c r="FQ35" s="6">
        <v>8</v>
      </c>
      <c r="FR35" s="6">
        <v>7</v>
      </c>
      <c r="FS35" s="6">
        <v>8</v>
      </c>
      <c r="FT35" s="6">
        <v>5</v>
      </c>
      <c r="FU35" s="6">
        <v>9</v>
      </c>
      <c r="FV35" s="6">
        <v>6</v>
      </c>
      <c r="FW35" s="6">
        <v>8</v>
      </c>
      <c r="FX35" s="6">
        <v>8</v>
      </c>
      <c r="FY35" s="6">
        <v>4</v>
      </c>
      <c r="FZ35" s="6">
        <v>6</v>
      </c>
      <c r="GA35" s="6">
        <v>10</v>
      </c>
      <c r="GB35" s="6">
        <v>7</v>
      </c>
      <c r="GC35" s="6">
        <v>8</v>
      </c>
      <c r="GD35" s="6">
        <v>12</v>
      </c>
      <c r="GE35" s="6">
        <v>5</v>
      </c>
      <c r="GF35" s="6">
        <v>7</v>
      </c>
      <c r="GG35" s="6">
        <v>19</v>
      </c>
      <c r="GH35" s="16">
        <v>7</v>
      </c>
      <c r="GI35" s="16">
        <v>6</v>
      </c>
      <c r="GJ35" s="6">
        <v>16</v>
      </c>
      <c r="GK35" s="16">
        <v>10</v>
      </c>
      <c r="GL35" s="16">
        <v>5</v>
      </c>
      <c r="GM35" s="6">
        <v>19</v>
      </c>
      <c r="GN35" s="16">
        <v>9</v>
      </c>
      <c r="GO35" s="16">
        <v>8</v>
      </c>
      <c r="GP35" s="16">
        <v>15</v>
      </c>
      <c r="GQ35" s="16">
        <v>6</v>
      </c>
      <c r="GR35" s="16">
        <v>10</v>
      </c>
      <c r="GS35" s="16">
        <v>17</v>
      </c>
      <c r="GT35" s="16">
        <v>8</v>
      </c>
      <c r="GU35" s="16">
        <v>9</v>
      </c>
      <c r="GV35" s="16">
        <v>21</v>
      </c>
      <c r="GW35" s="16">
        <v>10</v>
      </c>
      <c r="GX35" s="16">
        <v>10</v>
      </c>
      <c r="GY35" s="16">
        <v>25</v>
      </c>
      <c r="GZ35" s="16">
        <v>9</v>
      </c>
      <c r="HA35" s="16">
        <v>10</v>
      </c>
      <c r="HB35" s="16">
        <v>22</v>
      </c>
      <c r="HC35" s="16">
        <v>10</v>
      </c>
      <c r="HD35" s="16">
        <v>15</v>
      </c>
      <c r="HE35" s="16">
        <v>18</v>
      </c>
      <c r="HF35" s="16">
        <v>8</v>
      </c>
      <c r="HG35" s="16">
        <v>12</v>
      </c>
      <c r="HH35" s="16">
        <v>20</v>
      </c>
      <c r="HI35" s="16">
        <v>9</v>
      </c>
      <c r="HJ35" s="16">
        <v>11</v>
      </c>
      <c r="HK35" s="16">
        <v>28</v>
      </c>
      <c r="HL35" s="16">
        <v>7</v>
      </c>
      <c r="HM35" s="16">
        <v>16</v>
      </c>
      <c r="HN35" s="16">
        <v>35</v>
      </c>
      <c r="HO35" s="16">
        <v>6</v>
      </c>
      <c r="HP35" s="16">
        <v>14</v>
      </c>
      <c r="HQ35" s="6">
        <v>31</v>
      </c>
      <c r="HR35" s="6">
        <v>4</v>
      </c>
      <c r="HS35" s="6">
        <v>13</v>
      </c>
      <c r="HT35" s="16">
        <v>36</v>
      </c>
      <c r="HU35" s="16">
        <v>5</v>
      </c>
      <c r="HV35" s="16">
        <v>11</v>
      </c>
      <c r="HW35" s="16">
        <v>52</v>
      </c>
      <c r="HX35" s="16">
        <v>6</v>
      </c>
      <c r="HY35" s="16">
        <v>17</v>
      </c>
      <c r="HZ35" s="16">
        <v>67</v>
      </c>
      <c r="IA35" s="16">
        <v>6</v>
      </c>
      <c r="IB35" s="16">
        <v>18</v>
      </c>
      <c r="IC35" s="34">
        <v>100</v>
      </c>
      <c r="ID35" s="6">
        <v>6</v>
      </c>
      <c r="IE35" s="6">
        <v>17</v>
      </c>
      <c r="IF35" s="14">
        <v>100</v>
      </c>
      <c r="IG35" s="14">
        <v>100</v>
      </c>
      <c r="IH35" s="14">
        <v>100</v>
      </c>
      <c r="II35" s="14">
        <v>100</v>
      </c>
      <c r="IJ35" s="14">
        <v>100</v>
      </c>
      <c r="IK35" s="14">
        <v>100</v>
      </c>
      <c r="IL35" s="14">
        <v>100</v>
      </c>
      <c r="IM35" s="14">
        <v>100</v>
      </c>
      <c r="IN35" s="14">
        <v>100</v>
      </c>
      <c r="IO35" s="14">
        <v>100</v>
      </c>
      <c r="IP35" s="14">
        <v>100</v>
      </c>
      <c r="IQ35" s="14">
        <v>100</v>
      </c>
      <c r="IR35" s="25">
        <v>100</v>
      </c>
      <c r="IS35" s="25">
        <v>100</v>
      </c>
      <c r="IT35" s="25">
        <v>100</v>
      </c>
      <c r="IU35" s="25">
        <v>100</v>
      </c>
      <c r="IV35" s="25">
        <v>100</v>
      </c>
      <c r="IW35" s="25">
        <v>100</v>
      </c>
      <c r="IX35" s="58">
        <f t="shared" si="0"/>
        <v>0</v>
      </c>
      <c r="IY35" s="110"/>
      <c r="IZ35" s="2"/>
      <c r="JA35" s="2"/>
      <c r="JB35" s="2"/>
      <c r="JC35" s="2"/>
    </row>
    <row r="36" spans="1:263" ht="13.5" customHeight="1">
      <c r="A36" s="55">
        <v>29</v>
      </c>
      <c r="B36" s="52" t="s">
        <v>120</v>
      </c>
      <c r="C36" s="6">
        <v>10</v>
      </c>
      <c r="D36" s="6">
        <v>10</v>
      </c>
      <c r="E36" s="6">
        <v>10</v>
      </c>
      <c r="F36" s="117"/>
      <c r="G36" s="53"/>
      <c r="H36" s="53"/>
      <c r="I36" s="53"/>
      <c r="J36" s="53"/>
      <c r="K36" s="53"/>
      <c r="L36" s="53"/>
      <c r="M36" s="53"/>
      <c r="N36" s="53"/>
      <c r="O36" s="53"/>
      <c r="P36" s="70"/>
      <c r="Q36" s="70"/>
      <c r="R36" s="53"/>
      <c r="S36" s="70"/>
      <c r="T36" s="70"/>
      <c r="U36" s="122">
        <v>100</v>
      </c>
      <c r="V36" s="70">
        <v>100</v>
      </c>
      <c r="W36" s="70">
        <v>100</v>
      </c>
      <c r="X36" s="53">
        <v>40</v>
      </c>
      <c r="Y36" s="70">
        <v>100</v>
      </c>
      <c r="Z36" s="70">
        <v>100</v>
      </c>
      <c r="AA36" s="53">
        <v>49</v>
      </c>
      <c r="AB36" s="70">
        <v>100</v>
      </c>
      <c r="AC36" s="70">
        <v>100</v>
      </c>
      <c r="AD36" s="53">
        <v>42</v>
      </c>
      <c r="AE36" s="70">
        <v>100</v>
      </c>
      <c r="AF36" s="70">
        <v>100</v>
      </c>
      <c r="AG36" s="53">
        <v>32</v>
      </c>
      <c r="AH36" s="70">
        <v>100</v>
      </c>
      <c r="AI36" s="70">
        <v>100</v>
      </c>
      <c r="AJ36" s="53">
        <v>65</v>
      </c>
      <c r="AK36" s="70">
        <v>100</v>
      </c>
      <c r="AL36" s="70">
        <v>100</v>
      </c>
      <c r="AM36" s="53">
        <v>61</v>
      </c>
      <c r="AN36" s="70">
        <v>100</v>
      </c>
      <c r="AO36" s="70">
        <v>100</v>
      </c>
      <c r="AP36" s="53">
        <v>58</v>
      </c>
      <c r="AQ36" s="70">
        <v>100</v>
      </c>
      <c r="AR36" s="54">
        <v>87</v>
      </c>
      <c r="AS36" s="53">
        <v>56</v>
      </c>
      <c r="AT36" s="54">
        <v>81</v>
      </c>
      <c r="AU36" s="54">
        <v>83</v>
      </c>
      <c r="AV36" s="53">
        <v>52</v>
      </c>
      <c r="AW36" s="54">
        <v>79</v>
      </c>
      <c r="AX36" s="54">
        <v>81</v>
      </c>
      <c r="AY36" s="53">
        <v>48</v>
      </c>
      <c r="AZ36" s="54">
        <v>74</v>
      </c>
      <c r="BA36" s="54">
        <v>80</v>
      </c>
      <c r="BB36" s="53">
        <v>44</v>
      </c>
      <c r="BC36" s="54">
        <v>70</v>
      </c>
      <c r="BD36" s="54">
        <v>76</v>
      </c>
      <c r="BE36" s="53">
        <v>38</v>
      </c>
      <c r="BF36" s="54">
        <v>66</v>
      </c>
      <c r="BG36" s="54">
        <v>74</v>
      </c>
      <c r="BH36" s="53">
        <v>10</v>
      </c>
      <c r="BI36" s="54">
        <v>63</v>
      </c>
      <c r="BJ36" s="54">
        <v>72</v>
      </c>
      <c r="BK36" s="53">
        <v>25</v>
      </c>
      <c r="BL36" s="54">
        <v>58</v>
      </c>
      <c r="BM36" s="54">
        <v>63</v>
      </c>
      <c r="BN36" s="53">
        <v>10</v>
      </c>
      <c r="BO36" s="54">
        <v>10</v>
      </c>
      <c r="BP36" s="54">
        <v>9</v>
      </c>
      <c r="BQ36" s="53">
        <v>8</v>
      </c>
      <c r="BR36" s="54">
        <v>8</v>
      </c>
      <c r="BS36" s="54">
        <v>7</v>
      </c>
      <c r="BT36" s="53">
        <v>12</v>
      </c>
      <c r="BU36" s="54">
        <v>15</v>
      </c>
      <c r="BV36" s="54">
        <v>18</v>
      </c>
      <c r="BW36" s="53">
        <v>11</v>
      </c>
      <c r="BX36" s="54">
        <v>9</v>
      </c>
      <c r="BY36" s="54">
        <v>8</v>
      </c>
      <c r="BZ36" s="53">
        <v>12</v>
      </c>
      <c r="CA36" s="54">
        <v>6</v>
      </c>
      <c r="CB36" s="54">
        <v>6</v>
      </c>
      <c r="CC36" s="53">
        <v>11</v>
      </c>
      <c r="CD36" s="54">
        <v>3</v>
      </c>
      <c r="CE36" s="54">
        <v>4</v>
      </c>
      <c r="CF36" s="53">
        <v>8</v>
      </c>
      <c r="CG36" s="54">
        <v>2</v>
      </c>
      <c r="CH36" s="54">
        <v>2</v>
      </c>
      <c r="CI36" s="53">
        <v>7</v>
      </c>
      <c r="CJ36" s="54">
        <v>8</v>
      </c>
      <c r="CK36" s="54">
        <v>2</v>
      </c>
      <c r="CL36" s="53">
        <v>9</v>
      </c>
      <c r="CM36" s="54">
        <v>6</v>
      </c>
      <c r="CN36" s="54">
        <v>2</v>
      </c>
      <c r="CO36" s="53">
        <v>8</v>
      </c>
      <c r="CP36" s="54">
        <v>4</v>
      </c>
      <c r="CQ36" s="54">
        <v>2</v>
      </c>
      <c r="CR36" s="53">
        <v>14</v>
      </c>
      <c r="CS36" s="54">
        <v>3</v>
      </c>
      <c r="CT36" s="54">
        <v>2</v>
      </c>
      <c r="CU36" s="53">
        <v>11</v>
      </c>
      <c r="CV36" s="54">
        <v>5</v>
      </c>
      <c r="CW36" s="54">
        <v>2</v>
      </c>
      <c r="CX36" s="53">
        <v>18</v>
      </c>
      <c r="CY36" s="54">
        <v>3</v>
      </c>
      <c r="CZ36" s="54">
        <v>7</v>
      </c>
      <c r="DA36" s="53">
        <v>15</v>
      </c>
      <c r="DB36" s="54">
        <v>3</v>
      </c>
      <c r="DC36" s="54">
        <v>6</v>
      </c>
      <c r="DD36" s="53">
        <v>13</v>
      </c>
      <c r="DE36" s="54">
        <v>3</v>
      </c>
      <c r="DF36" s="54">
        <v>5</v>
      </c>
      <c r="DG36" s="53">
        <v>11</v>
      </c>
      <c r="DH36" s="54">
        <v>3</v>
      </c>
      <c r="DI36" s="54">
        <v>3</v>
      </c>
      <c r="DJ36" s="53">
        <v>10</v>
      </c>
      <c r="DK36" s="54">
        <v>2</v>
      </c>
      <c r="DL36" s="54">
        <v>3</v>
      </c>
      <c r="DM36" s="53">
        <v>16</v>
      </c>
      <c r="DN36" s="54">
        <v>2</v>
      </c>
      <c r="DO36" s="54">
        <v>2</v>
      </c>
      <c r="DP36" s="53">
        <v>13</v>
      </c>
      <c r="DQ36" s="54">
        <v>2</v>
      </c>
      <c r="DR36" s="54">
        <v>2</v>
      </c>
      <c r="DS36" s="53">
        <v>12</v>
      </c>
      <c r="DT36" s="54">
        <v>2</v>
      </c>
      <c r="DU36" s="54">
        <v>3</v>
      </c>
      <c r="DV36" s="53">
        <v>11</v>
      </c>
      <c r="DW36" s="54">
        <v>2</v>
      </c>
      <c r="DX36" s="54">
        <v>2</v>
      </c>
      <c r="DY36" s="53">
        <v>18</v>
      </c>
      <c r="DZ36" s="54">
        <v>2</v>
      </c>
      <c r="EA36" s="54">
        <v>3</v>
      </c>
      <c r="EB36" s="53">
        <v>16</v>
      </c>
      <c r="EC36" s="54">
        <v>2</v>
      </c>
      <c r="ED36" s="54">
        <v>2</v>
      </c>
      <c r="EE36" s="53">
        <v>24</v>
      </c>
      <c r="EF36" s="54">
        <v>9</v>
      </c>
      <c r="EG36" s="54">
        <v>6</v>
      </c>
      <c r="EH36" s="53">
        <v>23</v>
      </c>
      <c r="EI36" s="54">
        <v>6</v>
      </c>
      <c r="EJ36" s="54">
        <v>4</v>
      </c>
      <c r="EK36" s="53">
        <v>19</v>
      </c>
      <c r="EL36" s="54">
        <v>5</v>
      </c>
      <c r="EM36" s="54">
        <v>5</v>
      </c>
      <c r="EN36" s="53">
        <v>18</v>
      </c>
      <c r="EO36" s="54">
        <v>8</v>
      </c>
      <c r="EP36" s="54">
        <v>9</v>
      </c>
      <c r="EQ36" s="53">
        <v>20</v>
      </c>
      <c r="ER36" s="54">
        <v>6</v>
      </c>
      <c r="ES36" s="54">
        <v>6</v>
      </c>
      <c r="ET36" s="53">
        <v>16</v>
      </c>
      <c r="EU36" s="54">
        <v>5</v>
      </c>
      <c r="EV36" s="54">
        <v>5</v>
      </c>
      <c r="EW36" s="53">
        <v>14</v>
      </c>
      <c r="EX36" s="54">
        <v>3</v>
      </c>
      <c r="EY36" s="54">
        <v>3</v>
      </c>
      <c r="EZ36" s="53">
        <v>19</v>
      </c>
      <c r="FA36" s="54">
        <v>5</v>
      </c>
      <c r="FB36" s="54">
        <v>8</v>
      </c>
      <c r="FC36" s="54">
        <v>15</v>
      </c>
      <c r="FD36" s="54">
        <v>8</v>
      </c>
      <c r="FE36" s="54">
        <v>7</v>
      </c>
      <c r="FF36" s="54">
        <v>19</v>
      </c>
      <c r="FG36" s="54">
        <v>10</v>
      </c>
      <c r="FH36" s="54">
        <v>5</v>
      </c>
      <c r="FI36" s="54">
        <v>18</v>
      </c>
      <c r="FJ36" s="54">
        <v>9</v>
      </c>
      <c r="FK36" s="54">
        <v>6</v>
      </c>
      <c r="FL36" s="54">
        <v>16</v>
      </c>
      <c r="FM36" s="54">
        <v>8</v>
      </c>
      <c r="FN36" s="54">
        <v>9</v>
      </c>
      <c r="FO36" s="6">
        <v>14</v>
      </c>
      <c r="FP36" s="6">
        <v>5</v>
      </c>
      <c r="FQ36" s="6">
        <v>7</v>
      </c>
      <c r="FR36" s="6">
        <v>18</v>
      </c>
      <c r="FS36" s="6">
        <v>8</v>
      </c>
      <c r="FT36" s="16">
        <v>7</v>
      </c>
      <c r="FU36" s="6">
        <v>28</v>
      </c>
      <c r="FV36" s="6">
        <v>10</v>
      </c>
      <c r="FW36" s="16">
        <v>9</v>
      </c>
      <c r="FX36" s="6">
        <v>23</v>
      </c>
      <c r="FY36" s="6">
        <v>9</v>
      </c>
      <c r="FZ36" s="16">
        <v>10</v>
      </c>
      <c r="GA36" s="6">
        <v>29</v>
      </c>
      <c r="GB36" s="6">
        <v>7</v>
      </c>
      <c r="GC36" s="16">
        <v>8</v>
      </c>
      <c r="GD36" s="6">
        <v>23</v>
      </c>
      <c r="GE36" s="6">
        <v>5</v>
      </c>
      <c r="GF36" s="16">
        <v>4</v>
      </c>
      <c r="GG36" s="84">
        <v>28</v>
      </c>
      <c r="GH36" s="16">
        <v>4</v>
      </c>
      <c r="GI36" s="16">
        <v>5</v>
      </c>
      <c r="GJ36" s="84">
        <v>34</v>
      </c>
      <c r="GK36" s="16">
        <v>8</v>
      </c>
      <c r="GL36" s="16">
        <v>6</v>
      </c>
      <c r="GM36" s="84">
        <v>39</v>
      </c>
      <c r="GN36" s="16">
        <v>6</v>
      </c>
      <c r="GO36" s="16">
        <v>9</v>
      </c>
      <c r="GP36" s="84">
        <v>48</v>
      </c>
      <c r="GQ36" s="16">
        <v>5</v>
      </c>
      <c r="GR36" s="16">
        <v>4</v>
      </c>
      <c r="GS36" s="16">
        <v>42</v>
      </c>
      <c r="GT36" s="16">
        <v>8</v>
      </c>
      <c r="GU36" s="16">
        <v>7</v>
      </c>
      <c r="GV36" s="16">
        <v>9</v>
      </c>
      <c r="GW36" s="16">
        <v>5</v>
      </c>
      <c r="GX36" s="16">
        <v>6</v>
      </c>
      <c r="GY36" s="16">
        <v>10</v>
      </c>
      <c r="GZ36" s="16">
        <v>8</v>
      </c>
      <c r="HA36" s="16">
        <v>7</v>
      </c>
      <c r="HB36" s="16">
        <v>8</v>
      </c>
      <c r="HC36" s="16">
        <v>5</v>
      </c>
      <c r="HD36" s="16">
        <v>6</v>
      </c>
      <c r="HE36" s="16">
        <v>10</v>
      </c>
      <c r="HF36" s="16">
        <v>4</v>
      </c>
      <c r="HG36" s="16">
        <v>7</v>
      </c>
      <c r="HH36" s="16">
        <v>8</v>
      </c>
      <c r="HI36" s="16">
        <v>4</v>
      </c>
      <c r="HJ36" s="16">
        <v>7</v>
      </c>
      <c r="HK36" s="16">
        <v>7</v>
      </c>
      <c r="HL36" s="16">
        <v>6</v>
      </c>
      <c r="HM36" s="16">
        <v>4</v>
      </c>
      <c r="HN36" s="16">
        <v>9</v>
      </c>
      <c r="HO36" s="16">
        <v>5</v>
      </c>
      <c r="HP36" s="16">
        <v>4</v>
      </c>
      <c r="HQ36" s="6">
        <v>10</v>
      </c>
      <c r="HR36" s="6">
        <v>3</v>
      </c>
      <c r="HS36" s="6">
        <v>2</v>
      </c>
      <c r="HT36" s="16">
        <v>8</v>
      </c>
      <c r="HU36" s="16">
        <v>6</v>
      </c>
      <c r="HV36" s="16">
        <v>2</v>
      </c>
      <c r="HW36" s="16">
        <v>6</v>
      </c>
      <c r="HX36" s="16">
        <v>6</v>
      </c>
      <c r="HY36" s="16">
        <v>5</v>
      </c>
      <c r="HZ36" s="16">
        <v>4</v>
      </c>
      <c r="IA36" s="16">
        <v>5</v>
      </c>
      <c r="IB36" s="16">
        <v>5</v>
      </c>
      <c r="IC36" s="6">
        <v>58</v>
      </c>
      <c r="ID36" s="6">
        <v>5</v>
      </c>
      <c r="IE36" s="6">
        <v>5</v>
      </c>
      <c r="IF36" s="16">
        <v>75</v>
      </c>
      <c r="IG36" s="14">
        <v>100</v>
      </c>
      <c r="IH36" s="14">
        <v>100</v>
      </c>
      <c r="II36" s="14">
        <v>100</v>
      </c>
      <c r="IJ36" s="14">
        <v>100</v>
      </c>
      <c r="IK36" s="14">
        <v>100</v>
      </c>
      <c r="IL36" s="14">
        <v>100</v>
      </c>
      <c r="IM36" s="14">
        <v>100</v>
      </c>
      <c r="IN36" s="14">
        <v>100</v>
      </c>
      <c r="IO36" s="14">
        <v>100</v>
      </c>
      <c r="IP36" s="14">
        <v>100</v>
      </c>
      <c r="IQ36" s="14">
        <v>100</v>
      </c>
      <c r="IR36" s="25">
        <v>100</v>
      </c>
      <c r="IS36" s="25">
        <v>100</v>
      </c>
      <c r="IT36" s="25">
        <v>100</v>
      </c>
      <c r="IU36" s="25">
        <v>100</v>
      </c>
      <c r="IV36" s="25">
        <v>100</v>
      </c>
      <c r="IW36" s="25">
        <v>100</v>
      </c>
      <c r="IX36" s="58">
        <f t="shared" si="0"/>
        <v>0</v>
      </c>
      <c r="IY36" s="110"/>
      <c r="IZ36" s="2"/>
      <c r="JA36" s="2"/>
      <c r="JB36" s="2"/>
      <c r="JC36" s="2"/>
    </row>
    <row r="37" spans="1:263" ht="13.5" customHeight="1">
      <c r="A37" s="55">
        <v>30</v>
      </c>
      <c r="B37" s="52" t="s">
        <v>121</v>
      </c>
      <c r="C37" s="6">
        <v>90</v>
      </c>
      <c r="D37" s="6">
        <v>210</v>
      </c>
      <c r="E37" s="24">
        <v>140</v>
      </c>
      <c r="F37" s="117">
        <v>85</v>
      </c>
      <c r="G37" s="53"/>
      <c r="H37" s="53">
        <v>34</v>
      </c>
      <c r="I37" s="54">
        <v>40</v>
      </c>
      <c r="J37" s="54">
        <v>35</v>
      </c>
      <c r="K37" s="54">
        <v>38</v>
      </c>
      <c r="L37" s="54">
        <v>65</v>
      </c>
      <c r="M37" s="54">
        <v>22</v>
      </c>
      <c r="N37" s="54">
        <v>32</v>
      </c>
      <c r="O37" s="54">
        <v>26</v>
      </c>
      <c r="P37" s="54">
        <v>22</v>
      </c>
      <c r="Q37" s="54">
        <v>36</v>
      </c>
      <c r="R37" s="54">
        <v>35</v>
      </c>
      <c r="S37" s="54">
        <v>15</v>
      </c>
      <c r="T37" s="54">
        <v>62</v>
      </c>
      <c r="U37" s="54">
        <v>9</v>
      </c>
      <c r="V37" s="70">
        <v>100</v>
      </c>
      <c r="W37" s="70">
        <v>100</v>
      </c>
      <c r="X37" s="54">
        <v>14</v>
      </c>
      <c r="Y37" s="70">
        <v>100</v>
      </c>
      <c r="Z37" s="54">
        <v>96</v>
      </c>
      <c r="AA37" s="54">
        <v>11</v>
      </c>
      <c r="AB37" s="54">
        <v>92</v>
      </c>
      <c r="AC37" s="54">
        <v>90</v>
      </c>
      <c r="AD37" s="54">
        <v>11</v>
      </c>
      <c r="AE37" s="54">
        <v>90</v>
      </c>
      <c r="AF37" s="54">
        <v>86</v>
      </c>
      <c r="AG37" s="54">
        <v>13</v>
      </c>
      <c r="AH37" s="54">
        <v>88</v>
      </c>
      <c r="AI37" s="54">
        <v>83</v>
      </c>
      <c r="AJ37" s="54">
        <v>12</v>
      </c>
      <c r="AK37" s="54">
        <v>84</v>
      </c>
      <c r="AL37" s="54">
        <v>79</v>
      </c>
      <c r="AM37" s="54">
        <v>5</v>
      </c>
      <c r="AN37" s="54">
        <v>75</v>
      </c>
      <c r="AO37" s="54">
        <v>64</v>
      </c>
      <c r="AP37" s="54">
        <v>4</v>
      </c>
      <c r="AQ37" s="54">
        <v>73</v>
      </c>
      <c r="AR37" s="54">
        <v>64</v>
      </c>
      <c r="AS37" s="54">
        <v>4</v>
      </c>
      <c r="AT37" s="54">
        <v>64</v>
      </c>
      <c r="AU37" s="54">
        <v>61</v>
      </c>
      <c r="AV37" s="54">
        <v>3</v>
      </c>
      <c r="AW37" s="54">
        <v>10</v>
      </c>
      <c r="AX37" s="54">
        <v>15</v>
      </c>
      <c r="AY37" s="54">
        <v>3</v>
      </c>
      <c r="AZ37" s="54">
        <v>16</v>
      </c>
      <c r="BA37" s="54">
        <v>13</v>
      </c>
      <c r="BB37" s="54">
        <v>3</v>
      </c>
      <c r="BC37" s="54">
        <v>44</v>
      </c>
      <c r="BD37" s="54">
        <v>53</v>
      </c>
      <c r="BE37" s="54">
        <v>2</v>
      </c>
      <c r="BF37" s="54">
        <v>41</v>
      </c>
      <c r="BG37" s="54">
        <v>52</v>
      </c>
      <c r="BH37" s="54">
        <v>2</v>
      </c>
      <c r="BI37" s="54">
        <v>40</v>
      </c>
      <c r="BJ37" s="54">
        <v>48</v>
      </c>
      <c r="BK37" s="54">
        <v>3</v>
      </c>
      <c r="BL37" s="54">
        <v>27</v>
      </c>
      <c r="BM37" s="54">
        <v>24</v>
      </c>
      <c r="BN37" s="54">
        <v>3</v>
      </c>
      <c r="BO37" s="54">
        <v>18</v>
      </c>
      <c r="BP37" s="54">
        <v>21</v>
      </c>
      <c r="BQ37" s="54">
        <v>2</v>
      </c>
      <c r="BR37" s="54">
        <v>15</v>
      </c>
      <c r="BS37" s="54">
        <v>20</v>
      </c>
      <c r="BT37" s="54">
        <v>3</v>
      </c>
      <c r="BU37" s="54">
        <v>13</v>
      </c>
      <c r="BV37" s="54">
        <v>19</v>
      </c>
      <c r="BW37" s="54">
        <v>2</v>
      </c>
      <c r="BX37" s="54">
        <v>11</v>
      </c>
      <c r="BY37" s="54">
        <v>15</v>
      </c>
      <c r="BZ37" s="54">
        <v>4</v>
      </c>
      <c r="CA37" s="54">
        <v>9</v>
      </c>
      <c r="CB37" s="54">
        <v>10</v>
      </c>
      <c r="CC37" s="54">
        <v>5</v>
      </c>
      <c r="CD37" s="54">
        <v>11</v>
      </c>
      <c r="CE37" s="54">
        <v>10</v>
      </c>
      <c r="CF37" s="54">
        <v>8</v>
      </c>
      <c r="CG37" s="54">
        <v>9</v>
      </c>
      <c r="CH37" s="54">
        <v>9</v>
      </c>
      <c r="CI37" s="54">
        <v>6</v>
      </c>
      <c r="CJ37" s="54">
        <v>8</v>
      </c>
      <c r="CK37" s="54">
        <v>11</v>
      </c>
      <c r="CL37" s="54">
        <v>4</v>
      </c>
      <c r="CM37" s="54">
        <v>6</v>
      </c>
      <c r="CN37" s="54">
        <v>8</v>
      </c>
      <c r="CO37" s="54">
        <v>2</v>
      </c>
      <c r="CP37" s="54">
        <v>4</v>
      </c>
      <c r="CQ37" s="54">
        <v>6</v>
      </c>
      <c r="CR37" s="54">
        <v>2</v>
      </c>
      <c r="CS37" s="54">
        <v>3</v>
      </c>
      <c r="CT37" s="54">
        <v>5</v>
      </c>
      <c r="CU37" s="54">
        <v>4</v>
      </c>
      <c r="CV37" s="54">
        <v>3</v>
      </c>
      <c r="CW37" s="54">
        <v>4</v>
      </c>
      <c r="CX37" s="54">
        <v>3</v>
      </c>
      <c r="CY37" s="54">
        <v>3</v>
      </c>
      <c r="CZ37" s="54">
        <v>2</v>
      </c>
      <c r="DA37" s="54">
        <v>2</v>
      </c>
      <c r="DB37" s="54">
        <v>2</v>
      </c>
      <c r="DC37" s="54">
        <v>2</v>
      </c>
      <c r="DD37" s="54">
        <v>2</v>
      </c>
      <c r="DE37" s="54">
        <v>4</v>
      </c>
      <c r="DF37" s="54">
        <v>2</v>
      </c>
      <c r="DG37" s="54">
        <v>2</v>
      </c>
      <c r="DH37" s="54">
        <v>3</v>
      </c>
      <c r="DI37" s="54">
        <v>2</v>
      </c>
      <c r="DJ37" s="54">
        <v>2</v>
      </c>
      <c r="DK37" s="54">
        <v>2</v>
      </c>
      <c r="DL37" s="54">
        <v>2</v>
      </c>
      <c r="DM37" s="54">
        <v>6</v>
      </c>
      <c r="DN37" s="54">
        <v>3</v>
      </c>
      <c r="DO37" s="54">
        <v>5</v>
      </c>
      <c r="DP37" s="54">
        <v>5</v>
      </c>
      <c r="DQ37" s="54">
        <v>3</v>
      </c>
      <c r="DR37" s="54">
        <v>4</v>
      </c>
      <c r="DS37" s="54">
        <v>4</v>
      </c>
      <c r="DT37" s="54">
        <v>5</v>
      </c>
      <c r="DU37" s="54">
        <v>3</v>
      </c>
      <c r="DV37" s="54">
        <v>3</v>
      </c>
      <c r="DW37" s="54">
        <v>4</v>
      </c>
      <c r="DX37" s="54">
        <v>2</v>
      </c>
      <c r="DY37" s="54">
        <v>2</v>
      </c>
      <c r="DZ37" s="54">
        <v>3</v>
      </c>
      <c r="EA37" s="54">
        <v>5</v>
      </c>
      <c r="EB37" s="54">
        <v>3</v>
      </c>
      <c r="EC37" s="54">
        <v>5</v>
      </c>
      <c r="ED37" s="54">
        <v>4</v>
      </c>
      <c r="EE37" s="54">
        <v>2</v>
      </c>
      <c r="EF37" s="54">
        <v>4</v>
      </c>
      <c r="EG37" s="54">
        <v>5</v>
      </c>
      <c r="EH37" s="54">
        <v>5</v>
      </c>
      <c r="EI37" s="54">
        <v>4</v>
      </c>
      <c r="EJ37" s="54">
        <v>4</v>
      </c>
      <c r="EK37" s="54">
        <v>4</v>
      </c>
      <c r="EL37" s="54">
        <v>6</v>
      </c>
      <c r="EM37" s="54">
        <v>6</v>
      </c>
      <c r="EN37" s="54">
        <v>4</v>
      </c>
      <c r="EO37" s="54">
        <v>5</v>
      </c>
      <c r="EP37" s="54">
        <v>4</v>
      </c>
      <c r="EQ37" s="54">
        <v>3</v>
      </c>
      <c r="ER37" s="54">
        <v>4</v>
      </c>
      <c r="ES37" s="54">
        <v>3</v>
      </c>
      <c r="ET37" s="54">
        <v>2</v>
      </c>
      <c r="EU37" s="54">
        <v>3</v>
      </c>
      <c r="EV37" s="54">
        <v>6</v>
      </c>
      <c r="EW37" s="54">
        <v>3</v>
      </c>
      <c r="EX37" s="54">
        <v>2</v>
      </c>
      <c r="EY37" s="54">
        <v>5</v>
      </c>
      <c r="EZ37" s="54">
        <v>2</v>
      </c>
      <c r="FA37" s="54">
        <v>2</v>
      </c>
      <c r="FB37" s="54">
        <v>3</v>
      </c>
      <c r="FC37" s="54">
        <v>3</v>
      </c>
      <c r="FD37" s="54">
        <v>3</v>
      </c>
      <c r="FE37" s="54">
        <v>3</v>
      </c>
      <c r="FF37" s="54">
        <v>4</v>
      </c>
      <c r="FG37" s="54">
        <v>3</v>
      </c>
      <c r="FH37" s="54">
        <v>2</v>
      </c>
      <c r="FI37" s="54">
        <v>3</v>
      </c>
      <c r="FJ37" s="54">
        <v>5</v>
      </c>
      <c r="FK37" s="54">
        <v>3</v>
      </c>
      <c r="FL37" s="54">
        <v>6</v>
      </c>
      <c r="FM37" s="54">
        <v>8</v>
      </c>
      <c r="FN37" s="54">
        <v>7</v>
      </c>
      <c r="FO37" s="6">
        <v>4</v>
      </c>
      <c r="FP37" s="6">
        <v>6</v>
      </c>
      <c r="FQ37" s="6">
        <v>8</v>
      </c>
      <c r="FR37" s="6">
        <v>4</v>
      </c>
      <c r="FS37" s="16">
        <v>5</v>
      </c>
      <c r="FT37" s="16">
        <v>5</v>
      </c>
      <c r="FU37" s="6">
        <v>3</v>
      </c>
      <c r="FV37" s="16">
        <v>4</v>
      </c>
      <c r="FW37" s="16">
        <v>5</v>
      </c>
      <c r="FX37" s="6">
        <v>3</v>
      </c>
      <c r="FY37" s="16">
        <v>3</v>
      </c>
      <c r="FZ37" s="16">
        <v>6</v>
      </c>
      <c r="GA37" s="6">
        <v>4</v>
      </c>
      <c r="GB37" s="16">
        <v>2</v>
      </c>
      <c r="GC37" s="16">
        <v>4</v>
      </c>
      <c r="GD37" s="6">
        <v>3</v>
      </c>
      <c r="GE37" s="16">
        <v>4</v>
      </c>
      <c r="GF37" s="16">
        <v>3</v>
      </c>
      <c r="GG37" s="6">
        <v>2</v>
      </c>
      <c r="GH37" s="16">
        <v>3</v>
      </c>
      <c r="GI37" s="16">
        <v>4</v>
      </c>
      <c r="GJ37" s="6">
        <v>4</v>
      </c>
      <c r="GK37" s="16">
        <v>6</v>
      </c>
      <c r="GL37" s="16">
        <v>8</v>
      </c>
      <c r="GM37" s="6">
        <v>5</v>
      </c>
      <c r="GN37" s="16">
        <v>8</v>
      </c>
      <c r="GO37" s="16">
        <v>5</v>
      </c>
      <c r="GP37" s="6">
        <v>3</v>
      </c>
      <c r="GQ37" s="16">
        <v>6</v>
      </c>
      <c r="GR37" s="16">
        <v>4</v>
      </c>
      <c r="GS37" s="6">
        <v>7</v>
      </c>
      <c r="GT37" s="16">
        <v>5</v>
      </c>
      <c r="GU37" s="16">
        <v>8</v>
      </c>
      <c r="GV37" s="16">
        <v>4</v>
      </c>
      <c r="GW37" s="16">
        <v>4</v>
      </c>
      <c r="GX37" s="16">
        <v>6</v>
      </c>
      <c r="GY37" s="16">
        <v>3</v>
      </c>
      <c r="GZ37" s="16">
        <v>7</v>
      </c>
      <c r="HA37" s="16">
        <v>8</v>
      </c>
      <c r="HB37" s="16">
        <v>2</v>
      </c>
      <c r="HC37" s="16">
        <v>5</v>
      </c>
      <c r="HD37" s="16">
        <v>5</v>
      </c>
      <c r="HE37" s="16">
        <v>3</v>
      </c>
      <c r="HF37" s="16">
        <v>3</v>
      </c>
      <c r="HG37" s="16">
        <v>8</v>
      </c>
      <c r="HH37" s="16">
        <v>2</v>
      </c>
      <c r="HI37" s="16">
        <v>4</v>
      </c>
      <c r="HJ37" s="16">
        <v>6</v>
      </c>
      <c r="HK37" s="16">
        <v>3</v>
      </c>
      <c r="HL37" s="16">
        <v>2</v>
      </c>
      <c r="HM37" s="16">
        <v>4</v>
      </c>
      <c r="HN37" s="16">
        <v>3</v>
      </c>
      <c r="HO37" s="16">
        <v>3</v>
      </c>
      <c r="HP37" s="16">
        <v>3</v>
      </c>
      <c r="HQ37" s="6">
        <v>6</v>
      </c>
      <c r="HR37" s="6">
        <v>2</v>
      </c>
      <c r="HS37" s="6">
        <v>2</v>
      </c>
      <c r="HT37" s="16">
        <v>3</v>
      </c>
      <c r="HU37" s="16">
        <v>3</v>
      </c>
      <c r="HV37" s="16">
        <v>3</v>
      </c>
      <c r="HW37" s="16">
        <v>4</v>
      </c>
      <c r="HX37" s="16">
        <v>4</v>
      </c>
      <c r="HY37" s="16">
        <v>5</v>
      </c>
      <c r="HZ37" s="16">
        <v>1</v>
      </c>
      <c r="IA37" s="16">
        <v>4</v>
      </c>
      <c r="IB37" s="16">
        <v>3</v>
      </c>
      <c r="IC37" s="6">
        <v>1</v>
      </c>
      <c r="ID37" s="6">
        <v>2</v>
      </c>
      <c r="IE37" s="6">
        <v>3</v>
      </c>
      <c r="IF37" s="86">
        <v>1</v>
      </c>
      <c r="IG37" s="86">
        <v>1</v>
      </c>
      <c r="IH37" s="86">
        <v>3</v>
      </c>
      <c r="II37" s="86">
        <v>4</v>
      </c>
      <c r="IJ37" s="86">
        <v>5</v>
      </c>
      <c r="IK37" s="86">
        <v>9</v>
      </c>
      <c r="IL37" s="16">
        <v>24</v>
      </c>
      <c r="IM37" s="16">
        <v>19</v>
      </c>
      <c r="IN37" s="16">
        <v>32</v>
      </c>
      <c r="IO37" s="86">
        <v>5</v>
      </c>
      <c r="IP37" s="16">
        <v>15</v>
      </c>
      <c r="IQ37" s="16">
        <v>30</v>
      </c>
      <c r="IR37" s="23">
        <v>20</v>
      </c>
      <c r="IS37" s="23">
        <v>20</v>
      </c>
      <c r="IT37" s="25">
        <v>100</v>
      </c>
      <c r="IU37" s="25">
        <v>100</v>
      </c>
      <c r="IV37" s="25">
        <v>100</v>
      </c>
      <c r="IW37" s="25">
        <v>100</v>
      </c>
      <c r="IX37" s="58">
        <f t="shared" si="0"/>
        <v>0</v>
      </c>
      <c r="IY37" s="110"/>
      <c r="IZ37" s="2"/>
      <c r="JA37" s="2"/>
      <c r="JB37" s="2"/>
      <c r="JC37" s="2"/>
    </row>
    <row r="38" spans="1:263" ht="17.25" customHeight="1">
      <c r="A38" s="55">
        <v>31</v>
      </c>
      <c r="B38" s="52" t="s">
        <v>122</v>
      </c>
      <c r="C38" s="109">
        <v>90</v>
      </c>
      <c r="D38" s="109">
        <v>110</v>
      </c>
      <c r="E38" s="133">
        <v>110</v>
      </c>
      <c r="F38" s="135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4"/>
      <c r="EO38" s="54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4"/>
      <c r="FA38" s="54"/>
      <c r="FB38" s="54"/>
      <c r="FC38" s="54"/>
      <c r="FD38" s="54"/>
      <c r="FE38" s="54"/>
      <c r="FF38" s="54"/>
      <c r="FG38" s="54"/>
      <c r="FH38" s="54"/>
      <c r="FI38" s="54"/>
      <c r="FJ38" s="54"/>
      <c r="FK38" s="54"/>
      <c r="FL38" s="54"/>
      <c r="FM38" s="54"/>
      <c r="FN38" s="54"/>
      <c r="FO38" s="54"/>
      <c r="FP38" s="54"/>
      <c r="FQ38" s="54"/>
      <c r="FR38" s="54"/>
      <c r="FS38" s="54"/>
      <c r="FT38" s="54"/>
      <c r="FU38" s="54"/>
      <c r="FV38" s="54"/>
      <c r="FW38" s="54"/>
      <c r="FX38" s="54"/>
      <c r="FY38" s="54"/>
      <c r="FZ38" s="54"/>
      <c r="GA38" s="54"/>
      <c r="GB38" s="54"/>
      <c r="GC38" s="54"/>
      <c r="GD38" s="54"/>
      <c r="GE38" s="54"/>
      <c r="GF38" s="54"/>
      <c r="GG38" s="54"/>
      <c r="GH38" s="54"/>
      <c r="GI38" s="54"/>
      <c r="GJ38" s="54"/>
      <c r="GK38" s="54"/>
      <c r="GL38" s="54"/>
      <c r="GM38" s="54"/>
      <c r="GN38" s="54"/>
      <c r="GO38" s="54"/>
      <c r="GP38" s="54"/>
      <c r="GQ38" s="54"/>
      <c r="GR38" s="54"/>
      <c r="GS38" s="54"/>
      <c r="GT38" s="54"/>
      <c r="GU38" s="54"/>
      <c r="GV38" s="54"/>
      <c r="GW38" s="54"/>
      <c r="GX38" s="54"/>
      <c r="GY38" s="54"/>
      <c r="GZ38" s="54"/>
      <c r="HA38" s="54"/>
      <c r="HB38" s="54"/>
      <c r="HC38" s="54"/>
      <c r="HD38" s="54"/>
      <c r="HE38" s="54"/>
      <c r="HF38" s="54"/>
      <c r="HG38" s="54"/>
      <c r="HH38" s="54"/>
      <c r="HI38" s="54"/>
      <c r="HJ38" s="54"/>
      <c r="HK38" s="54"/>
      <c r="HL38" s="54"/>
      <c r="HM38" s="54"/>
      <c r="HN38" s="54"/>
      <c r="HO38" s="54"/>
      <c r="HP38" s="54"/>
      <c r="HQ38" s="54"/>
      <c r="HR38" s="54"/>
      <c r="HS38" s="54"/>
      <c r="HT38" s="54"/>
      <c r="HU38" s="54"/>
      <c r="HV38" s="54"/>
      <c r="HW38" s="54"/>
      <c r="HX38" s="54"/>
      <c r="HY38" s="54"/>
      <c r="HZ38" s="54"/>
      <c r="IA38" s="54"/>
      <c r="IB38" s="54"/>
      <c r="IC38" s="54"/>
      <c r="ID38" s="54"/>
      <c r="IE38" s="54"/>
      <c r="IF38" s="54"/>
      <c r="IG38" s="54"/>
      <c r="IH38" s="54"/>
      <c r="II38" s="54"/>
      <c r="IJ38" s="54"/>
      <c r="IK38" s="54"/>
      <c r="IL38" s="54"/>
      <c r="IM38" s="54"/>
      <c r="IN38" s="54"/>
      <c r="IO38" s="54"/>
      <c r="IP38" s="54"/>
      <c r="IQ38" s="54">
        <v>17</v>
      </c>
      <c r="IR38" s="140">
        <v>16</v>
      </c>
      <c r="IS38" s="140">
        <v>14</v>
      </c>
      <c r="IT38" s="140">
        <v>18</v>
      </c>
      <c r="IU38" s="140">
        <v>20</v>
      </c>
      <c r="IV38" s="140">
        <v>26</v>
      </c>
      <c r="IW38" s="140">
        <v>30</v>
      </c>
      <c r="IX38" s="58">
        <f t="shared" si="0"/>
        <v>-4</v>
      </c>
      <c r="IY38" s="138"/>
    </row>
    <row r="39" spans="1:263" ht="15" customHeight="1">
      <c r="A39" s="55">
        <v>32</v>
      </c>
      <c r="B39" s="52" t="s">
        <v>123</v>
      </c>
      <c r="C39" s="139">
        <v>600</v>
      </c>
      <c r="D39" s="139">
        <v>880</v>
      </c>
      <c r="E39" s="140">
        <v>880</v>
      </c>
      <c r="F39" s="135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  <c r="CC39" s="137"/>
      <c r="CD39" s="137"/>
      <c r="CE39" s="137"/>
      <c r="CF39" s="137"/>
      <c r="CG39" s="137"/>
      <c r="CH39" s="137"/>
      <c r="CI39" s="137"/>
      <c r="CJ39" s="137"/>
      <c r="CK39" s="137"/>
      <c r="CL39" s="137"/>
      <c r="CM39" s="137"/>
      <c r="CN39" s="137"/>
      <c r="CO39" s="137"/>
      <c r="CP39" s="137"/>
      <c r="CQ39" s="137"/>
      <c r="CR39" s="137"/>
      <c r="CS39" s="137"/>
      <c r="CT39" s="137"/>
      <c r="CU39" s="137"/>
      <c r="CV39" s="137"/>
      <c r="CW39" s="137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  <c r="FK39" s="54"/>
      <c r="FL39" s="54"/>
      <c r="FM39" s="54"/>
      <c r="FN39" s="54"/>
      <c r="FO39" s="54"/>
      <c r="FP39" s="54"/>
      <c r="FQ39" s="54"/>
      <c r="FR39" s="54"/>
      <c r="FS39" s="54"/>
      <c r="FT39" s="54"/>
      <c r="FU39" s="54"/>
      <c r="FV39" s="54"/>
      <c r="FW39" s="54"/>
      <c r="FX39" s="54"/>
      <c r="FY39" s="54"/>
      <c r="FZ39" s="54"/>
      <c r="GA39" s="54"/>
      <c r="GB39" s="54"/>
      <c r="GC39" s="54"/>
      <c r="GD39" s="54"/>
      <c r="GE39" s="54"/>
      <c r="GF39" s="54"/>
      <c r="GG39" s="54"/>
      <c r="GH39" s="54"/>
      <c r="GI39" s="54"/>
      <c r="GJ39" s="54"/>
      <c r="GK39" s="54"/>
      <c r="GL39" s="54"/>
      <c r="GM39" s="54"/>
      <c r="GN39" s="54"/>
      <c r="GO39" s="54"/>
      <c r="GP39" s="54"/>
      <c r="GQ39" s="54"/>
      <c r="GR39" s="54"/>
      <c r="GS39" s="54"/>
      <c r="GT39" s="54"/>
      <c r="GU39" s="54"/>
      <c r="GV39" s="54"/>
      <c r="GW39" s="54"/>
      <c r="GX39" s="54"/>
      <c r="GY39" s="54"/>
      <c r="GZ39" s="54"/>
      <c r="HA39" s="54"/>
      <c r="HB39" s="54"/>
      <c r="HC39" s="54"/>
      <c r="HD39" s="54"/>
      <c r="HE39" s="54"/>
      <c r="HF39" s="54"/>
      <c r="HG39" s="54"/>
      <c r="HH39" s="54"/>
      <c r="HI39" s="54"/>
      <c r="HJ39" s="54"/>
      <c r="HK39" s="54"/>
      <c r="HL39" s="54"/>
      <c r="HM39" s="54"/>
      <c r="HN39" s="54"/>
      <c r="HO39" s="54"/>
      <c r="HP39" s="54"/>
      <c r="HQ39" s="54"/>
      <c r="HR39" s="54"/>
      <c r="HS39" s="54"/>
      <c r="HT39" s="54"/>
      <c r="HU39" s="54"/>
      <c r="HV39" s="54"/>
      <c r="HW39" s="54"/>
      <c r="HX39" s="54"/>
      <c r="HY39" s="54"/>
      <c r="HZ39" s="54"/>
      <c r="IA39" s="54"/>
      <c r="IB39" s="54"/>
      <c r="IC39" s="54"/>
      <c r="ID39" s="54"/>
      <c r="IE39" s="54"/>
      <c r="IF39" s="54"/>
      <c r="IG39" s="54"/>
      <c r="IH39" s="54"/>
      <c r="II39" s="54"/>
      <c r="IJ39" s="54"/>
      <c r="IK39" s="54"/>
      <c r="IL39" s="54"/>
      <c r="IM39" s="54"/>
      <c r="IN39" s="54"/>
      <c r="IO39" s="54"/>
      <c r="IP39" s="54"/>
      <c r="IQ39" s="54">
        <v>5</v>
      </c>
      <c r="IR39" s="152">
        <v>5</v>
      </c>
      <c r="IS39" s="152">
        <v>5</v>
      </c>
      <c r="IT39" s="155">
        <v>100</v>
      </c>
      <c r="IU39" s="155">
        <v>100</v>
      </c>
      <c r="IV39" s="155">
        <v>100</v>
      </c>
      <c r="IW39" s="155">
        <v>100</v>
      </c>
      <c r="IX39" s="58">
        <f t="shared" si="0"/>
        <v>0</v>
      </c>
      <c r="IY39" s="138"/>
    </row>
    <row r="40" spans="1:263" ht="15" customHeight="1">
      <c r="A40" s="55">
        <v>33</v>
      </c>
      <c r="B40" s="52" t="s">
        <v>124</v>
      </c>
      <c r="C40" s="139">
        <v>90</v>
      </c>
      <c r="D40" s="139">
        <v>110</v>
      </c>
      <c r="E40" s="140">
        <v>110</v>
      </c>
      <c r="F40" s="135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7"/>
      <c r="CR40" s="137"/>
      <c r="CS40" s="137"/>
      <c r="CT40" s="137"/>
      <c r="CU40" s="137"/>
      <c r="CV40" s="137"/>
      <c r="CW40" s="137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4"/>
      <c r="EO40" s="54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4"/>
      <c r="FA40" s="54"/>
      <c r="FB40" s="54"/>
      <c r="FC40" s="54"/>
      <c r="FD40" s="54"/>
      <c r="FE40" s="54"/>
      <c r="FF40" s="54"/>
      <c r="FG40" s="54"/>
      <c r="FH40" s="54"/>
      <c r="FI40" s="54"/>
      <c r="FJ40" s="54"/>
      <c r="FK40" s="54"/>
      <c r="FL40" s="54"/>
      <c r="FM40" s="54"/>
      <c r="FN40" s="54"/>
      <c r="FO40" s="54"/>
      <c r="FP40" s="54"/>
      <c r="FQ40" s="54"/>
      <c r="FR40" s="54"/>
      <c r="FS40" s="54"/>
      <c r="FT40" s="54"/>
      <c r="FU40" s="54"/>
      <c r="FV40" s="54"/>
      <c r="FW40" s="54"/>
      <c r="FX40" s="54"/>
      <c r="FY40" s="54"/>
      <c r="FZ40" s="54"/>
      <c r="GA40" s="54"/>
      <c r="GB40" s="54"/>
      <c r="GC40" s="54"/>
      <c r="GD40" s="54"/>
      <c r="GE40" s="54"/>
      <c r="GF40" s="54"/>
      <c r="GG40" s="54"/>
      <c r="GH40" s="54"/>
      <c r="GI40" s="54"/>
      <c r="GJ40" s="54"/>
      <c r="GK40" s="54"/>
      <c r="GL40" s="54"/>
      <c r="GM40" s="54"/>
      <c r="GN40" s="54"/>
      <c r="GO40" s="54"/>
      <c r="GP40" s="54"/>
      <c r="GQ40" s="54"/>
      <c r="GR40" s="54"/>
      <c r="GS40" s="54"/>
      <c r="GT40" s="54"/>
      <c r="GU40" s="54"/>
      <c r="GV40" s="54"/>
      <c r="GW40" s="54"/>
      <c r="GX40" s="54"/>
      <c r="GY40" s="54"/>
      <c r="GZ40" s="54"/>
      <c r="HA40" s="54"/>
      <c r="HB40" s="54"/>
      <c r="HC40" s="54"/>
      <c r="HD40" s="54"/>
      <c r="HE40" s="54"/>
      <c r="HF40" s="54"/>
      <c r="HG40" s="54"/>
      <c r="HH40" s="54"/>
      <c r="HI40" s="54"/>
      <c r="HJ40" s="54"/>
      <c r="HK40" s="54"/>
      <c r="HL40" s="54"/>
      <c r="HM40" s="54"/>
      <c r="HN40" s="54"/>
      <c r="HO40" s="54"/>
      <c r="HP40" s="54"/>
      <c r="HQ40" s="54"/>
      <c r="HR40" s="54"/>
      <c r="HS40" s="54"/>
      <c r="HT40" s="54"/>
      <c r="HU40" s="54"/>
      <c r="HV40" s="54"/>
      <c r="HW40" s="54"/>
      <c r="HX40" s="54"/>
      <c r="HY40" s="54"/>
      <c r="HZ40" s="54"/>
      <c r="IA40" s="54"/>
      <c r="IB40" s="54"/>
      <c r="IC40" s="54"/>
      <c r="ID40" s="54"/>
      <c r="IE40" s="54"/>
      <c r="IF40" s="54"/>
      <c r="IG40" s="54"/>
      <c r="IH40" s="54"/>
      <c r="II40" s="54"/>
      <c r="IJ40" s="54"/>
      <c r="IK40" s="54"/>
      <c r="IL40" s="54"/>
      <c r="IM40" s="54"/>
      <c r="IN40" s="54"/>
      <c r="IO40" s="54"/>
      <c r="IP40" s="54"/>
      <c r="IQ40" s="54">
        <v>7</v>
      </c>
      <c r="IR40" s="147">
        <v>7</v>
      </c>
      <c r="IS40" s="147">
        <v>6</v>
      </c>
      <c r="IT40" s="147">
        <v>9</v>
      </c>
      <c r="IU40" s="147">
        <v>10</v>
      </c>
      <c r="IV40" s="156">
        <v>11</v>
      </c>
      <c r="IW40" s="156">
        <v>20</v>
      </c>
      <c r="IX40" s="58">
        <f t="shared" si="0"/>
        <v>-9</v>
      </c>
      <c r="IY40" s="138"/>
    </row>
    <row r="41" spans="1:263" ht="15" customHeight="1">
      <c r="A41" s="55">
        <v>34</v>
      </c>
      <c r="B41" s="52" t="s">
        <v>125</v>
      </c>
      <c r="C41" s="6">
        <v>140</v>
      </c>
      <c r="D41" s="6">
        <v>110</v>
      </c>
      <c r="E41" s="24">
        <v>390</v>
      </c>
      <c r="F41" s="135" t="s">
        <v>126</v>
      </c>
      <c r="G41" s="54"/>
      <c r="H41" s="54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J41" s="137"/>
      <c r="CK41" s="137"/>
      <c r="CL41" s="137"/>
      <c r="CM41" s="137"/>
      <c r="CN41" s="137"/>
      <c r="CO41" s="137"/>
      <c r="CP41" s="137"/>
      <c r="CQ41" s="137"/>
      <c r="CR41" s="137"/>
      <c r="CS41" s="137"/>
      <c r="CT41" s="137"/>
      <c r="CU41" s="137"/>
      <c r="CV41" s="137"/>
      <c r="CW41" s="137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94">
        <v>58</v>
      </c>
      <c r="EC41" s="54"/>
      <c r="ED41" s="54"/>
      <c r="EE41" s="94">
        <v>64</v>
      </c>
      <c r="EF41" s="54"/>
      <c r="EG41" s="54"/>
      <c r="EH41" s="94">
        <v>61</v>
      </c>
      <c r="EI41" s="54"/>
      <c r="EJ41" s="54"/>
      <c r="EK41" s="94">
        <v>59</v>
      </c>
      <c r="EL41" s="54"/>
      <c r="EM41" s="54"/>
      <c r="EN41" s="94">
        <v>64</v>
      </c>
      <c r="EO41" s="54"/>
      <c r="EP41" s="54"/>
      <c r="EQ41" s="94">
        <v>68</v>
      </c>
      <c r="ER41" s="54"/>
      <c r="ES41" s="54"/>
      <c r="ET41" s="94">
        <v>63</v>
      </c>
      <c r="EU41" s="54"/>
      <c r="EV41" s="54"/>
      <c r="EW41" s="94">
        <v>52</v>
      </c>
      <c r="EX41" s="54"/>
      <c r="EY41" s="54"/>
      <c r="EZ41" s="94">
        <v>58</v>
      </c>
      <c r="FA41" s="54"/>
      <c r="FB41" s="54"/>
      <c r="FC41" s="16">
        <v>55</v>
      </c>
      <c r="FD41" s="54"/>
      <c r="FE41" s="54"/>
      <c r="FF41" s="16"/>
      <c r="FG41" s="54"/>
      <c r="FH41" s="54"/>
      <c r="FI41" s="16"/>
      <c r="FJ41" s="54"/>
      <c r="FK41" s="54"/>
      <c r="FL41" s="16"/>
      <c r="FM41" s="54"/>
      <c r="FN41" s="54"/>
      <c r="FO41" s="16"/>
      <c r="FP41" s="54"/>
      <c r="FQ41" s="54"/>
      <c r="FR41" s="16"/>
      <c r="FS41" s="54"/>
      <c r="FT41" s="54"/>
      <c r="FU41" s="16"/>
      <c r="FV41" s="54"/>
      <c r="FW41" s="54"/>
      <c r="FX41" s="16"/>
      <c r="FY41" s="54"/>
      <c r="FZ41" s="54"/>
      <c r="GA41" s="16"/>
      <c r="GB41" s="54"/>
      <c r="GC41" s="54"/>
      <c r="GD41" s="16"/>
      <c r="GE41" s="54"/>
      <c r="GF41" s="54"/>
      <c r="GG41" s="6"/>
      <c r="GH41" s="54"/>
      <c r="GI41" s="54"/>
      <c r="GJ41" s="16"/>
      <c r="GK41" s="54"/>
      <c r="GL41" s="54"/>
      <c r="GM41" s="16">
        <v>82</v>
      </c>
      <c r="GN41" s="54"/>
      <c r="GO41" s="54"/>
      <c r="GP41" s="16">
        <v>74</v>
      </c>
      <c r="GQ41" s="54"/>
      <c r="GR41" s="54"/>
      <c r="GS41" s="16">
        <v>62</v>
      </c>
      <c r="GT41" s="54"/>
      <c r="GU41" s="54"/>
      <c r="GV41" s="16">
        <v>93</v>
      </c>
      <c r="GW41" s="54"/>
      <c r="GX41" s="54"/>
      <c r="GY41" s="16"/>
      <c r="GZ41" s="54"/>
      <c r="HA41" s="54"/>
      <c r="HB41" s="16"/>
      <c r="HC41" s="54"/>
      <c r="HD41" s="54"/>
      <c r="HE41" s="16"/>
      <c r="HF41" s="54"/>
      <c r="HG41" s="54"/>
      <c r="HH41" s="16"/>
      <c r="HI41" s="54"/>
      <c r="HJ41" s="54"/>
      <c r="HK41" s="16"/>
      <c r="HL41" s="54"/>
      <c r="HM41" s="54"/>
      <c r="HN41" s="16"/>
      <c r="HO41" s="54"/>
      <c r="HP41" s="54"/>
      <c r="HQ41" s="16"/>
      <c r="HR41" s="16"/>
      <c r="HS41" s="16"/>
      <c r="HT41" s="16"/>
      <c r="HU41" s="16"/>
      <c r="HV41" s="16"/>
      <c r="HW41" s="16">
        <v>97</v>
      </c>
      <c r="HX41" s="16"/>
      <c r="HY41" s="16"/>
      <c r="HZ41" s="16"/>
      <c r="IA41" s="16"/>
      <c r="IB41" s="16"/>
      <c r="IC41" s="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>
        <v>74</v>
      </c>
      <c r="IQ41" s="16">
        <v>62</v>
      </c>
      <c r="IR41" s="23">
        <v>62</v>
      </c>
      <c r="IS41" s="23">
        <v>62</v>
      </c>
      <c r="IT41" s="25">
        <v>100</v>
      </c>
      <c r="IU41" s="25">
        <v>100</v>
      </c>
      <c r="IV41" s="25">
        <v>100</v>
      </c>
      <c r="IW41" s="25">
        <v>100</v>
      </c>
      <c r="IX41" s="58">
        <f t="shared" si="0"/>
        <v>0</v>
      </c>
      <c r="IY41" s="138"/>
    </row>
    <row r="42" spans="1:263" ht="15" customHeight="1">
      <c r="A42" s="55">
        <v>35</v>
      </c>
      <c r="B42" s="52" t="s">
        <v>127</v>
      </c>
      <c r="C42" s="6">
        <v>50</v>
      </c>
      <c r="D42" s="6">
        <v>50</v>
      </c>
      <c r="E42" s="24">
        <v>70</v>
      </c>
      <c r="F42" s="135">
        <v>85</v>
      </c>
      <c r="G42" s="54"/>
      <c r="H42" s="54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  <c r="CC42" s="137"/>
      <c r="CD42" s="137"/>
      <c r="CE42" s="137"/>
      <c r="CF42" s="137"/>
      <c r="CG42" s="137"/>
      <c r="CH42" s="137"/>
      <c r="CI42" s="137"/>
      <c r="CJ42" s="137"/>
      <c r="CK42" s="137"/>
      <c r="CL42" s="137"/>
      <c r="CM42" s="137"/>
      <c r="CN42" s="137"/>
      <c r="CO42" s="137"/>
      <c r="CP42" s="137"/>
      <c r="CQ42" s="137"/>
      <c r="CR42" s="137"/>
      <c r="CS42" s="137"/>
      <c r="CT42" s="137"/>
      <c r="CU42" s="137"/>
      <c r="CV42" s="137"/>
      <c r="CW42" s="137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94">
        <v>49</v>
      </c>
      <c r="EC42" s="54"/>
      <c r="ED42" s="54"/>
      <c r="EE42" s="94">
        <v>54</v>
      </c>
      <c r="EF42" s="54"/>
      <c r="EG42" s="54"/>
      <c r="EH42" s="94">
        <v>58</v>
      </c>
      <c r="EI42" s="54"/>
      <c r="EJ42" s="54"/>
      <c r="EK42" s="94">
        <v>64</v>
      </c>
      <c r="EL42" s="54"/>
      <c r="EM42" s="54"/>
      <c r="EN42" s="94">
        <v>63</v>
      </c>
      <c r="EO42" s="54"/>
      <c r="EP42" s="54"/>
      <c r="EQ42" s="94">
        <v>62</v>
      </c>
      <c r="ER42" s="54"/>
      <c r="ES42" s="54"/>
      <c r="ET42" s="94">
        <v>56</v>
      </c>
      <c r="EU42" s="54"/>
      <c r="EV42" s="54"/>
      <c r="EW42" s="94">
        <v>52</v>
      </c>
      <c r="EX42" s="54"/>
      <c r="EY42" s="54"/>
      <c r="EZ42" s="94">
        <v>44</v>
      </c>
      <c r="FA42" s="54"/>
      <c r="FB42" s="54"/>
      <c r="FC42" s="94"/>
      <c r="FD42" s="54"/>
      <c r="FE42" s="54"/>
      <c r="FF42" s="94"/>
      <c r="FG42" s="54"/>
      <c r="FH42" s="54"/>
      <c r="FI42" s="94"/>
      <c r="FJ42" s="54"/>
      <c r="FK42" s="54"/>
      <c r="FL42" s="94"/>
      <c r="FM42" s="54"/>
      <c r="FN42" s="54"/>
      <c r="FO42" s="94">
        <v>58</v>
      </c>
      <c r="FP42" s="54"/>
      <c r="FQ42" s="54"/>
      <c r="FR42" s="94">
        <v>58</v>
      </c>
      <c r="FS42" s="54"/>
      <c r="FT42" s="54"/>
      <c r="FU42" s="94">
        <v>55</v>
      </c>
      <c r="FV42" s="54"/>
      <c r="FW42" s="54"/>
      <c r="FX42" s="94">
        <v>54</v>
      </c>
      <c r="FY42" s="54"/>
      <c r="FZ42" s="54"/>
      <c r="GA42" s="94">
        <v>55</v>
      </c>
      <c r="GB42" s="54"/>
      <c r="GC42" s="54"/>
      <c r="GD42" s="94">
        <v>49</v>
      </c>
      <c r="GE42" s="54"/>
      <c r="GF42" s="54"/>
      <c r="GG42" s="94">
        <v>52</v>
      </c>
      <c r="GH42" s="54"/>
      <c r="GI42" s="54"/>
      <c r="GJ42" s="94">
        <v>53</v>
      </c>
      <c r="GK42" s="54"/>
      <c r="GL42" s="54"/>
      <c r="GM42" s="94">
        <v>67</v>
      </c>
      <c r="GN42" s="54"/>
      <c r="GO42" s="54"/>
      <c r="GP42" s="94">
        <v>75</v>
      </c>
      <c r="GQ42" s="54"/>
      <c r="GR42" s="54"/>
      <c r="GS42" s="94">
        <v>70</v>
      </c>
      <c r="GT42" s="54"/>
      <c r="GU42" s="54"/>
      <c r="GV42" s="94">
        <v>89</v>
      </c>
      <c r="GW42" s="54"/>
      <c r="GX42" s="54"/>
      <c r="GY42" s="94">
        <v>80</v>
      </c>
      <c r="GZ42" s="54"/>
      <c r="HA42" s="54"/>
      <c r="HB42" s="94">
        <v>74</v>
      </c>
      <c r="HC42" s="54"/>
      <c r="HD42" s="54"/>
      <c r="HE42" s="94">
        <v>69</v>
      </c>
      <c r="HF42" s="54"/>
      <c r="HG42" s="54"/>
      <c r="HH42" s="94">
        <v>63</v>
      </c>
      <c r="HI42" s="54"/>
      <c r="HJ42" s="54"/>
      <c r="HK42" s="94"/>
      <c r="HL42" s="54"/>
      <c r="HM42" s="54"/>
      <c r="HN42" s="94"/>
      <c r="HO42" s="54"/>
      <c r="HP42" s="54"/>
      <c r="HQ42" s="94"/>
      <c r="HR42" s="16"/>
      <c r="HS42" s="16"/>
      <c r="HT42" s="94">
        <v>42</v>
      </c>
      <c r="HU42" s="16"/>
      <c r="HV42" s="16"/>
      <c r="HW42" s="16"/>
      <c r="HX42" s="16"/>
      <c r="HY42" s="16"/>
      <c r="HZ42" s="16"/>
      <c r="IA42" s="16"/>
      <c r="IB42" s="16"/>
      <c r="IC42" s="6">
        <v>81</v>
      </c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23"/>
      <c r="IS42" s="25">
        <v>100</v>
      </c>
      <c r="IT42" s="25">
        <v>100</v>
      </c>
      <c r="IU42" s="25">
        <v>100</v>
      </c>
      <c r="IV42" s="25">
        <v>100</v>
      </c>
      <c r="IW42" s="25">
        <v>100</v>
      </c>
      <c r="IX42" s="58">
        <f t="shared" si="0"/>
        <v>0</v>
      </c>
      <c r="IY42" s="138"/>
    </row>
    <row r="43" spans="1:263" ht="15" customHeight="1">
      <c r="A43" s="55">
        <v>36</v>
      </c>
      <c r="B43" s="52" t="s">
        <v>128</v>
      </c>
      <c r="C43" s="8">
        <v>40</v>
      </c>
      <c r="D43" s="6">
        <v>90</v>
      </c>
      <c r="E43" s="24">
        <v>590</v>
      </c>
      <c r="F43" s="135" t="s">
        <v>126</v>
      </c>
      <c r="G43" s="54"/>
      <c r="H43" s="54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  <c r="CC43" s="137"/>
      <c r="CD43" s="137"/>
      <c r="CE43" s="137"/>
      <c r="CF43" s="137"/>
      <c r="CG43" s="137"/>
      <c r="CH43" s="137"/>
      <c r="CI43" s="137"/>
      <c r="CJ43" s="137"/>
      <c r="CK43" s="137"/>
      <c r="CL43" s="137"/>
      <c r="CM43" s="137"/>
      <c r="CN43" s="137"/>
      <c r="CO43" s="137"/>
      <c r="CP43" s="137"/>
      <c r="CQ43" s="137"/>
      <c r="CR43" s="137"/>
      <c r="CS43" s="137"/>
      <c r="CT43" s="137"/>
      <c r="CU43" s="137"/>
      <c r="CV43" s="137"/>
      <c r="CW43" s="137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94"/>
      <c r="EC43" s="54"/>
      <c r="ED43" s="54"/>
      <c r="EE43" s="94"/>
      <c r="EF43" s="54"/>
      <c r="EG43" s="54"/>
      <c r="EH43" s="94"/>
      <c r="EI43" s="54"/>
      <c r="EJ43" s="54"/>
      <c r="EK43" s="94"/>
      <c r="EL43" s="54"/>
      <c r="EM43" s="54"/>
      <c r="EN43" s="94"/>
      <c r="EO43" s="54"/>
      <c r="EP43" s="54"/>
      <c r="EQ43" s="94"/>
      <c r="ER43" s="54"/>
      <c r="ES43" s="54"/>
      <c r="ET43" s="94"/>
      <c r="EU43" s="54"/>
      <c r="EV43" s="54"/>
      <c r="EW43" s="94"/>
      <c r="EX43" s="54"/>
      <c r="EY43" s="54"/>
      <c r="EZ43" s="94"/>
      <c r="FA43" s="54"/>
      <c r="FB43" s="54"/>
      <c r="FC43" s="94"/>
      <c r="FD43" s="54"/>
      <c r="FE43" s="54"/>
      <c r="FF43" s="94"/>
      <c r="FG43" s="54"/>
      <c r="FH43" s="54"/>
      <c r="FI43" s="94"/>
      <c r="FJ43" s="54"/>
      <c r="FK43" s="54"/>
      <c r="FL43" s="94"/>
      <c r="FM43" s="54"/>
      <c r="FN43" s="54"/>
      <c r="FO43" s="94">
        <v>48</v>
      </c>
      <c r="FP43" s="54"/>
      <c r="FQ43" s="54"/>
      <c r="FR43" s="94">
        <v>48</v>
      </c>
      <c r="FS43" s="54"/>
      <c r="FT43" s="54"/>
      <c r="FU43" s="94">
        <v>43</v>
      </c>
      <c r="FV43" s="54"/>
      <c r="FW43" s="54"/>
      <c r="FX43" s="94">
        <v>40</v>
      </c>
      <c r="FY43" s="54"/>
      <c r="FZ43" s="54"/>
      <c r="GA43" s="94">
        <v>46</v>
      </c>
      <c r="GB43" s="54"/>
      <c r="GC43" s="54"/>
      <c r="GD43" s="94">
        <v>39</v>
      </c>
      <c r="GE43" s="54"/>
      <c r="GF43" s="54"/>
      <c r="GG43" s="94">
        <v>35</v>
      </c>
      <c r="GH43" s="54"/>
      <c r="GI43" s="54"/>
      <c r="GJ43" s="94">
        <v>32</v>
      </c>
      <c r="GK43" s="54"/>
      <c r="GL43" s="54"/>
      <c r="GM43" s="94">
        <v>62</v>
      </c>
      <c r="GN43" s="54"/>
      <c r="GO43" s="54"/>
      <c r="GP43" s="94">
        <v>62</v>
      </c>
      <c r="GQ43" s="54"/>
      <c r="GR43" s="54"/>
      <c r="GS43" s="94">
        <v>68</v>
      </c>
      <c r="GT43" s="54"/>
      <c r="GU43" s="54"/>
      <c r="GV43" s="94">
        <v>37</v>
      </c>
      <c r="GW43" s="54"/>
      <c r="GX43" s="54"/>
      <c r="GY43" s="94">
        <v>44</v>
      </c>
      <c r="GZ43" s="54"/>
      <c r="HA43" s="54"/>
      <c r="HB43" s="94">
        <v>84</v>
      </c>
      <c r="HC43" s="54"/>
      <c r="HD43" s="54"/>
      <c r="HE43" s="94">
        <v>83</v>
      </c>
      <c r="HF43" s="54"/>
      <c r="HG43" s="54"/>
      <c r="HH43" s="94">
        <v>89</v>
      </c>
      <c r="HI43" s="54"/>
      <c r="HJ43" s="54"/>
      <c r="HK43" s="94">
        <v>83</v>
      </c>
      <c r="HL43" s="54"/>
      <c r="HM43" s="54"/>
      <c r="HN43" s="94">
        <v>78</v>
      </c>
      <c r="HO43" s="54"/>
      <c r="HP43" s="54"/>
      <c r="HQ43" s="94">
        <v>60</v>
      </c>
      <c r="HR43" s="16"/>
      <c r="HS43" s="16"/>
      <c r="HT43" s="94"/>
      <c r="HU43" s="16"/>
      <c r="HV43" s="16"/>
      <c r="HW43" s="16"/>
      <c r="HX43" s="16"/>
      <c r="HY43" s="16"/>
      <c r="HZ43" s="16"/>
      <c r="IA43" s="16"/>
      <c r="IB43" s="16"/>
      <c r="IC43" s="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23">
        <v>61</v>
      </c>
      <c r="IS43" s="23">
        <v>61</v>
      </c>
      <c r="IT43" s="23">
        <v>61</v>
      </c>
      <c r="IU43" s="25">
        <v>100</v>
      </c>
      <c r="IV43" s="25">
        <v>100</v>
      </c>
      <c r="IW43" s="25">
        <v>100</v>
      </c>
      <c r="IX43" s="58">
        <f t="shared" si="0"/>
        <v>0</v>
      </c>
      <c r="IY43" s="138"/>
    </row>
    <row r="44" spans="1:263" ht="15" customHeight="1">
      <c r="A44" s="55">
        <v>37</v>
      </c>
      <c r="B44" s="52" t="s">
        <v>129</v>
      </c>
      <c r="C44" s="6">
        <v>10</v>
      </c>
      <c r="D44" s="6">
        <v>20</v>
      </c>
      <c r="E44" s="24">
        <v>10</v>
      </c>
      <c r="F44" s="135">
        <v>26</v>
      </c>
      <c r="G44" s="54"/>
      <c r="H44" s="54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  <c r="CC44" s="137"/>
      <c r="CD44" s="137"/>
      <c r="CE44" s="137"/>
      <c r="CF44" s="137"/>
      <c r="CG44" s="137"/>
      <c r="CH44" s="137"/>
      <c r="CI44" s="137"/>
      <c r="CJ44" s="137"/>
      <c r="CK44" s="137"/>
      <c r="CL44" s="137"/>
      <c r="CM44" s="137"/>
      <c r="CN44" s="137"/>
      <c r="CO44" s="137"/>
      <c r="CP44" s="137"/>
      <c r="CQ44" s="137"/>
      <c r="CR44" s="137"/>
      <c r="CS44" s="137"/>
      <c r="CT44" s="137"/>
      <c r="CU44" s="137"/>
      <c r="CV44" s="137"/>
      <c r="CW44" s="137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94">
        <v>16</v>
      </c>
      <c r="EC44" s="54"/>
      <c r="ED44" s="54"/>
      <c r="EE44" s="94">
        <v>8</v>
      </c>
      <c r="EF44" s="54"/>
      <c r="EG44" s="54"/>
      <c r="EH44" s="94">
        <v>6</v>
      </c>
      <c r="EI44" s="54"/>
      <c r="EJ44" s="54"/>
      <c r="EK44" s="94">
        <v>9</v>
      </c>
      <c r="EL44" s="54"/>
      <c r="EM44" s="54"/>
      <c r="EN44" s="94">
        <v>8</v>
      </c>
      <c r="EO44" s="54"/>
      <c r="EP44" s="54"/>
      <c r="EQ44" s="94">
        <v>9</v>
      </c>
      <c r="ER44" s="54"/>
      <c r="ES44" s="54"/>
      <c r="ET44" s="94">
        <v>6</v>
      </c>
      <c r="EU44" s="54"/>
      <c r="EV44" s="54"/>
      <c r="EW44" s="94">
        <v>44</v>
      </c>
      <c r="EX44" s="54"/>
      <c r="EY44" s="54"/>
      <c r="EZ44" s="94">
        <v>26</v>
      </c>
      <c r="FA44" s="54"/>
      <c r="FB44" s="54"/>
      <c r="FC44" s="94">
        <v>22</v>
      </c>
      <c r="FD44" s="54"/>
      <c r="FE44" s="54"/>
      <c r="FF44" s="94">
        <v>9</v>
      </c>
      <c r="FG44" s="54"/>
      <c r="FH44" s="54"/>
      <c r="FI44" s="94">
        <v>6</v>
      </c>
      <c r="FJ44" s="54"/>
      <c r="FK44" s="54"/>
      <c r="FL44" s="94">
        <v>5</v>
      </c>
      <c r="FM44" s="54"/>
      <c r="FN44" s="54"/>
      <c r="FO44" s="94">
        <v>5</v>
      </c>
      <c r="FP44" s="54"/>
      <c r="FQ44" s="54"/>
      <c r="FR44" s="94">
        <v>5</v>
      </c>
      <c r="FS44" s="54"/>
      <c r="FT44" s="54"/>
      <c r="FU44" s="94">
        <v>4</v>
      </c>
      <c r="FV44" s="54"/>
      <c r="FW44" s="54"/>
      <c r="FX44" s="94">
        <v>4</v>
      </c>
      <c r="FY44" s="54"/>
      <c r="FZ44" s="54"/>
      <c r="GA44" s="94">
        <v>5</v>
      </c>
      <c r="GB44" s="54"/>
      <c r="GC44" s="54"/>
      <c r="GD44" s="94">
        <v>3</v>
      </c>
      <c r="GE44" s="54"/>
      <c r="GF44" s="54"/>
      <c r="GG44" s="94">
        <v>5</v>
      </c>
      <c r="GH44" s="54"/>
      <c r="GI44" s="54"/>
      <c r="GJ44" s="94">
        <v>7</v>
      </c>
      <c r="GK44" s="54"/>
      <c r="GL44" s="54"/>
      <c r="GM44" s="94">
        <v>6</v>
      </c>
      <c r="GN44" s="54"/>
      <c r="GO44" s="54"/>
      <c r="GP44" s="94">
        <v>5</v>
      </c>
      <c r="GQ44" s="54"/>
      <c r="GR44" s="54"/>
      <c r="GS44" s="94">
        <v>8</v>
      </c>
      <c r="GT44" s="54"/>
      <c r="GU44" s="54"/>
      <c r="GV44" s="94">
        <v>10</v>
      </c>
      <c r="GW44" s="54"/>
      <c r="GX44" s="54"/>
      <c r="GY44" s="94">
        <v>9</v>
      </c>
      <c r="GZ44" s="54"/>
      <c r="HA44" s="54"/>
      <c r="HB44" s="94">
        <v>10</v>
      </c>
      <c r="HC44" s="54"/>
      <c r="HD44" s="54"/>
      <c r="HE44" s="94">
        <v>9</v>
      </c>
      <c r="HF44" s="54"/>
      <c r="HG44" s="54"/>
      <c r="HH44" s="94">
        <v>13</v>
      </c>
      <c r="HI44" s="54"/>
      <c r="HJ44" s="54"/>
      <c r="HK44" s="94">
        <v>18</v>
      </c>
      <c r="HL44" s="54"/>
      <c r="HM44" s="54"/>
      <c r="HN44" s="94">
        <v>22</v>
      </c>
      <c r="HO44" s="54"/>
      <c r="HP44" s="54"/>
      <c r="HQ44" s="94">
        <v>16</v>
      </c>
      <c r="HR44" s="16"/>
      <c r="HS44" s="16"/>
      <c r="HT44" s="94">
        <v>22</v>
      </c>
      <c r="HU44" s="16"/>
      <c r="HV44" s="16"/>
      <c r="HW44" s="94">
        <v>24</v>
      </c>
      <c r="HX44" s="16"/>
      <c r="HY44" s="16"/>
      <c r="HZ44" s="94">
        <v>26</v>
      </c>
      <c r="IA44" s="16"/>
      <c r="IB44" s="16"/>
      <c r="IC44" s="94">
        <v>22</v>
      </c>
      <c r="ID44" s="16"/>
      <c r="IE44" s="16"/>
      <c r="IF44" s="94">
        <v>18</v>
      </c>
      <c r="IG44" s="94">
        <v>23</v>
      </c>
      <c r="IH44" s="94">
        <v>25</v>
      </c>
      <c r="II44" s="94">
        <v>38</v>
      </c>
      <c r="IJ44" s="94">
        <v>30</v>
      </c>
      <c r="IK44" s="94">
        <v>21</v>
      </c>
      <c r="IL44" s="94">
        <v>21</v>
      </c>
      <c r="IM44" s="94">
        <v>24</v>
      </c>
      <c r="IN44" s="94">
        <v>40</v>
      </c>
      <c r="IO44" s="94">
        <v>38</v>
      </c>
      <c r="IP44" s="108">
        <v>9</v>
      </c>
      <c r="IQ44" s="94">
        <v>20</v>
      </c>
      <c r="IR44" s="148">
        <v>20</v>
      </c>
      <c r="IS44" s="148">
        <v>20</v>
      </c>
      <c r="IT44" s="148">
        <v>27</v>
      </c>
      <c r="IU44" s="148">
        <v>14</v>
      </c>
      <c r="IV44" s="148">
        <v>11</v>
      </c>
      <c r="IW44" s="148">
        <v>12</v>
      </c>
      <c r="IX44" s="58">
        <f t="shared" si="0"/>
        <v>-1</v>
      </c>
      <c r="IY44" s="138"/>
    </row>
    <row r="45" spans="1:263" ht="15" customHeight="1">
      <c r="A45" s="55">
        <v>38</v>
      </c>
      <c r="B45" s="52" t="s">
        <v>130</v>
      </c>
      <c r="C45" s="6">
        <v>10</v>
      </c>
      <c r="D45" s="6">
        <v>10</v>
      </c>
      <c r="E45" s="24">
        <v>10</v>
      </c>
      <c r="F45" s="135" t="s">
        <v>126</v>
      </c>
      <c r="G45" s="54"/>
      <c r="H45" s="54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  <c r="CC45" s="137"/>
      <c r="CD45" s="137"/>
      <c r="CE45" s="137"/>
      <c r="CF45" s="137"/>
      <c r="CG45" s="137"/>
      <c r="CH45" s="137"/>
      <c r="CI45" s="137"/>
      <c r="CJ45" s="137"/>
      <c r="CK45" s="137"/>
      <c r="CL45" s="137"/>
      <c r="CM45" s="137"/>
      <c r="CN45" s="137"/>
      <c r="CO45" s="137"/>
      <c r="CP45" s="137"/>
      <c r="CQ45" s="137"/>
      <c r="CR45" s="137"/>
      <c r="CS45" s="137"/>
      <c r="CT45" s="137"/>
      <c r="CU45" s="137"/>
      <c r="CV45" s="137"/>
      <c r="CW45" s="137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94">
        <v>13</v>
      </c>
      <c r="EC45" s="54"/>
      <c r="ED45" s="54"/>
      <c r="EE45" s="94">
        <v>16</v>
      </c>
      <c r="EF45" s="54"/>
      <c r="EG45" s="54"/>
      <c r="EH45" s="94">
        <v>24</v>
      </c>
      <c r="EI45" s="54"/>
      <c r="EJ45" s="54"/>
      <c r="EK45" s="94">
        <v>23</v>
      </c>
      <c r="EL45" s="54"/>
      <c r="EM45" s="54"/>
      <c r="EN45" s="94">
        <v>19</v>
      </c>
      <c r="EO45" s="54"/>
      <c r="EP45" s="54"/>
      <c r="EQ45" s="94">
        <v>16</v>
      </c>
      <c r="ER45" s="54"/>
      <c r="ES45" s="54"/>
      <c r="ET45" s="94">
        <v>14</v>
      </c>
      <c r="EU45" s="54"/>
      <c r="EV45" s="54"/>
      <c r="EW45" s="94">
        <v>16</v>
      </c>
      <c r="EX45" s="54"/>
      <c r="EY45" s="54"/>
      <c r="EZ45" s="94">
        <v>15</v>
      </c>
      <c r="FA45" s="54"/>
      <c r="FB45" s="54"/>
      <c r="FC45" s="94">
        <v>11</v>
      </c>
      <c r="FD45" s="54"/>
      <c r="FE45" s="54"/>
      <c r="FF45" s="94">
        <v>16</v>
      </c>
      <c r="FG45" s="54"/>
      <c r="FH45" s="54"/>
      <c r="FI45" s="94">
        <v>18</v>
      </c>
      <c r="FJ45" s="54"/>
      <c r="FK45" s="54"/>
      <c r="FL45" s="94">
        <v>16</v>
      </c>
      <c r="FM45" s="54"/>
      <c r="FN45" s="54"/>
      <c r="FO45" s="94">
        <v>15</v>
      </c>
      <c r="FP45" s="54"/>
      <c r="FQ45" s="54"/>
      <c r="FR45" s="94">
        <v>15</v>
      </c>
      <c r="FS45" s="54"/>
      <c r="FT45" s="54"/>
      <c r="FU45" s="94">
        <v>13</v>
      </c>
      <c r="FV45" s="54"/>
      <c r="FW45" s="54"/>
      <c r="FX45" s="94">
        <v>9</v>
      </c>
      <c r="FY45" s="54"/>
      <c r="FZ45" s="54"/>
      <c r="GA45" s="94">
        <v>7</v>
      </c>
      <c r="GB45" s="54"/>
      <c r="GC45" s="54"/>
      <c r="GD45" s="94">
        <v>9</v>
      </c>
      <c r="GE45" s="54"/>
      <c r="GF45" s="54"/>
      <c r="GG45" s="94">
        <v>20</v>
      </c>
      <c r="GH45" s="54"/>
      <c r="GI45" s="54"/>
      <c r="GJ45" s="94">
        <v>18</v>
      </c>
      <c r="GK45" s="54"/>
      <c r="GL45" s="54"/>
      <c r="GM45" s="94">
        <v>27</v>
      </c>
      <c r="GN45" s="54"/>
      <c r="GO45" s="54"/>
      <c r="GP45" s="94">
        <v>20</v>
      </c>
      <c r="GQ45" s="54"/>
      <c r="GR45" s="54"/>
      <c r="GS45" s="94">
        <v>14</v>
      </c>
      <c r="GT45" s="54"/>
      <c r="GU45" s="54"/>
      <c r="GV45" s="94">
        <v>25</v>
      </c>
      <c r="GW45" s="54"/>
      <c r="GX45" s="54"/>
      <c r="GY45" s="94">
        <v>23</v>
      </c>
      <c r="GZ45" s="54"/>
      <c r="HA45" s="54"/>
      <c r="HB45" s="94">
        <v>11</v>
      </c>
      <c r="HC45" s="54"/>
      <c r="HD45" s="54"/>
      <c r="HE45" s="94">
        <v>20</v>
      </c>
      <c r="HF45" s="54"/>
      <c r="HG45" s="54"/>
      <c r="HH45" s="94">
        <v>19</v>
      </c>
      <c r="HI45" s="54"/>
      <c r="HJ45" s="54"/>
      <c r="HK45" s="94">
        <v>16</v>
      </c>
      <c r="HL45" s="54"/>
      <c r="HM45" s="54"/>
      <c r="HN45" s="94">
        <v>14</v>
      </c>
      <c r="HO45" s="54"/>
      <c r="HP45" s="54"/>
      <c r="HQ45" s="94">
        <v>17</v>
      </c>
      <c r="HR45" s="16"/>
      <c r="HS45" s="16"/>
      <c r="HT45" s="94">
        <v>28</v>
      </c>
      <c r="HU45" s="16"/>
      <c r="HV45" s="16"/>
      <c r="HW45" s="94">
        <v>25</v>
      </c>
      <c r="HX45" s="16"/>
      <c r="HY45" s="16"/>
      <c r="HZ45" s="94">
        <v>23</v>
      </c>
      <c r="IA45" s="16"/>
      <c r="IB45" s="16"/>
      <c r="IC45" s="94">
        <v>27</v>
      </c>
      <c r="ID45" s="16"/>
      <c r="IE45" s="16"/>
      <c r="IF45" s="94">
        <v>33</v>
      </c>
      <c r="IG45" s="94">
        <v>46</v>
      </c>
      <c r="IH45" s="94">
        <v>42</v>
      </c>
      <c r="II45" s="94">
        <v>48</v>
      </c>
      <c r="IJ45" s="94">
        <v>39</v>
      </c>
      <c r="IK45" s="94">
        <v>42</v>
      </c>
      <c r="IL45" s="94">
        <v>45</v>
      </c>
      <c r="IM45" s="94"/>
      <c r="IN45" s="94">
        <v>82</v>
      </c>
      <c r="IO45" s="94">
        <v>78</v>
      </c>
      <c r="IP45" s="94">
        <v>72</v>
      </c>
      <c r="IQ45" s="94">
        <v>32</v>
      </c>
      <c r="IR45" s="148">
        <v>32</v>
      </c>
      <c r="IS45" s="148">
        <v>32</v>
      </c>
      <c r="IT45" s="148">
        <v>31</v>
      </c>
      <c r="IU45" s="148">
        <v>29</v>
      </c>
      <c r="IV45" s="148">
        <v>75</v>
      </c>
      <c r="IW45" s="148">
        <v>56</v>
      </c>
      <c r="IX45" s="58">
        <f t="shared" si="0"/>
        <v>19</v>
      </c>
      <c r="IY45" s="138"/>
    </row>
    <row r="46" spans="1:263" ht="15" customHeight="1">
      <c r="A46" s="55">
        <v>39</v>
      </c>
      <c r="B46" s="52" t="s">
        <v>131</v>
      </c>
      <c r="C46" s="6">
        <v>40</v>
      </c>
      <c r="D46" s="6">
        <v>50</v>
      </c>
      <c r="E46" s="24">
        <v>30</v>
      </c>
      <c r="F46" s="135">
        <v>19</v>
      </c>
      <c r="G46" s="54"/>
      <c r="H46" s="54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94">
        <v>3</v>
      </c>
      <c r="EC46" s="54"/>
      <c r="ED46" s="54"/>
      <c r="EE46" s="94">
        <v>2</v>
      </c>
      <c r="EF46" s="54"/>
      <c r="EG46" s="54"/>
      <c r="EH46" s="94">
        <v>1</v>
      </c>
      <c r="EI46" s="54"/>
      <c r="EJ46" s="54"/>
      <c r="EK46" s="94">
        <v>4</v>
      </c>
      <c r="EL46" s="54"/>
      <c r="EM46" s="54"/>
      <c r="EN46" s="94">
        <v>3</v>
      </c>
      <c r="EO46" s="54"/>
      <c r="EP46" s="54"/>
      <c r="EQ46" s="94">
        <v>5</v>
      </c>
      <c r="ER46" s="54"/>
      <c r="ES46" s="54"/>
      <c r="ET46" s="94">
        <v>3</v>
      </c>
      <c r="EU46" s="54"/>
      <c r="EV46" s="54"/>
      <c r="EW46" s="94">
        <v>8</v>
      </c>
      <c r="EX46" s="54"/>
      <c r="EY46" s="54"/>
      <c r="EZ46" s="94">
        <v>6</v>
      </c>
      <c r="FA46" s="54"/>
      <c r="FB46" s="54"/>
      <c r="FC46" s="94">
        <v>9</v>
      </c>
      <c r="FD46" s="54"/>
      <c r="FE46" s="54"/>
      <c r="FF46" s="94">
        <v>7</v>
      </c>
      <c r="FG46" s="54"/>
      <c r="FH46" s="54"/>
      <c r="FI46" s="94">
        <v>6</v>
      </c>
      <c r="FJ46" s="54"/>
      <c r="FK46" s="54"/>
      <c r="FL46" s="94">
        <v>5</v>
      </c>
      <c r="FM46" s="54"/>
      <c r="FN46" s="54"/>
      <c r="FO46" s="94">
        <v>7</v>
      </c>
      <c r="FP46" s="54"/>
      <c r="FQ46" s="54"/>
      <c r="FR46" s="94">
        <v>7</v>
      </c>
      <c r="FS46" s="54"/>
      <c r="FT46" s="54"/>
      <c r="FU46" s="94">
        <v>9</v>
      </c>
      <c r="FV46" s="54"/>
      <c r="FW46" s="54"/>
      <c r="FX46" s="94">
        <v>8</v>
      </c>
      <c r="FY46" s="54"/>
      <c r="FZ46" s="54"/>
      <c r="GA46" s="94">
        <v>6</v>
      </c>
      <c r="GB46" s="54"/>
      <c r="GC46" s="54"/>
      <c r="GD46" s="94">
        <v>8</v>
      </c>
      <c r="GE46" s="54"/>
      <c r="GF46" s="54"/>
      <c r="GG46" s="94">
        <v>10</v>
      </c>
      <c r="GH46" s="54"/>
      <c r="GI46" s="54"/>
      <c r="GJ46" s="94">
        <v>10</v>
      </c>
      <c r="GK46" s="54"/>
      <c r="GL46" s="54"/>
      <c r="GM46" s="94">
        <v>13</v>
      </c>
      <c r="GN46" s="54"/>
      <c r="GO46" s="54"/>
      <c r="GP46" s="94">
        <v>16</v>
      </c>
      <c r="GQ46" s="54"/>
      <c r="GR46" s="54"/>
      <c r="GS46" s="94">
        <v>19</v>
      </c>
      <c r="GT46" s="54"/>
      <c r="GU46" s="54"/>
      <c r="GV46" s="94">
        <v>31</v>
      </c>
      <c r="GW46" s="54"/>
      <c r="GX46" s="54"/>
      <c r="GY46" s="94">
        <v>19</v>
      </c>
      <c r="GZ46" s="54"/>
      <c r="HA46" s="54"/>
      <c r="HB46" s="94">
        <v>21</v>
      </c>
      <c r="HC46" s="54"/>
      <c r="HD46" s="54"/>
      <c r="HE46" s="94">
        <v>25</v>
      </c>
      <c r="HF46" s="54"/>
      <c r="HG46" s="54"/>
      <c r="HH46" s="94">
        <v>23</v>
      </c>
      <c r="HI46" s="54"/>
      <c r="HJ46" s="54"/>
      <c r="HK46" s="94">
        <v>24</v>
      </c>
      <c r="HL46" s="54"/>
      <c r="HM46" s="54"/>
      <c r="HN46" s="94">
        <v>21</v>
      </c>
      <c r="HO46" s="54"/>
      <c r="HP46" s="54"/>
      <c r="HQ46" s="94">
        <v>29</v>
      </c>
      <c r="HR46" s="16"/>
      <c r="HS46" s="16"/>
      <c r="HT46" s="94">
        <v>17</v>
      </c>
      <c r="HU46" s="16"/>
      <c r="HV46" s="16"/>
      <c r="HW46" s="94">
        <v>17</v>
      </c>
      <c r="HX46" s="16"/>
      <c r="HY46" s="16"/>
      <c r="HZ46" s="94">
        <v>16</v>
      </c>
      <c r="IA46" s="16"/>
      <c r="IB46" s="16"/>
      <c r="IC46" s="94">
        <v>15</v>
      </c>
      <c r="ID46" s="16"/>
      <c r="IE46" s="16"/>
      <c r="IF46" s="94">
        <v>10</v>
      </c>
      <c r="IG46" s="94">
        <v>9</v>
      </c>
      <c r="IH46" s="94">
        <v>14</v>
      </c>
      <c r="II46" s="94">
        <v>15</v>
      </c>
      <c r="IJ46" s="94">
        <v>39</v>
      </c>
      <c r="IK46" s="94">
        <v>16</v>
      </c>
      <c r="IL46" s="94">
        <v>36</v>
      </c>
      <c r="IM46" s="94">
        <v>36</v>
      </c>
      <c r="IN46" s="94">
        <v>47</v>
      </c>
      <c r="IO46" s="94">
        <v>40</v>
      </c>
      <c r="IP46" s="94">
        <v>33</v>
      </c>
      <c r="IQ46" s="94">
        <v>18</v>
      </c>
      <c r="IR46" s="148">
        <v>21</v>
      </c>
      <c r="IS46" s="148">
        <v>21</v>
      </c>
      <c r="IT46" s="148">
        <v>67</v>
      </c>
      <c r="IU46" s="148">
        <v>62</v>
      </c>
      <c r="IV46" s="148">
        <v>61</v>
      </c>
      <c r="IW46" s="148">
        <v>60</v>
      </c>
      <c r="IX46" s="58">
        <f t="shared" si="0"/>
        <v>1</v>
      </c>
      <c r="IY46" s="138"/>
    </row>
    <row r="47" spans="1:263" ht="15" customHeight="1">
      <c r="A47" s="55">
        <v>40</v>
      </c>
      <c r="B47" s="52" t="s">
        <v>132</v>
      </c>
      <c r="C47" s="8">
        <v>10</v>
      </c>
      <c r="D47" s="8">
        <v>10</v>
      </c>
      <c r="E47" s="132">
        <v>10</v>
      </c>
      <c r="F47" s="135">
        <v>21</v>
      </c>
      <c r="G47" s="54"/>
      <c r="H47" s="54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7"/>
      <c r="CD47" s="137"/>
      <c r="CE47" s="137"/>
      <c r="CF47" s="137"/>
      <c r="CG47" s="137"/>
      <c r="CH47" s="137"/>
      <c r="CI47" s="137"/>
      <c r="CJ47" s="137"/>
      <c r="CK47" s="137"/>
      <c r="CL47" s="137"/>
      <c r="CM47" s="137"/>
      <c r="CN47" s="137"/>
      <c r="CO47" s="137"/>
      <c r="CP47" s="137"/>
      <c r="CQ47" s="137"/>
      <c r="CR47" s="137"/>
      <c r="CS47" s="137"/>
      <c r="CT47" s="137"/>
      <c r="CU47" s="137"/>
      <c r="CV47" s="137"/>
      <c r="CW47" s="137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94">
        <v>3</v>
      </c>
      <c r="EC47" s="54"/>
      <c r="ED47" s="54"/>
      <c r="EE47" s="94">
        <v>2</v>
      </c>
      <c r="EF47" s="54"/>
      <c r="EG47" s="54"/>
      <c r="EH47" s="94">
        <v>3</v>
      </c>
      <c r="EI47" s="54"/>
      <c r="EJ47" s="54"/>
      <c r="EK47" s="94">
        <v>6</v>
      </c>
      <c r="EL47" s="54"/>
      <c r="EM47" s="54"/>
      <c r="EN47" s="94">
        <v>5</v>
      </c>
      <c r="EO47" s="54"/>
      <c r="EP47" s="54"/>
      <c r="EQ47" s="94">
        <v>4</v>
      </c>
      <c r="ER47" s="54"/>
      <c r="ES47" s="54"/>
      <c r="ET47" s="94">
        <v>7</v>
      </c>
      <c r="EU47" s="54"/>
      <c r="EV47" s="54"/>
      <c r="EW47" s="94">
        <v>5</v>
      </c>
      <c r="EX47" s="54"/>
      <c r="EY47" s="54"/>
      <c r="EZ47" s="94">
        <v>8</v>
      </c>
      <c r="FA47" s="54"/>
      <c r="FB47" s="54"/>
      <c r="FC47" s="94">
        <v>7</v>
      </c>
      <c r="FD47" s="54"/>
      <c r="FE47" s="54"/>
      <c r="FF47" s="94">
        <v>9</v>
      </c>
      <c r="FG47" s="54"/>
      <c r="FH47" s="54"/>
      <c r="FI47" s="94">
        <v>8</v>
      </c>
      <c r="FJ47" s="54"/>
      <c r="FK47" s="54"/>
      <c r="FL47" s="94">
        <v>5</v>
      </c>
      <c r="FM47" s="54"/>
      <c r="FN47" s="54"/>
      <c r="FO47" s="94">
        <v>8</v>
      </c>
      <c r="FP47" s="54"/>
      <c r="FQ47" s="54"/>
      <c r="FR47" s="94">
        <v>8</v>
      </c>
      <c r="FS47" s="54"/>
      <c r="FT47" s="54"/>
      <c r="FU47" s="94">
        <v>5</v>
      </c>
      <c r="FV47" s="54"/>
      <c r="FW47" s="54"/>
      <c r="FX47" s="94">
        <v>3</v>
      </c>
      <c r="FY47" s="54"/>
      <c r="FZ47" s="54"/>
      <c r="GA47" s="94">
        <v>4</v>
      </c>
      <c r="GB47" s="54"/>
      <c r="GC47" s="54"/>
      <c r="GD47" s="94">
        <v>3</v>
      </c>
      <c r="GE47" s="54"/>
      <c r="GF47" s="54"/>
      <c r="GG47" s="94">
        <v>4</v>
      </c>
      <c r="GH47" s="54"/>
      <c r="GI47" s="54"/>
      <c r="GJ47" s="94">
        <v>8</v>
      </c>
      <c r="GK47" s="54"/>
      <c r="GL47" s="54"/>
      <c r="GM47" s="94">
        <v>6</v>
      </c>
      <c r="GN47" s="54"/>
      <c r="GO47" s="54"/>
      <c r="GP47" s="94">
        <v>8</v>
      </c>
      <c r="GQ47" s="54"/>
      <c r="GR47" s="54"/>
      <c r="GS47" s="94">
        <v>9</v>
      </c>
      <c r="GT47" s="54"/>
      <c r="GU47" s="54"/>
      <c r="GV47" s="94">
        <v>10</v>
      </c>
      <c r="GW47" s="54"/>
      <c r="GX47" s="54"/>
      <c r="GY47" s="94">
        <v>9</v>
      </c>
      <c r="GZ47" s="54"/>
      <c r="HA47" s="54"/>
      <c r="HB47" s="94">
        <v>9</v>
      </c>
      <c r="HC47" s="54"/>
      <c r="HD47" s="54"/>
      <c r="HE47" s="94">
        <v>7</v>
      </c>
      <c r="HF47" s="54"/>
      <c r="HG47" s="54"/>
      <c r="HH47" s="94">
        <v>6</v>
      </c>
      <c r="HI47" s="54"/>
      <c r="HJ47" s="54"/>
      <c r="HK47" s="94">
        <v>7</v>
      </c>
      <c r="HL47" s="54"/>
      <c r="HM47" s="54"/>
      <c r="HN47" s="94">
        <v>6</v>
      </c>
      <c r="HO47" s="54"/>
      <c r="HP47" s="54"/>
      <c r="HQ47" s="94">
        <v>6</v>
      </c>
      <c r="HR47" s="16"/>
      <c r="HS47" s="16"/>
      <c r="HT47" s="94">
        <v>7</v>
      </c>
      <c r="HU47" s="16"/>
      <c r="HV47" s="16"/>
      <c r="HW47" s="94">
        <v>7</v>
      </c>
      <c r="HX47" s="16"/>
      <c r="HY47" s="16"/>
      <c r="HZ47" s="94">
        <v>10</v>
      </c>
      <c r="IA47" s="16"/>
      <c r="IB47" s="16"/>
      <c r="IC47" s="94">
        <v>9</v>
      </c>
      <c r="ID47" s="16"/>
      <c r="IE47" s="16"/>
      <c r="IF47" s="94">
        <v>7</v>
      </c>
      <c r="IG47" s="94">
        <v>5</v>
      </c>
      <c r="IH47" s="94">
        <v>4</v>
      </c>
      <c r="II47" s="94">
        <v>2</v>
      </c>
      <c r="IJ47" s="94">
        <v>6</v>
      </c>
      <c r="IK47" s="94">
        <v>3</v>
      </c>
      <c r="IL47" s="94">
        <v>5</v>
      </c>
      <c r="IM47" s="94">
        <v>7</v>
      </c>
      <c r="IN47" s="94">
        <v>4</v>
      </c>
      <c r="IO47" s="94">
        <v>4</v>
      </c>
      <c r="IP47" s="108">
        <v>3</v>
      </c>
      <c r="IQ47" s="108">
        <v>4</v>
      </c>
      <c r="IR47" s="149">
        <v>3</v>
      </c>
      <c r="IS47" s="149">
        <v>8</v>
      </c>
      <c r="IT47" s="148">
        <v>28</v>
      </c>
      <c r="IU47" s="148">
        <v>25</v>
      </c>
      <c r="IV47" s="148">
        <v>22</v>
      </c>
      <c r="IW47" s="148">
        <v>17</v>
      </c>
      <c r="IX47" s="58">
        <f t="shared" si="0"/>
        <v>5</v>
      </c>
      <c r="IY47" s="138"/>
    </row>
    <row r="48" spans="1:263" ht="15" customHeight="1">
      <c r="A48" s="55">
        <v>41</v>
      </c>
      <c r="B48" s="52" t="s">
        <v>133</v>
      </c>
      <c r="C48" s="6">
        <v>30</v>
      </c>
      <c r="D48" s="6">
        <v>40</v>
      </c>
      <c r="E48" s="24">
        <v>30</v>
      </c>
      <c r="F48" s="135" t="s">
        <v>126</v>
      </c>
      <c r="G48" s="54"/>
      <c r="H48" s="54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7"/>
      <c r="CD48" s="137"/>
      <c r="CE48" s="137"/>
      <c r="CF48" s="137"/>
      <c r="CG48" s="137"/>
      <c r="CH48" s="137"/>
      <c r="CI48" s="137"/>
      <c r="CJ48" s="137"/>
      <c r="CK48" s="137"/>
      <c r="CL48" s="137"/>
      <c r="CM48" s="137"/>
      <c r="CN48" s="137"/>
      <c r="CO48" s="137"/>
      <c r="CP48" s="137"/>
      <c r="CQ48" s="137"/>
      <c r="CR48" s="137"/>
      <c r="CS48" s="137"/>
      <c r="CT48" s="137"/>
      <c r="CU48" s="137"/>
      <c r="CV48" s="137"/>
      <c r="CW48" s="137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94">
        <v>12</v>
      </c>
      <c r="EC48" s="54"/>
      <c r="ED48" s="54"/>
      <c r="EE48" s="94">
        <v>8</v>
      </c>
      <c r="EF48" s="54"/>
      <c r="EG48" s="54"/>
      <c r="EH48" s="94">
        <v>6</v>
      </c>
      <c r="EI48" s="54"/>
      <c r="EJ48" s="54"/>
      <c r="EK48" s="94">
        <v>3</v>
      </c>
      <c r="EL48" s="54"/>
      <c r="EM48" s="54"/>
      <c r="EN48" s="94">
        <v>4</v>
      </c>
      <c r="EO48" s="54"/>
      <c r="EP48" s="54"/>
      <c r="EQ48" s="94">
        <v>3</v>
      </c>
      <c r="ER48" s="54"/>
      <c r="ES48" s="54"/>
      <c r="ET48" s="94">
        <v>3</v>
      </c>
      <c r="EU48" s="54"/>
      <c r="EV48" s="54"/>
      <c r="EW48" s="94">
        <v>5</v>
      </c>
      <c r="EX48" s="54"/>
      <c r="EY48" s="54"/>
      <c r="EZ48" s="94">
        <v>3</v>
      </c>
      <c r="FA48" s="54"/>
      <c r="FB48" s="54"/>
      <c r="FC48" s="94">
        <v>8</v>
      </c>
      <c r="FD48" s="54"/>
      <c r="FE48" s="54"/>
      <c r="FF48" s="94">
        <v>4</v>
      </c>
      <c r="FG48" s="54"/>
      <c r="FH48" s="54"/>
      <c r="FI48" s="94">
        <v>3</v>
      </c>
      <c r="FJ48" s="54"/>
      <c r="FK48" s="54"/>
      <c r="FL48" s="94">
        <v>4</v>
      </c>
      <c r="FM48" s="54"/>
      <c r="FN48" s="54"/>
      <c r="FO48" s="94">
        <v>2</v>
      </c>
      <c r="FP48" s="54"/>
      <c r="FQ48" s="54"/>
      <c r="FR48" s="94">
        <v>2</v>
      </c>
      <c r="FS48" s="54"/>
      <c r="FT48" s="54"/>
      <c r="FU48" s="94">
        <v>4</v>
      </c>
      <c r="FV48" s="54"/>
      <c r="FW48" s="54"/>
      <c r="FX48" s="94">
        <v>5</v>
      </c>
      <c r="FY48" s="54"/>
      <c r="FZ48" s="54"/>
      <c r="GA48" s="94">
        <v>4</v>
      </c>
      <c r="GB48" s="54"/>
      <c r="GC48" s="54"/>
      <c r="GD48" s="94">
        <v>5</v>
      </c>
      <c r="GE48" s="54"/>
      <c r="GF48" s="54"/>
      <c r="GG48" s="94">
        <v>4</v>
      </c>
      <c r="GH48" s="54"/>
      <c r="GI48" s="54"/>
      <c r="GJ48" s="94">
        <v>6</v>
      </c>
      <c r="GK48" s="54"/>
      <c r="GL48" s="54"/>
      <c r="GM48" s="94">
        <v>5</v>
      </c>
      <c r="GN48" s="54"/>
      <c r="GO48" s="54"/>
      <c r="GP48" s="94">
        <v>4</v>
      </c>
      <c r="GQ48" s="54"/>
      <c r="GR48" s="54"/>
      <c r="GS48" s="94">
        <v>4</v>
      </c>
      <c r="GT48" s="54"/>
      <c r="GU48" s="54"/>
      <c r="GV48" s="94">
        <v>7</v>
      </c>
      <c r="GW48" s="54"/>
      <c r="GX48" s="54"/>
      <c r="GY48" s="94">
        <v>8</v>
      </c>
      <c r="GZ48" s="54"/>
      <c r="HA48" s="54"/>
      <c r="HB48" s="94">
        <v>10</v>
      </c>
      <c r="HC48" s="54"/>
      <c r="HD48" s="54"/>
      <c r="HE48" s="94">
        <v>7</v>
      </c>
      <c r="HF48" s="54"/>
      <c r="HG48" s="54"/>
      <c r="HH48" s="94">
        <v>10</v>
      </c>
      <c r="HI48" s="54"/>
      <c r="HJ48" s="54"/>
      <c r="HK48" s="94">
        <v>7</v>
      </c>
      <c r="HL48" s="54"/>
      <c r="HM48" s="54"/>
      <c r="HN48" s="94">
        <v>6</v>
      </c>
      <c r="HO48" s="54"/>
      <c r="HP48" s="54"/>
      <c r="HQ48" s="94">
        <v>12</v>
      </c>
      <c r="HR48" s="16"/>
      <c r="HS48" s="16"/>
      <c r="HT48" s="94">
        <v>14</v>
      </c>
      <c r="HU48" s="16"/>
      <c r="HV48" s="16"/>
      <c r="HW48" s="94">
        <v>21</v>
      </c>
      <c r="HX48" s="16"/>
      <c r="HY48" s="16"/>
      <c r="HZ48" s="94">
        <v>22</v>
      </c>
      <c r="IA48" s="16"/>
      <c r="IB48" s="16"/>
      <c r="IC48" s="94">
        <v>19</v>
      </c>
      <c r="ID48" s="16"/>
      <c r="IE48" s="16"/>
      <c r="IF48" s="16">
        <v>15</v>
      </c>
      <c r="IG48" s="16">
        <v>14</v>
      </c>
      <c r="IH48" s="16">
        <v>11</v>
      </c>
      <c r="II48" s="16">
        <v>11</v>
      </c>
      <c r="IJ48" s="16">
        <v>10</v>
      </c>
      <c r="IK48" s="16">
        <v>46</v>
      </c>
      <c r="IL48" s="16">
        <v>24</v>
      </c>
      <c r="IM48" s="16">
        <v>40</v>
      </c>
      <c r="IN48" s="16">
        <v>30</v>
      </c>
      <c r="IO48" s="16">
        <v>45</v>
      </c>
      <c r="IP48" s="16">
        <v>14</v>
      </c>
      <c r="IQ48" s="86">
        <v>10</v>
      </c>
      <c r="IR48" s="146">
        <v>12</v>
      </c>
      <c r="IS48" s="23">
        <v>12</v>
      </c>
      <c r="IT48" s="25">
        <v>100</v>
      </c>
      <c r="IU48" s="25">
        <v>100</v>
      </c>
      <c r="IV48" s="25">
        <v>100</v>
      </c>
      <c r="IW48" s="25">
        <v>100</v>
      </c>
      <c r="IX48" s="58">
        <f t="shared" si="0"/>
        <v>0</v>
      </c>
      <c r="IY48" s="138"/>
    </row>
    <row r="49" spans="1:259" ht="15" customHeight="1">
      <c r="A49" s="55">
        <v>42</v>
      </c>
      <c r="B49" s="52" t="s">
        <v>134</v>
      </c>
      <c r="C49" s="6" t="s">
        <v>126</v>
      </c>
      <c r="D49" s="6" t="s">
        <v>126</v>
      </c>
      <c r="E49" s="24" t="s">
        <v>126</v>
      </c>
      <c r="F49" s="135" t="s">
        <v>126</v>
      </c>
      <c r="G49" s="54"/>
      <c r="H49" s="54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7"/>
      <c r="CD49" s="137"/>
      <c r="CE49" s="137"/>
      <c r="CF49" s="137"/>
      <c r="CG49" s="137"/>
      <c r="CH49" s="137"/>
      <c r="CI49" s="137"/>
      <c r="CJ49" s="137"/>
      <c r="CK49" s="137"/>
      <c r="CL49" s="137"/>
      <c r="CM49" s="137"/>
      <c r="CN49" s="137"/>
      <c r="CO49" s="137"/>
      <c r="CP49" s="137"/>
      <c r="CQ49" s="137"/>
      <c r="CR49" s="137"/>
      <c r="CS49" s="137"/>
      <c r="CT49" s="137"/>
      <c r="CU49" s="137"/>
      <c r="CV49" s="137"/>
      <c r="CW49" s="137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94"/>
      <c r="EC49" s="54"/>
      <c r="ED49" s="54"/>
      <c r="EE49" s="94"/>
      <c r="EF49" s="54"/>
      <c r="EG49" s="54"/>
      <c r="EH49" s="94">
        <v>87</v>
      </c>
      <c r="EI49" s="54"/>
      <c r="EJ49" s="54"/>
      <c r="EK49" s="94">
        <v>71</v>
      </c>
      <c r="EL49" s="54"/>
      <c r="EM49" s="54"/>
      <c r="EN49" s="94">
        <v>69</v>
      </c>
      <c r="EO49" s="54"/>
      <c r="EP49" s="54"/>
      <c r="EQ49" s="94">
        <v>52</v>
      </c>
      <c r="ER49" s="54"/>
      <c r="ES49" s="54"/>
      <c r="ET49" s="94">
        <v>49</v>
      </c>
      <c r="EU49" s="54"/>
      <c r="EV49" s="54"/>
      <c r="EW49" s="94">
        <v>43</v>
      </c>
      <c r="EX49" s="54"/>
      <c r="EY49" s="54"/>
      <c r="EZ49" s="94">
        <v>38</v>
      </c>
      <c r="FA49" s="54"/>
      <c r="FB49" s="54"/>
      <c r="FC49" s="94">
        <v>31</v>
      </c>
      <c r="FD49" s="54"/>
      <c r="FE49" s="54"/>
      <c r="FF49" s="94">
        <v>5</v>
      </c>
      <c r="FG49" s="54"/>
      <c r="FH49" s="54"/>
      <c r="FI49" s="94">
        <v>4</v>
      </c>
      <c r="FJ49" s="54"/>
      <c r="FK49" s="54"/>
      <c r="FL49" s="94">
        <v>4</v>
      </c>
      <c r="FM49" s="54"/>
      <c r="FN49" s="54"/>
      <c r="FO49" s="94">
        <v>3</v>
      </c>
      <c r="FP49" s="54"/>
      <c r="FQ49" s="54"/>
      <c r="FR49" s="94">
        <v>3</v>
      </c>
      <c r="FS49" s="54"/>
      <c r="FT49" s="54"/>
      <c r="FU49" s="94">
        <v>4</v>
      </c>
      <c r="FV49" s="54"/>
      <c r="FW49" s="54"/>
      <c r="FX49" s="94">
        <v>4</v>
      </c>
      <c r="FY49" s="54"/>
      <c r="FZ49" s="54"/>
      <c r="GA49" s="94">
        <v>5</v>
      </c>
      <c r="GB49" s="54"/>
      <c r="GC49" s="54"/>
      <c r="GD49" s="94">
        <v>4</v>
      </c>
      <c r="GE49" s="54"/>
      <c r="GF49" s="54"/>
      <c r="GG49" s="94">
        <v>4</v>
      </c>
      <c r="GH49" s="54"/>
      <c r="GI49" s="54"/>
      <c r="GJ49" s="94">
        <v>4</v>
      </c>
      <c r="GK49" s="54"/>
      <c r="GL49" s="54"/>
      <c r="GM49" s="94">
        <v>3</v>
      </c>
      <c r="GN49" s="54"/>
      <c r="GO49" s="54"/>
      <c r="GP49" s="94">
        <v>5</v>
      </c>
      <c r="GQ49" s="54"/>
      <c r="GR49" s="54"/>
      <c r="GS49" s="94">
        <v>5</v>
      </c>
      <c r="GT49" s="54"/>
      <c r="GU49" s="54"/>
      <c r="GV49" s="94">
        <v>4</v>
      </c>
      <c r="GW49" s="54"/>
      <c r="GX49" s="54"/>
      <c r="GY49" s="94">
        <v>2</v>
      </c>
      <c r="GZ49" s="54"/>
      <c r="HA49" s="54"/>
      <c r="HB49" s="94">
        <v>4</v>
      </c>
      <c r="HC49" s="54"/>
      <c r="HD49" s="54"/>
      <c r="HE49" s="94">
        <v>5</v>
      </c>
      <c r="HF49" s="54"/>
      <c r="HG49" s="54"/>
      <c r="HH49" s="94">
        <v>8</v>
      </c>
      <c r="HI49" s="54"/>
      <c r="HJ49" s="54"/>
      <c r="HK49" s="94">
        <v>4</v>
      </c>
      <c r="HL49" s="54"/>
      <c r="HM49" s="54"/>
      <c r="HN49" s="94">
        <v>4</v>
      </c>
      <c r="HO49" s="54"/>
      <c r="HP49" s="54"/>
      <c r="HQ49" s="94">
        <v>8</v>
      </c>
      <c r="HR49" s="16"/>
      <c r="HS49" s="16"/>
      <c r="HT49" s="94">
        <v>4</v>
      </c>
      <c r="HU49" s="16"/>
      <c r="HV49" s="16"/>
      <c r="HW49" s="94">
        <v>10</v>
      </c>
      <c r="HX49" s="16"/>
      <c r="HY49" s="16"/>
      <c r="HZ49" s="94">
        <v>6</v>
      </c>
      <c r="IA49" s="16"/>
      <c r="IB49" s="16"/>
      <c r="IC49" s="94">
        <v>6</v>
      </c>
      <c r="ID49" s="16"/>
      <c r="IE49" s="16"/>
      <c r="IF49" s="94">
        <v>58</v>
      </c>
      <c r="IG49" s="94">
        <v>43</v>
      </c>
      <c r="IH49" s="94">
        <v>37</v>
      </c>
      <c r="II49" s="94">
        <v>20</v>
      </c>
      <c r="IJ49" s="94">
        <v>65</v>
      </c>
      <c r="IK49" s="94">
        <v>62</v>
      </c>
      <c r="IL49" s="94">
        <v>6</v>
      </c>
      <c r="IM49" s="94">
        <v>20</v>
      </c>
      <c r="IN49" s="94">
        <v>7</v>
      </c>
      <c r="IO49" s="94"/>
      <c r="IP49" s="94">
        <v>31</v>
      </c>
      <c r="IQ49" s="108">
        <v>3</v>
      </c>
      <c r="IR49" s="149">
        <v>3</v>
      </c>
      <c r="IS49" s="149">
        <v>5</v>
      </c>
      <c r="IT49" s="144">
        <v>100</v>
      </c>
      <c r="IU49" s="23">
        <v>95</v>
      </c>
      <c r="IV49" s="23">
        <v>100</v>
      </c>
      <c r="IW49" s="25">
        <v>100</v>
      </c>
      <c r="IX49" s="58">
        <f t="shared" si="0"/>
        <v>0</v>
      </c>
      <c r="IY49" s="138"/>
    </row>
    <row r="50" spans="1:259" ht="15" customHeight="1">
      <c r="A50" s="55">
        <v>43</v>
      </c>
      <c r="B50" s="52" t="s">
        <v>135</v>
      </c>
      <c r="C50" s="139">
        <v>40</v>
      </c>
      <c r="D50" s="139">
        <v>40</v>
      </c>
      <c r="E50" s="140">
        <v>40</v>
      </c>
      <c r="F50" s="135" t="s">
        <v>126</v>
      </c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F50" s="137"/>
      <c r="CG50" s="137"/>
      <c r="CH50" s="137"/>
      <c r="CI50" s="137"/>
      <c r="CJ50" s="137"/>
      <c r="CK50" s="137"/>
      <c r="CL50" s="137"/>
      <c r="CM50" s="137"/>
      <c r="CN50" s="137"/>
      <c r="CO50" s="137"/>
      <c r="CP50" s="137"/>
      <c r="CQ50" s="137"/>
      <c r="CR50" s="137"/>
      <c r="CS50" s="137"/>
      <c r="CT50" s="137"/>
      <c r="CU50" s="137"/>
      <c r="CV50" s="137"/>
      <c r="CW50" s="137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4"/>
      <c r="EH50" s="54"/>
      <c r="EI50" s="54"/>
      <c r="EJ50" s="54"/>
      <c r="EK50" s="54"/>
      <c r="EL50" s="54"/>
      <c r="EM50" s="54"/>
      <c r="EN50" s="54"/>
      <c r="EO50" s="54"/>
      <c r="EP50" s="54"/>
      <c r="EQ50" s="54"/>
      <c r="ER50" s="54"/>
      <c r="ES50" s="54"/>
      <c r="ET50" s="54"/>
      <c r="EU50" s="54"/>
      <c r="EV50" s="54"/>
      <c r="EW50" s="54"/>
      <c r="EX50" s="54"/>
      <c r="EY50" s="54"/>
      <c r="EZ50" s="54"/>
      <c r="FA50" s="54"/>
      <c r="FB50" s="54"/>
      <c r="FC50" s="54"/>
      <c r="FD50" s="54"/>
      <c r="FE50" s="54"/>
      <c r="FF50" s="54"/>
      <c r="FG50" s="54"/>
      <c r="FH50" s="54"/>
      <c r="FI50" s="54"/>
      <c r="FJ50" s="54"/>
      <c r="FK50" s="54"/>
      <c r="FL50" s="54"/>
      <c r="FM50" s="54"/>
      <c r="FN50" s="54"/>
      <c r="FO50" s="54"/>
      <c r="FP50" s="54"/>
      <c r="FQ50" s="54"/>
      <c r="FR50" s="54"/>
      <c r="FS50" s="54"/>
      <c r="FT50" s="54"/>
      <c r="FU50" s="54"/>
      <c r="FV50" s="54"/>
      <c r="FW50" s="54"/>
      <c r="FX50" s="54"/>
      <c r="FY50" s="54"/>
      <c r="FZ50" s="54"/>
      <c r="GA50" s="54"/>
      <c r="GB50" s="54"/>
      <c r="GC50" s="54"/>
      <c r="GD50" s="54"/>
      <c r="GE50" s="54"/>
      <c r="GF50" s="54"/>
      <c r="GG50" s="54"/>
      <c r="GH50" s="54"/>
      <c r="GI50" s="54"/>
      <c r="GJ50" s="54"/>
      <c r="GK50" s="54"/>
      <c r="GL50" s="54"/>
      <c r="GM50" s="54"/>
      <c r="GN50" s="54"/>
      <c r="GO50" s="54"/>
      <c r="GP50" s="54"/>
      <c r="GQ50" s="54"/>
      <c r="GR50" s="54"/>
      <c r="GS50" s="54"/>
      <c r="GT50" s="54"/>
      <c r="GU50" s="54"/>
      <c r="GV50" s="54"/>
      <c r="GW50" s="54"/>
      <c r="GX50" s="54"/>
      <c r="GY50" s="54"/>
      <c r="GZ50" s="54"/>
      <c r="HA50" s="54"/>
      <c r="HB50" s="54"/>
      <c r="HC50" s="54"/>
      <c r="HD50" s="54"/>
      <c r="HE50" s="54"/>
      <c r="HF50" s="54"/>
      <c r="HG50" s="54"/>
      <c r="HH50" s="54"/>
      <c r="HI50" s="54"/>
      <c r="HJ50" s="54"/>
      <c r="HK50" s="54"/>
      <c r="HL50" s="54"/>
      <c r="HM50" s="54"/>
      <c r="HN50" s="54"/>
      <c r="HO50" s="54"/>
      <c r="HP50" s="54"/>
      <c r="HQ50" s="54"/>
      <c r="HR50" s="54"/>
      <c r="HS50" s="54"/>
      <c r="HT50" s="54"/>
      <c r="HU50" s="54"/>
      <c r="HV50" s="54"/>
      <c r="HW50" s="54"/>
      <c r="HX50" s="54"/>
      <c r="HY50" s="54"/>
      <c r="HZ50" s="54"/>
      <c r="IA50" s="54"/>
      <c r="IB50" s="54"/>
      <c r="IC50" s="54"/>
      <c r="ID50" s="54"/>
      <c r="IE50" s="54"/>
      <c r="IF50" s="54"/>
      <c r="IG50" s="54"/>
      <c r="IH50" s="54"/>
      <c r="II50" s="54"/>
      <c r="IJ50" s="54"/>
      <c r="IK50" s="54"/>
      <c r="IL50" s="54"/>
      <c r="IM50" s="54"/>
      <c r="IN50" s="54"/>
      <c r="IO50" s="54"/>
      <c r="IP50" s="54"/>
      <c r="IQ50" s="54">
        <v>19</v>
      </c>
      <c r="IR50" s="111">
        <v>21</v>
      </c>
      <c r="IS50" s="111">
        <v>17</v>
      </c>
      <c r="IT50" s="111">
        <v>55</v>
      </c>
      <c r="IU50" s="111">
        <v>52</v>
      </c>
      <c r="IV50" s="111">
        <v>56</v>
      </c>
      <c r="IW50" s="111">
        <v>56</v>
      </c>
      <c r="IX50" s="58">
        <f t="shared" si="0"/>
        <v>0</v>
      </c>
      <c r="IY50" s="138"/>
    </row>
    <row r="51" spans="1:259" ht="15" customHeight="1">
      <c r="A51" s="55">
        <v>44</v>
      </c>
      <c r="B51" s="52" t="s">
        <v>136</v>
      </c>
      <c r="C51" s="139">
        <v>30</v>
      </c>
      <c r="D51" s="139">
        <v>30</v>
      </c>
      <c r="E51" s="140">
        <v>30</v>
      </c>
      <c r="F51" s="135" t="s">
        <v>126</v>
      </c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  <c r="CL51" s="137"/>
      <c r="CM51" s="137"/>
      <c r="CN51" s="137"/>
      <c r="CO51" s="137"/>
      <c r="CP51" s="137"/>
      <c r="CQ51" s="137"/>
      <c r="CR51" s="137"/>
      <c r="CS51" s="137"/>
      <c r="CT51" s="137"/>
      <c r="CU51" s="137"/>
      <c r="CV51" s="137"/>
      <c r="CW51" s="137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4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4"/>
      <c r="EJ51" s="54"/>
      <c r="EK51" s="54"/>
      <c r="EL51" s="54"/>
      <c r="EM51" s="54"/>
      <c r="EN51" s="54"/>
      <c r="EO51" s="54"/>
      <c r="EP51" s="54"/>
      <c r="EQ51" s="54"/>
      <c r="ER51" s="54"/>
      <c r="ES51" s="54"/>
      <c r="ET51" s="54"/>
      <c r="EU51" s="54"/>
      <c r="EV51" s="54"/>
      <c r="EW51" s="54"/>
      <c r="EX51" s="54"/>
      <c r="EY51" s="54"/>
      <c r="EZ51" s="54"/>
      <c r="FA51" s="54"/>
      <c r="FB51" s="54"/>
      <c r="FC51" s="54"/>
      <c r="FD51" s="54"/>
      <c r="FE51" s="54"/>
      <c r="FF51" s="54"/>
      <c r="FG51" s="54"/>
      <c r="FH51" s="54"/>
      <c r="FI51" s="54"/>
      <c r="FJ51" s="54"/>
      <c r="FK51" s="54"/>
      <c r="FL51" s="54"/>
      <c r="FM51" s="54"/>
      <c r="FN51" s="54"/>
      <c r="FO51" s="54"/>
      <c r="FP51" s="54"/>
      <c r="FQ51" s="54"/>
      <c r="FR51" s="54"/>
      <c r="FS51" s="54"/>
      <c r="FT51" s="54"/>
      <c r="FU51" s="54"/>
      <c r="FV51" s="54"/>
      <c r="FW51" s="54"/>
      <c r="FX51" s="54"/>
      <c r="FY51" s="54"/>
      <c r="FZ51" s="54"/>
      <c r="GA51" s="54"/>
      <c r="GB51" s="54"/>
      <c r="GC51" s="54"/>
      <c r="GD51" s="54"/>
      <c r="GE51" s="54"/>
      <c r="GF51" s="54"/>
      <c r="GG51" s="54"/>
      <c r="GH51" s="54"/>
      <c r="GI51" s="54"/>
      <c r="GJ51" s="54"/>
      <c r="GK51" s="54"/>
      <c r="GL51" s="54"/>
      <c r="GM51" s="54"/>
      <c r="GN51" s="54"/>
      <c r="GO51" s="54"/>
      <c r="GP51" s="54"/>
      <c r="GQ51" s="54"/>
      <c r="GR51" s="54"/>
      <c r="GS51" s="54"/>
      <c r="GT51" s="54"/>
      <c r="GU51" s="54"/>
      <c r="GV51" s="54"/>
      <c r="GW51" s="54"/>
      <c r="GX51" s="54"/>
      <c r="GY51" s="54"/>
      <c r="GZ51" s="54"/>
      <c r="HA51" s="54"/>
      <c r="HB51" s="54"/>
      <c r="HC51" s="54"/>
      <c r="HD51" s="54"/>
      <c r="HE51" s="54"/>
      <c r="HF51" s="54"/>
      <c r="HG51" s="54"/>
      <c r="HH51" s="54"/>
      <c r="HI51" s="54"/>
      <c r="HJ51" s="54"/>
      <c r="HK51" s="54"/>
      <c r="HL51" s="54"/>
      <c r="HM51" s="54"/>
      <c r="HN51" s="54"/>
      <c r="HO51" s="54"/>
      <c r="HP51" s="54"/>
      <c r="HQ51" s="54"/>
      <c r="HR51" s="54"/>
      <c r="HS51" s="54"/>
      <c r="HT51" s="54"/>
      <c r="HU51" s="54"/>
      <c r="HV51" s="54"/>
      <c r="HW51" s="54"/>
      <c r="HX51" s="54"/>
      <c r="HY51" s="54"/>
      <c r="HZ51" s="54"/>
      <c r="IA51" s="54"/>
      <c r="IB51" s="54"/>
      <c r="IC51" s="54"/>
      <c r="ID51" s="54"/>
      <c r="IE51" s="54"/>
      <c r="IF51" s="54"/>
      <c r="IG51" s="54"/>
      <c r="IH51" s="54"/>
      <c r="II51" s="54"/>
      <c r="IJ51" s="54"/>
      <c r="IK51" s="54"/>
      <c r="IL51" s="54"/>
      <c r="IM51" s="54"/>
      <c r="IN51" s="54"/>
      <c r="IO51" s="54"/>
      <c r="IP51" s="54"/>
      <c r="IQ51" s="54">
        <v>61</v>
      </c>
      <c r="IR51" s="111">
        <v>51</v>
      </c>
      <c r="IS51" s="111">
        <v>56</v>
      </c>
      <c r="IT51" s="155">
        <v>100</v>
      </c>
      <c r="IU51" s="155">
        <v>100</v>
      </c>
      <c r="IV51" s="155">
        <v>100</v>
      </c>
      <c r="IW51" s="155">
        <v>100</v>
      </c>
      <c r="IX51" s="58">
        <f t="shared" si="0"/>
        <v>0</v>
      </c>
      <c r="IY51" s="138"/>
    </row>
    <row r="52" spans="1:259" ht="15" customHeight="1" thickBot="1">
      <c r="A52" s="56">
        <v>45</v>
      </c>
      <c r="B52" s="57" t="s">
        <v>137</v>
      </c>
      <c r="C52" s="141">
        <v>30</v>
      </c>
      <c r="D52" s="141">
        <v>30</v>
      </c>
      <c r="E52" s="142">
        <v>30</v>
      </c>
      <c r="F52" s="136" t="s">
        <v>126</v>
      </c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43"/>
      <c r="BX52" s="143"/>
      <c r="BY52" s="143"/>
      <c r="BZ52" s="143"/>
      <c r="CA52" s="143"/>
      <c r="CB52" s="143"/>
      <c r="CC52" s="143"/>
      <c r="CD52" s="143"/>
      <c r="CE52" s="143"/>
      <c r="CF52" s="143"/>
      <c r="CG52" s="143"/>
      <c r="CH52" s="143"/>
      <c r="CI52" s="143"/>
      <c r="CJ52" s="143"/>
      <c r="CK52" s="143"/>
      <c r="CL52" s="143"/>
      <c r="CM52" s="143"/>
      <c r="CN52" s="143"/>
      <c r="CO52" s="143"/>
      <c r="CP52" s="143"/>
      <c r="CQ52" s="143"/>
      <c r="CR52" s="143"/>
      <c r="CS52" s="143"/>
      <c r="CT52" s="143"/>
      <c r="CU52" s="143"/>
      <c r="CV52" s="143"/>
      <c r="CW52" s="143"/>
      <c r="CX52" s="118"/>
      <c r="CY52" s="118"/>
      <c r="CZ52" s="118"/>
      <c r="DA52" s="118"/>
      <c r="DB52" s="118"/>
      <c r="DC52" s="118"/>
      <c r="DD52" s="118"/>
      <c r="DE52" s="118"/>
      <c r="DF52" s="118"/>
      <c r="DG52" s="118"/>
      <c r="DH52" s="118"/>
      <c r="DI52" s="118"/>
      <c r="DJ52" s="118"/>
      <c r="DK52" s="118"/>
      <c r="DL52" s="118"/>
      <c r="DM52" s="118"/>
      <c r="DN52" s="118"/>
      <c r="DO52" s="118"/>
      <c r="DP52" s="118"/>
      <c r="DQ52" s="118"/>
      <c r="DR52" s="118"/>
      <c r="DS52" s="118"/>
      <c r="DT52" s="118"/>
      <c r="DU52" s="118"/>
      <c r="DV52" s="118"/>
      <c r="DW52" s="118"/>
      <c r="DX52" s="118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8"/>
      <c r="EK52" s="118"/>
      <c r="EL52" s="118"/>
      <c r="EM52" s="118"/>
      <c r="EN52" s="118"/>
      <c r="EO52" s="118"/>
      <c r="EP52" s="118"/>
      <c r="EQ52" s="118"/>
      <c r="ER52" s="118"/>
      <c r="ES52" s="118"/>
      <c r="ET52" s="118"/>
      <c r="EU52" s="118"/>
      <c r="EV52" s="118"/>
      <c r="EW52" s="118"/>
      <c r="EX52" s="118"/>
      <c r="EY52" s="118"/>
      <c r="EZ52" s="118"/>
      <c r="FA52" s="118"/>
      <c r="FB52" s="118"/>
      <c r="FC52" s="118"/>
      <c r="FD52" s="118"/>
      <c r="FE52" s="118"/>
      <c r="FF52" s="118"/>
      <c r="FG52" s="118"/>
      <c r="FH52" s="118"/>
      <c r="FI52" s="118"/>
      <c r="FJ52" s="118"/>
      <c r="FK52" s="118"/>
      <c r="FL52" s="118"/>
      <c r="FM52" s="118"/>
      <c r="FN52" s="118"/>
      <c r="FO52" s="118"/>
      <c r="FP52" s="118"/>
      <c r="FQ52" s="118"/>
      <c r="FR52" s="118"/>
      <c r="FS52" s="118"/>
      <c r="FT52" s="118"/>
      <c r="FU52" s="118"/>
      <c r="FV52" s="118"/>
      <c r="FW52" s="118"/>
      <c r="FX52" s="118"/>
      <c r="FY52" s="118"/>
      <c r="FZ52" s="118"/>
      <c r="GA52" s="118"/>
      <c r="GB52" s="118"/>
      <c r="GC52" s="118"/>
      <c r="GD52" s="118"/>
      <c r="GE52" s="118"/>
      <c r="GF52" s="118"/>
      <c r="GG52" s="118"/>
      <c r="GH52" s="118"/>
      <c r="GI52" s="118"/>
      <c r="GJ52" s="118"/>
      <c r="GK52" s="118"/>
      <c r="GL52" s="118"/>
      <c r="GM52" s="118"/>
      <c r="GN52" s="118"/>
      <c r="GO52" s="118"/>
      <c r="GP52" s="118"/>
      <c r="GQ52" s="118"/>
      <c r="GR52" s="118"/>
      <c r="GS52" s="118"/>
      <c r="GT52" s="118"/>
      <c r="GU52" s="118"/>
      <c r="GV52" s="118"/>
      <c r="GW52" s="118"/>
      <c r="GX52" s="118"/>
      <c r="GY52" s="118"/>
      <c r="GZ52" s="118"/>
      <c r="HA52" s="118"/>
      <c r="HB52" s="118"/>
      <c r="HC52" s="118"/>
      <c r="HD52" s="118"/>
      <c r="HE52" s="118"/>
      <c r="HF52" s="118"/>
      <c r="HG52" s="118"/>
      <c r="HH52" s="118"/>
      <c r="HI52" s="118"/>
      <c r="HJ52" s="118"/>
      <c r="HK52" s="118"/>
      <c r="HL52" s="118"/>
      <c r="HM52" s="118"/>
      <c r="HN52" s="118"/>
      <c r="HO52" s="118"/>
      <c r="HP52" s="118"/>
      <c r="HQ52" s="118"/>
      <c r="HR52" s="118"/>
      <c r="HS52" s="118"/>
      <c r="HT52" s="118"/>
      <c r="HU52" s="118"/>
      <c r="HV52" s="118"/>
      <c r="HW52" s="118"/>
      <c r="HX52" s="118"/>
      <c r="HY52" s="118"/>
      <c r="HZ52" s="118"/>
      <c r="IA52" s="118"/>
      <c r="IB52" s="118"/>
      <c r="IC52" s="118"/>
      <c r="ID52" s="118"/>
      <c r="IE52" s="118"/>
      <c r="IF52" s="118"/>
      <c r="IG52" s="118"/>
      <c r="IH52" s="118"/>
      <c r="II52" s="118"/>
      <c r="IJ52" s="118"/>
      <c r="IK52" s="118"/>
      <c r="IL52" s="118"/>
      <c r="IM52" s="118"/>
      <c r="IN52" s="118"/>
      <c r="IO52" s="118"/>
      <c r="IP52" s="118"/>
      <c r="IQ52" s="118">
        <v>19</v>
      </c>
      <c r="IR52" s="121">
        <v>17</v>
      </c>
      <c r="IS52" s="121">
        <v>15</v>
      </c>
      <c r="IT52" s="155">
        <v>100</v>
      </c>
      <c r="IU52" s="155">
        <v>100</v>
      </c>
      <c r="IV52" s="155">
        <v>100</v>
      </c>
      <c r="IW52" s="155">
        <v>100</v>
      </c>
      <c r="IX52" s="58">
        <f t="shared" si="0"/>
        <v>0</v>
      </c>
      <c r="IY52" s="138"/>
    </row>
    <row r="55" spans="1:259" ht="15" customHeight="1">
      <c r="A55" s="153" t="s">
        <v>138</v>
      </c>
      <c r="B55" s="153" t="s">
        <v>139</v>
      </c>
      <c r="C55" s="154" t="s">
        <v>140</v>
      </c>
    </row>
    <row r="56" spans="1:259" ht="15" customHeight="1">
      <c r="A56" s="139">
        <v>1</v>
      </c>
      <c r="B56" s="137" t="s">
        <v>141</v>
      </c>
      <c r="C56" s="139">
        <f>COUNTIF(IW$8:IW$52, "&lt;=10")</f>
        <v>1</v>
      </c>
    </row>
    <row r="57" spans="1:259" ht="15" customHeight="1">
      <c r="A57" s="139">
        <v>2</v>
      </c>
      <c r="B57" s="137" t="s">
        <v>142</v>
      </c>
      <c r="C57" s="139">
        <f>COUNTIF(IW$8:IW$52, "&lt;=20")-C56</f>
        <v>3</v>
      </c>
    </row>
    <row r="58" spans="1:259" ht="15" customHeight="1">
      <c r="A58" s="139">
        <v>3</v>
      </c>
      <c r="B58" s="137" t="s">
        <v>143</v>
      </c>
      <c r="C58" s="139">
        <f>COUNTIF(IW$8:IW$52, "&lt;=30")-C57-C56</f>
        <v>1</v>
      </c>
    </row>
    <row r="59" spans="1:259" ht="15" customHeight="1">
      <c r="A59" s="139">
        <v>4</v>
      </c>
      <c r="B59" s="137" t="s">
        <v>144</v>
      </c>
      <c r="C59" s="139">
        <f>COUNTIF(IW$8:IW$52, "&lt;=40")-C58-C57-C56</f>
        <v>0</v>
      </c>
    </row>
    <row r="60" spans="1:259" ht="15" customHeight="1">
      <c r="A60" s="139">
        <v>5</v>
      </c>
      <c r="B60" s="137" t="s">
        <v>145</v>
      </c>
      <c r="C60" s="139">
        <f>COUNTIF(IW$8:IW$52, "&lt;=40")-C59-C58-C57-C56</f>
        <v>0</v>
      </c>
    </row>
    <row r="61" spans="1:259" ht="15" customHeight="1">
      <c r="A61" s="139">
        <v>6</v>
      </c>
      <c r="B61" s="137" t="s">
        <v>146</v>
      </c>
      <c r="C61" s="139">
        <f>COUNTIF(IW$8:IW$52,"&lt;=100")-C60-C59-C58-C57-C56</f>
        <v>40</v>
      </c>
    </row>
    <row r="62" spans="1:259" ht="15" customHeight="1">
      <c r="A62" s="137"/>
      <c r="B62" s="153" t="s">
        <v>21</v>
      </c>
      <c r="C62" s="154">
        <f>SUM(C56:C61)</f>
        <v>45</v>
      </c>
    </row>
    <row r="77" spans="1:258" ht="13.5" customHeight="1">
      <c r="A77" s="183"/>
      <c r="B77" s="183"/>
      <c r="C77" s="183"/>
      <c r="D77" s="183"/>
      <c r="E77" s="183"/>
      <c r="F77" s="183"/>
      <c r="G77" s="183"/>
      <c r="H77" s="18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183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</row>
    <row r="78" spans="1:258" ht="13.5" customHeight="1">
      <c r="A78" s="184"/>
      <c r="B78" s="184"/>
      <c r="C78" s="183"/>
      <c r="D78" s="183"/>
      <c r="E78" s="183"/>
      <c r="F78" s="183"/>
      <c r="G78" s="183"/>
      <c r="H78" s="18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183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</row>
    <row r="79" spans="1:258" ht="13.5" customHeight="1">
      <c r="A79" s="184"/>
      <c r="B79" s="184"/>
      <c r="C79" s="183"/>
      <c r="D79" s="183"/>
      <c r="E79" s="183"/>
      <c r="F79" s="183"/>
      <c r="G79" s="183"/>
      <c r="H79" s="18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183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</row>
    <row r="80" spans="1:258" ht="13.5" customHeight="1">
      <c r="A80" s="184"/>
      <c r="B80" s="184"/>
      <c r="C80" s="183"/>
      <c r="D80" s="183"/>
      <c r="E80" s="183"/>
      <c r="F80" s="183"/>
      <c r="G80" s="183"/>
      <c r="H80" s="18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183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</row>
    <row r="81" spans="1:258" ht="13.5" customHeight="1">
      <c r="A81" s="183"/>
      <c r="B81" s="183"/>
      <c r="C81" s="183"/>
      <c r="D81" s="183"/>
      <c r="E81" s="183"/>
      <c r="F81" s="183"/>
      <c r="G81" s="183"/>
      <c r="H81" s="18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183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</row>
    <row r="82" spans="1:258" ht="13.5" customHeight="1">
      <c r="A82" s="183"/>
      <c r="B82" s="183"/>
      <c r="C82" s="183"/>
      <c r="D82" s="183"/>
      <c r="E82" s="183"/>
      <c r="F82" s="183"/>
      <c r="G82" s="183"/>
      <c r="H82" s="18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183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</row>
    <row r="83" spans="1:258" ht="13.5" customHeight="1">
      <c r="A83" s="183"/>
      <c r="B83" s="183"/>
      <c r="C83" s="183"/>
      <c r="D83" s="183"/>
      <c r="E83" s="183"/>
      <c r="F83" s="183"/>
      <c r="G83" s="183"/>
      <c r="H83" s="18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183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</row>
    <row r="84" spans="1:258" ht="13.5" customHeight="1">
      <c r="A84" s="183"/>
      <c r="B84" s="183"/>
      <c r="C84" s="183"/>
      <c r="D84" s="183"/>
      <c r="E84" s="183"/>
      <c r="F84" s="183"/>
      <c r="G84" s="183"/>
      <c r="H84" s="18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183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</row>
    <row r="85" spans="1:258" ht="13.5" customHeight="1">
      <c r="A85" s="183"/>
      <c r="B85" s="183"/>
      <c r="C85" s="183"/>
      <c r="D85" s="183"/>
      <c r="E85" s="183"/>
      <c r="F85" s="183"/>
      <c r="G85" s="183"/>
      <c r="H85" s="18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183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</row>
    <row r="86" spans="1:258" ht="13.5" customHeight="1">
      <c r="A86" s="183"/>
      <c r="B86" s="183"/>
      <c r="C86" s="183"/>
      <c r="D86" s="183"/>
      <c r="E86" s="183"/>
      <c r="F86" s="183"/>
      <c r="G86" s="183"/>
      <c r="H86" s="18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183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</row>
    <row r="87" spans="1:258" ht="13.5" customHeight="1">
      <c r="A87" s="183"/>
      <c r="B87" s="183"/>
      <c r="C87" s="183"/>
      <c r="D87" s="183"/>
      <c r="E87" s="183"/>
      <c r="F87" s="183"/>
      <c r="G87" s="183"/>
      <c r="H87" s="18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183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</row>
    <row r="88" spans="1:258" ht="13.5" customHeight="1">
      <c r="A88" s="183"/>
      <c r="B88" s="183"/>
      <c r="C88" s="183"/>
      <c r="D88" s="183"/>
      <c r="E88" s="183"/>
      <c r="F88" s="183"/>
      <c r="G88" s="183"/>
      <c r="H88" s="18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183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</row>
    <row r="89" spans="1:258" ht="13.5" customHeight="1">
      <c r="A89" s="183"/>
      <c r="B89" s="183"/>
      <c r="C89" s="183"/>
      <c r="D89" s="183"/>
      <c r="E89" s="183"/>
      <c r="F89" s="183"/>
      <c r="G89" s="183"/>
      <c r="H89" s="18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183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</row>
    <row r="90" spans="1:258" ht="13.5" customHeight="1">
      <c r="A90" s="183"/>
      <c r="B90" s="183"/>
      <c r="C90" s="183"/>
      <c r="D90" s="183"/>
      <c r="E90" s="183"/>
      <c r="F90" s="183"/>
      <c r="G90" s="183"/>
      <c r="H90" s="18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183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</row>
    <row r="91" spans="1:258" ht="13.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  <c r="AS91" s="183"/>
      <c r="AT91" s="183"/>
      <c r="AU91" s="183"/>
      <c r="AV91" s="183"/>
      <c r="AW91" s="183"/>
      <c r="AX91" s="183"/>
      <c r="AY91" s="183"/>
      <c r="AZ91" s="183"/>
      <c r="BA91" s="183"/>
      <c r="BB91" s="183"/>
      <c r="BC91" s="183"/>
      <c r="BD91" s="183"/>
      <c r="BE91" s="183"/>
      <c r="BF91" s="183"/>
      <c r="BG91" s="183"/>
      <c r="BH91" s="183"/>
      <c r="BI91" s="183"/>
      <c r="BJ91" s="183"/>
      <c r="BK91" s="183"/>
      <c r="BL91" s="183"/>
      <c r="BM91" s="183"/>
      <c r="BN91" s="183"/>
      <c r="BO91" s="183"/>
      <c r="BP91" s="183"/>
      <c r="BQ91" s="183"/>
      <c r="BR91" s="183"/>
      <c r="BS91" s="183"/>
      <c r="BT91" s="183"/>
      <c r="BU91" s="183"/>
      <c r="BV91" s="183"/>
      <c r="BW91" s="183"/>
      <c r="BX91" s="183"/>
      <c r="BY91" s="183"/>
      <c r="BZ91" s="183"/>
      <c r="CA91" s="183"/>
      <c r="CB91" s="183"/>
      <c r="CC91" s="183"/>
      <c r="CD91" s="183"/>
      <c r="CE91" s="183"/>
      <c r="CF91" s="183"/>
      <c r="CG91" s="183"/>
      <c r="CH91" s="183"/>
      <c r="CI91" s="183"/>
      <c r="CJ91" s="183"/>
      <c r="CK91" s="183"/>
      <c r="CL91" s="183"/>
      <c r="CM91" s="183"/>
      <c r="CN91" s="183"/>
      <c r="CO91" s="183"/>
      <c r="CP91" s="183"/>
      <c r="CQ91" s="183"/>
      <c r="CR91" s="183"/>
      <c r="CS91" s="183"/>
      <c r="CT91" s="183"/>
      <c r="CU91" s="183"/>
      <c r="CV91" s="183"/>
      <c r="CW91" s="183"/>
      <c r="CX91" s="183"/>
      <c r="CY91" s="183"/>
      <c r="CZ91" s="183"/>
      <c r="DA91" s="183"/>
      <c r="DB91" s="183"/>
      <c r="DC91" s="183"/>
      <c r="DD91" s="183"/>
      <c r="DE91" s="183"/>
      <c r="DF91" s="183"/>
      <c r="DG91" s="183"/>
      <c r="DH91" s="183"/>
      <c r="DI91" s="183"/>
      <c r="DJ91" s="183"/>
      <c r="DK91" s="183"/>
      <c r="DL91" s="183"/>
      <c r="DM91" s="183"/>
      <c r="DN91" s="183"/>
      <c r="DO91" s="183"/>
      <c r="DP91" s="183"/>
      <c r="DQ91" s="183"/>
      <c r="DR91" s="183"/>
      <c r="DS91" s="183"/>
      <c r="DT91" s="183"/>
      <c r="DU91" s="183"/>
      <c r="DV91" s="183"/>
      <c r="DW91" s="183"/>
      <c r="DX91" s="183"/>
      <c r="DY91" s="183"/>
      <c r="DZ91" s="183"/>
      <c r="EA91" s="183"/>
      <c r="EB91" s="183"/>
      <c r="EC91" s="183"/>
      <c r="ED91" s="183"/>
      <c r="EE91" s="183"/>
      <c r="EF91" s="183"/>
      <c r="EG91" s="183"/>
      <c r="EH91" s="183"/>
      <c r="EI91" s="183"/>
      <c r="EJ91" s="183"/>
      <c r="EK91" s="183"/>
      <c r="EL91" s="183"/>
      <c r="EM91" s="183"/>
      <c r="EN91" s="183"/>
      <c r="EO91" s="183"/>
      <c r="EP91" s="183"/>
      <c r="EQ91" s="183"/>
      <c r="ER91" s="183"/>
      <c r="ES91" s="183"/>
      <c r="ET91" s="183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</row>
    <row r="92" spans="1:258" ht="13.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  <c r="AS92" s="183"/>
      <c r="AT92" s="183"/>
      <c r="AU92" s="183"/>
      <c r="AV92" s="183"/>
      <c r="AW92" s="183"/>
      <c r="AX92" s="183"/>
      <c r="AY92" s="183"/>
      <c r="AZ92" s="183"/>
      <c r="BA92" s="183"/>
      <c r="BB92" s="183"/>
      <c r="BC92" s="183"/>
      <c r="BD92" s="183"/>
      <c r="BE92" s="183"/>
      <c r="BF92" s="183"/>
      <c r="BG92" s="183"/>
      <c r="BH92" s="183"/>
      <c r="BI92" s="183"/>
      <c r="BJ92" s="183"/>
      <c r="BK92" s="183"/>
      <c r="BL92" s="183"/>
      <c r="BM92" s="183"/>
      <c r="BN92" s="183"/>
      <c r="BO92" s="183"/>
      <c r="BP92" s="183"/>
      <c r="BQ92" s="183"/>
      <c r="BR92" s="183"/>
      <c r="BS92" s="183"/>
      <c r="BT92" s="183"/>
      <c r="BU92" s="183"/>
      <c r="BV92" s="183"/>
      <c r="BW92" s="183"/>
      <c r="BX92" s="183"/>
      <c r="BY92" s="183"/>
      <c r="BZ92" s="183"/>
      <c r="CA92" s="183"/>
      <c r="CB92" s="183"/>
      <c r="CC92" s="183"/>
      <c r="CD92" s="183"/>
      <c r="CE92" s="183"/>
      <c r="CF92" s="183"/>
      <c r="CG92" s="183"/>
      <c r="CH92" s="183"/>
      <c r="CI92" s="183"/>
      <c r="CJ92" s="183"/>
      <c r="CK92" s="183"/>
      <c r="CL92" s="183"/>
      <c r="CM92" s="183"/>
      <c r="CN92" s="183"/>
      <c r="CO92" s="183"/>
      <c r="CP92" s="183"/>
      <c r="CQ92" s="183"/>
      <c r="CR92" s="183"/>
      <c r="CS92" s="183"/>
      <c r="CT92" s="183"/>
      <c r="CU92" s="183"/>
      <c r="CV92" s="183"/>
      <c r="CW92" s="183"/>
      <c r="CX92" s="183"/>
      <c r="CY92" s="183"/>
      <c r="CZ92" s="183"/>
      <c r="DA92" s="183"/>
      <c r="DB92" s="183"/>
      <c r="DC92" s="183"/>
      <c r="DD92" s="183"/>
      <c r="DE92" s="183"/>
      <c r="DF92" s="183"/>
      <c r="DG92" s="183"/>
      <c r="DH92" s="183"/>
      <c r="DI92" s="183"/>
      <c r="DJ92" s="183"/>
      <c r="DK92" s="183"/>
      <c r="DL92" s="183"/>
      <c r="DM92" s="183"/>
      <c r="DN92" s="183"/>
      <c r="DO92" s="183"/>
      <c r="DP92" s="183"/>
      <c r="DQ92" s="183"/>
      <c r="DR92" s="183"/>
      <c r="DS92" s="183"/>
      <c r="DT92" s="183"/>
      <c r="DU92" s="183"/>
      <c r="DV92" s="183"/>
      <c r="DW92" s="183"/>
      <c r="DX92" s="183"/>
      <c r="DY92" s="183"/>
      <c r="DZ92" s="183"/>
      <c r="EA92" s="183"/>
      <c r="EB92" s="183"/>
      <c r="EC92" s="183"/>
      <c r="ED92" s="183"/>
      <c r="EE92" s="183"/>
      <c r="EF92" s="183"/>
      <c r="EG92" s="183"/>
      <c r="EH92" s="183"/>
      <c r="EI92" s="183"/>
      <c r="EJ92" s="183"/>
      <c r="EK92" s="183"/>
      <c r="EL92" s="183"/>
      <c r="EM92" s="183"/>
      <c r="EN92" s="183"/>
      <c r="EO92" s="183"/>
      <c r="EP92" s="183"/>
      <c r="EQ92" s="183"/>
      <c r="ER92" s="183"/>
      <c r="ES92" s="183"/>
      <c r="ET92" s="183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</row>
    <row r="93" spans="1:258" ht="13.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  <c r="AS93" s="183"/>
      <c r="AT93" s="183"/>
      <c r="AU93" s="183"/>
      <c r="AV93" s="183"/>
      <c r="AW93" s="183"/>
      <c r="AX93" s="183"/>
      <c r="AY93" s="183"/>
      <c r="AZ93" s="183"/>
      <c r="BA93" s="183"/>
      <c r="BB93" s="183"/>
      <c r="BC93" s="183"/>
      <c r="BD93" s="183"/>
      <c r="BE93" s="183"/>
      <c r="BF93" s="183"/>
      <c r="BG93" s="183"/>
      <c r="BH93" s="183"/>
      <c r="BI93" s="183"/>
      <c r="BJ93" s="183"/>
      <c r="BK93" s="183"/>
      <c r="BL93" s="183"/>
      <c r="BM93" s="183"/>
      <c r="BN93" s="183"/>
      <c r="BO93" s="183"/>
      <c r="BP93" s="183"/>
      <c r="BQ93" s="183"/>
      <c r="BR93" s="183"/>
      <c r="BS93" s="183"/>
      <c r="BT93" s="183"/>
      <c r="BU93" s="183"/>
      <c r="BV93" s="183"/>
      <c r="BW93" s="183"/>
      <c r="BX93" s="183"/>
      <c r="BY93" s="183"/>
      <c r="BZ93" s="183"/>
      <c r="CA93" s="183"/>
      <c r="CB93" s="183"/>
      <c r="CC93" s="183"/>
      <c r="CD93" s="183"/>
      <c r="CE93" s="183"/>
      <c r="CF93" s="183"/>
      <c r="CG93" s="183"/>
      <c r="CH93" s="183"/>
      <c r="CI93" s="183"/>
      <c r="CJ93" s="183"/>
      <c r="CK93" s="183"/>
      <c r="CL93" s="183"/>
      <c r="CM93" s="183"/>
      <c r="CN93" s="183"/>
      <c r="CO93" s="183"/>
      <c r="CP93" s="183"/>
      <c r="CQ93" s="183"/>
      <c r="CR93" s="183"/>
      <c r="CS93" s="183"/>
      <c r="CT93" s="183"/>
      <c r="CU93" s="183"/>
      <c r="CV93" s="183"/>
      <c r="CW93" s="183"/>
      <c r="CX93" s="183"/>
      <c r="CY93" s="183"/>
      <c r="CZ93" s="183"/>
      <c r="DA93" s="183"/>
      <c r="DB93" s="183"/>
      <c r="DC93" s="183"/>
      <c r="DD93" s="183"/>
      <c r="DE93" s="183"/>
      <c r="DF93" s="183"/>
      <c r="DG93" s="183"/>
      <c r="DH93" s="183"/>
      <c r="DI93" s="183"/>
      <c r="DJ93" s="183"/>
      <c r="DK93" s="183"/>
      <c r="DL93" s="183"/>
      <c r="DM93" s="183"/>
      <c r="DN93" s="183"/>
      <c r="DO93" s="183"/>
      <c r="DP93" s="183"/>
      <c r="DQ93" s="183"/>
      <c r="DR93" s="183"/>
      <c r="DS93" s="183"/>
      <c r="DT93" s="183"/>
      <c r="DU93" s="183"/>
      <c r="DV93" s="183"/>
      <c r="DW93" s="183"/>
      <c r="DX93" s="183"/>
      <c r="DY93" s="183"/>
      <c r="DZ93" s="183"/>
      <c r="EA93" s="183"/>
      <c r="EB93" s="183"/>
      <c r="EC93" s="183"/>
      <c r="ED93" s="183"/>
      <c r="EE93" s="183"/>
      <c r="EF93" s="183"/>
      <c r="EG93" s="183"/>
      <c r="EH93" s="183"/>
      <c r="EI93" s="183"/>
      <c r="EJ93" s="183"/>
      <c r="EK93" s="183"/>
      <c r="EL93" s="183"/>
      <c r="EM93" s="183"/>
      <c r="EN93" s="183"/>
      <c r="EO93" s="183"/>
      <c r="EP93" s="183"/>
      <c r="EQ93" s="183"/>
      <c r="ER93" s="183"/>
      <c r="ES93" s="183"/>
      <c r="ET93" s="183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</row>
    <row r="94" spans="1:258" ht="13.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  <c r="AS94" s="183"/>
      <c r="AT94" s="183"/>
      <c r="AU94" s="183"/>
      <c r="AV94" s="183"/>
      <c r="AW94" s="183"/>
      <c r="AX94" s="183"/>
      <c r="AY94" s="183"/>
      <c r="AZ94" s="183"/>
      <c r="BA94" s="183"/>
      <c r="BB94" s="183"/>
      <c r="BC94" s="183"/>
      <c r="BD94" s="183"/>
      <c r="BE94" s="183"/>
      <c r="BF94" s="183"/>
      <c r="BG94" s="183"/>
      <c r="BH94" s="183"/>
      <c r="BI94" s="183"/>
      <c r="BJ94" s="183"/>
      <c r="BK94" s="183"/>
      <c r="BL94" s="183"/>
      <c r="BM94" s="183"/>
      <c r="BN94" s="183"/>
      <c r="BO94" s="183"/>
      <c r="BP94" s="183"/>
      <c r="BQ94" s="183"/>
      <c r="BR94" s="183"/>
      <c r="BS94" s="183"/>
      <c r="BT94" s="183"/>
      <c r="BU94" s="183"/>
      <c r="BV94" s="183"/>
      <c r="BW94" s="183"/>
      <c r="BX94" s="183"/>
      <c r="BY94" s="183"/>
      <c r="BZ94" s="183"/>
      <c r="CA94" s="183"/>
      <c r="CB94" s="183"/>
      <c r="CC94" s="183"/>
      <c r="CD94" s="183"/>
      <c r="CE94" s="183"/>
      <c r="CF94" s="183"/>
      <c r="CG94" s="183"/>
      <c r="CH94" s="183"/>
      <c r="CI94" s="183"/>
      <c r="CJ94" s="183"/>
      <c r="CK94" s="183"/>
      <c r="CL94" s="183"/>
      <c r="CM94" s="183"/>
      <c r="CN94" s="183"/>
      <c r="CO94" s="183"/>
      <c r="CP94" s="183"/>
      <c r="CQ94" s="183"/>
      <c r="CR94" s="183"/>
      <c r="CS94" s="183"/>
      <c r="CT94" s="183"/>
      <c r="CU94" s="183"/>
      <c r="CV94" s="183"/>
      <c r="CW94" s="183"/>
      <c r="CX94" s="183"/>
      <c r="CY94" s="183"/>
      <c r="CZ94" s="183"/>
      <c r="DA94" s="183"/>
      <c r="DB94" s="183"/>
      <c r="DC94" s="183"/>
      <c r="DD94" s="183"/>
      <c r="DE94" s="183"/>
      <c r="DF94" s="183"/>
      <c r="DG94" s="183"/>
      <c r="DH94" s="183"/>
      <c r="DI94" s="183"/>
      <c r="DJ94" s="183"/>
      <c r="DK94" s="183"/>
      <c r="DL94" s="183"/>
      <c r="DM94" s="183"/>
      <c r="DN94" s="183"/>
      <c r="DO94" s="183"/>
      <c r="DP94" s="183"/>
      <c r="DQ94" s="183"/>
      <c r="DR94" s="183"/>
      <c r="DS94" s="183"/>
      <c r="DT94" s="183"/>
      <c r="DU94" s="183"/>
      <c r="DV94" s="183"/>
      <c r="DW94" s="183"/>
      <c r="DX94" s="183"/>
      <c r="DY94" s="183"/>
      <c r="DZ94" s="183"/>
      <c r="EA94" s="183"/>
      <c r="EB94" s="183"/>
      <c r="EC94" s="183"/>
      <c r="ED94" s="183"/>
      <c r="EE94" s="183"/>
      <c r="EF94" s="183"/>
      <c r="EG94" s="183"/>
      <c r="EH94" s="183"/>
      <c r="EI94" s="183"/>
      <c r="EJ94" s="183"/>
      <c r="EK94" s="183"/>
      <c r="EL94" s="183"/>
      <c r="EM94" s="183"/>
      <c r="EN94" s="183"/>
      <c r="EO94" s="183"/>
      <c r="EP94" s="183"/>
      <c r="EQ94" s="183"/>
      <c r="ER94" s="183"/>
      <c r="ES94" s="183"/>
      <c r="ET94" s="183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</row>
    <row r="95" spans="1:258" ht="13.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  <c r="BH95" s="183"/>
      <c r="BI95" s="183"/>
      <c r="BJ95" s="183"/>
      <c r="BK95" s="183"/>
      <c r="BL95" s="183"/>
      <c r="BM95" s="183"/>
      <c r="BN95" s="183"/>
      <c r="BO95" s="183"/>
      <c r="BP95" s="183"/>
      <c r="BQ95" s="183"/>
      <c r="BR95" s="183"/>
      <c r="BS95" s="183"/>
      <c r="BT95" s="183"/>
      <c r="BU95" s="183"/>
      <c r="BV95" s="183"/>
      <c r="BW95" s="183"/>
      <c r="BX95" s="183"/>
      <c r="BY95" s="183"/>
      <c r="BZ95" s="183"/>
      <c r="CA95" s="183"/>
      <c r="CB95" s="183"/>
      <c r="CC95" s="183"/>
      <c r="CD95" s="183"/>
      <c r="CE95" s="183"/>
      <c r="CF95" s="183"/>
      <c r="CG95" s="183"/>
      <c r="CH95" s="183"/>
      <c r="CI95" s="183"/>
      <c r="CJ95" s="183"/>
      <c r="CK95" s="183"/>
      <c r="CL95" s="183"/>
      <c r="CM95" s="183"/>
      <c r="CN95" s="183"/>
      <c r="CO95" s="183"/>
      <c r="CP95" s="183"/>
      <c r="CQ95" s="183"/>
      <c r="CR95" s="183"/>
      <c r="CS95" s="183"/>
      <c r="CT95" s="183"/>
      <c r="CU95" s="183"/>
      <c r="CV95" s="183"/>
      <c r="CW95" s="183"/>
      <c r="CX95" s="183"/>
      <c r="CY95" s="183"/>
      <c r="CZ95" s="183"/>
      <c r="DA95" s="183"/>
      <c r="DB95" s="183"/>
      <c r="DC95" s="183"/>
      <c r="DD95" s="183"/>
      <c r="DE95" s="183"/>
      <c r="DF95" s="183"/>
      <c r="DG95" s="183"/>
      <c r="DH95" s="183"/>
      <c r="DI95" s="183"/>
      <c r="DJ95" s="183"/>
      <c r="DK95" s="183"/>
      <c r="DL95" s="183"/>
      <c r="DM95" s="183"/>
      <c r="DN95" s="183"/>
      <c r="DO95" s="183"/>
      <c r="DP95" s="183"/>
      <c r="DQ95" s="183"/>
      <c r="DR95" s="183"/>
      <c r="DS95" s="183"/>
      <c r="DT95" s="183"/>
      <c r="DU95" s="183"/>
      <c r="DV95" s="183"/>
      <c r="DW95" s="183"/>
      <c r="DX95" s="183"/>
      <c r="DY95" s="183"/>
      <c r="DZ95" s="183"/>
      <c r="EA95" s="183"/>
      <c r="EB95" s="183"/>
      <c r="EC95" s="183"/>
      <c r="ED95" s="183"/>
      <c r="EE95" s="183"/>
      <c r="EF95" s="183"/>
      <c r="EG95" s="183"/>
      <c r="EH95" s="183"/>
      <c r="EI95" s="183"/>
      <c r="EJ95" s="183"/>
      <c r="EK95" s="183"/>
      <c r="EL95" s="183"/>
      <c r="EM95" s="183"/>
      <c r="EN95" s="183"/>
      <c r="EO95" s="183"/>
      <c r="EP95" s="183"/>
      <c r="EQ95" s="183"/>
      <c r="ER95" s="183"/>
      <c r="ES95" s="183"/>
      <c r="ET95" s="183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</row>
    <row r="96" spans="1:258" ht="13.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  <c r="AR96" s="183"/>
      <c r="AS96" s="183"/>
      <c r="AT96" s="183"/>
      <c r="AU96" s="183"/>
      <c r="AV96" s="183"/>
      <c r="AW96" s="183"/>
      <c r="AX96" s="183"/>
      <c r="AY96" s="183"/>
      <c r="AZ96" s="183"/>
      <c r="BA96" s="183"/>
      <c r="BB96" s="183"/>
      <c r="BC96" s="183"/>
      <c r="BD96" s="183"/>
      <c r="BE96" s="183"/>
      <c r="BF96" s="183"/>
      <c r="BG96" s="183"/>
      <c r="BH96" s="183"/>
      <c r="BI96" s="183"/>
      <c r="BJ96" s="183"/>
      <c r="BK96" s="183"/>
      <c r="BL96" s="183"/>
      <c r="BM96" s="183"/>
      <c r="BN96" s="183"/>
      <c r="BO96" s="183"/>
      <c r="BP96" s="183"/>
      <c r="BQ96" s="183"/>
      <c r="BR96" s="183"/>
      <c r="BS96" s="183"/>
      <c r="BT96" s="183"/>
      <c r="BU96" s="183"/>
      <c r="BV96" s="183"/>
      <c r="BW96" s="183"/>
      <c r="BX96" s="183"/>
      <c r="BY96" s="183"/>
      <c r="BZ96" s="183"/>
      <c r="CA96" s="183"/>
      <c r="CB96" s="183"/>
      <c r="CC96" s="183"/>
      <c r="CD96" s="183"/>
      <c r="CE96" s="183"/>
      <c r="CF96" s="183"/>
      <c r="CG96" s="183"/>
      <c r="CH96" s="183"/>
      <c r="CI96" s="183"/>
      <c r="CJ96" s="183"/>
      <c r="CK96" s="183"/>
      <c r="CL96" s="183"/>
      <c r="CM96" s="183"/>
      <c r="CN96" s="183"/>
      <c r="CO96" s="183"/>
      <c r="CP96" s="183"/>
      <c r="CQ96" s="183"/>
      <c r="CR96" s="183"/>
      <c r="CS96" s="183"/>
      <c r="CT96" s="183"/>
      <c r="CU96" s="183"/>
      <c r="CV96" s="183"/>
      <c r="CW96" s="183"/>
      <c r="CX96" s="183"/>
      <c r="CY96" s="183"/>
      <c r="CZ96" s="183"/>
      <c r="DA96" s="183"/>
      <c r="DB96" s="183"/>
      <c r="DC96" s="183"/>
      <c r="DD96" s="183"/>
      <c r="DE96" s="183"/>
      <c r="DF96" s="183"/>
      <c r="DG96" s="183"/>
      <c r="DH96" s="183"/>
      <c r="DI96" s="183"/>
      <c r="DJ96" s="183"/>
      <c r="DK96" s="183"/>
      <c r="DL96" s="183"/>
      <c r="DM96" s="183"/>
      <c r="DN96" s="183"/>
      <c r="DO96" s="183"/>
      <c r="DP96" s="183"/>
      <c r="DQ96" s="183"/>
      <c r="DR96" s="183"/>
      <c r="DS96" s="183"/>
      <c r="DT96" s="183"/>
      <c r="DU96" s="183"/>
      <c r="DV96" s="183"/>
      <c r="DW96" s="183"/>
      <c r="DX96" s="183"/>
      <c r="DY96" s="183"/>
      <c r="DZ96" s="183"/>
      <c r="EA96" s="183"/>
      <c r="EB96" s="183"/>
      <c r="EC96" s="183"/>
      <c r="ED96" s="183"/>
      <c r="EE96" s="183"/>
      <c r="EF96" s="183"/>
      <c r="EG96" s="183"/>
      <c r="EH96" s="183"/>
      <c r="EI96" s="183"/>
      <c r="EJ96" s="183"/>
      <c r="EK96" s="183"/>
      <c r="EL96" s="183"/>
      <c r="EM96" s="183"/>
      <c r="EN96" s="183"/>
      <c r="EO96" s="183"/>
      <c r="EP96" s="183"/>
      <c r="EQ96" s="183"/>
      <c r="ER96" s="183"/>
      <c r="ES96" s="183"/>
      <c r="ET96" s="183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</row>
    <row r="97" spans="1:258" ht="13.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183"/>
      <c r="AR97" s="183"/>
      <c r="AS97" s="183"/>
      <c r="AT97" s="183"/>
      <c r="AU97" s="183"/>
      <c r="AV97" s="183"/>
      <c r="AW97" s="183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83"/>
      <c r="BS97" s="183"/>
      <c r="BT97" s="183"/>
      <c r="BU97" s="183"/>
      <c r="BV97" s="183"/>
      <c r="BW97" s="183"/>
      <c r="BX97" s="183"/>
      <c r="BY97" s="183"/>
      <c r="BZ97" s="183"/>
      <c r="CA97" s="183"/>
      <c r="CB97" s="183"/>
      <c r="CC97" s="183"/>
      <c r="CD97" s="183"/>
      <c r="CE97" s="183"/>
      <c r="CF97" s="183"/>
      <c r="CG97" s="183"/>
      <c r="CH97" s="183"/>
      <c r="CI97" s="183"/>
      <c r="CJ97" s="183"/>
      <c r="CK97" s="183"/>
      <c r="CL97" s="183"/>
      <c r="CM97" s="183"/>
      <c r="CN97" s="183"/>
      <c r="CO97" s="183"/>
      <c r="CP97" s="183"/>
      <c r="CQ97" s="183"/>
      <c r="CR97" s="183"/>
      <c r="CS97" s="183"/>
      <c r="CT97" s="183"/>
      <c r="CU97" s="183"/>
      <c r="CV97" s="183"/>
      <c r="CW97" s="183"/>
      <c r="CX97" s="183"/>
      <c r="CY97" s="183"/>
      <c r="CZ97" s="183"/>
      <c r="DA97" s="183"/>
      <c r="DB97" s="183"/>
      <c r="DC97" s="183"/>
      <c r="DD97" s="183"/>
      <c r="DE97" s="183"/>
      <c r="DF97" s="183"/>
      <c r="DG97" s="183"/>
      <c r="DH97" s="183"/>
      <c r="DI97" s="183"/>
      <c r="DJ97" s="183"/>
      <c r="DK97" s="183"/>
      <c r="DL97" s="183"/>
      <c r="DM97" s="183"/>
      <c r="DN97" s="183"/>
      <c r="DO97" s="183"/>
      <c r="DP97" s="183"/>
      <c r="DQ97" s="183"/>
      <c r="DR97" s="183"/>
      <c r="DS97" s="183"/>
      <c r="DT97" s="183"/>
      <c r="DU97" s="183"/>
      <c r="DV97" s="183"/>
      <c r="DW97" s="183"/>
      <c r="DX97" s="183"/>
      <c r="DY97" s="183"/>
      <c r="DZ97" s="183"/>
      <c r="EA97" s="183"/>
      <c r="EB97" s="183"/>
      <c r="EC97" s="183"/>
      <c r="ED97" s="183"/>
      <c r="EE97" s="183"/>
      <c r="EF97" s="183"/>
      <c r="EG97" s="183"/>
      <c r="EH97" s="183"/>
      <c r="EI97" s="183"/>
      <c r="EJ97" s="183"/>
      <c r="EK97" s="183"/>
      <c r="EL97" s="183"/>
      <c r="EM97" s="183"/>
      <c r="EN97" s="183"/>
      <c r="EO97" s="183"/>
      <c r="EP97" s="183"/>
      <c r="EQ97" s="183"/>
      <c r="ER97" s="183"/>
      <c r="ES97" s="183"/>
      <c r="ET97" s="183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</row>
    <row r="98" spans="1:258" ht="13.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  <c r="AS98" s="183"/>
      <c r="AT98" s="183"/>
      <c r="AU98" s="183"/>
      <c r="AV98" s="183"/>
      <c r="AW98" s="183"/>
      <c r="AX98" s="183"/>
      <c r="AY98" s="183"/>
      <c r="AZ98" s="183"/>
      <c r="BA98" s="183"/>
      <c r="BB98" s="183"/>
      <c r="BC98" s="183"/>
      <c r="BD98" s="183"/>
      <c r="BE98" s="183"/>
      <c r="BF98" s="183"/>
      <c r="BG98" s="183"/>
      <c r="BH98" s="183"/>
      <c r="BI98" s="183"/>
      <c r="BJ98" s="183"/>
      <c r="BK98" s="183"/>
      <c r="BL98" s="183"/>
      <c r="BM98" s="183"/>
      <c r="BN98" s="183"/>
      <c r="BO98" s="183"/>
      <c r="BP98" s="183"/>
      <c r="BQ98" s="183"/>
      <c r="BR98" s="183"/>
      <c r="BS98" s="183"/>
      <c r="BT98" s="183"/>
      <c r="BU98" s="183"/>
      <c r="BV98" s="183"/>
      <c r="BW98" s="183"/>
      <c r="BX98" s="183"/>
      <c r="BY98" s="183"/>
      <c r="BZ98" s="183"/>
      <c r="CA98" s="183"/>
      <c r="CB98" s="183"/>
      <c r="CC98" s="183"/>
      <c r="CD98" s="183"/>
      <c r="CE98" s="183"/>
      <c r="CF98" s="183"/>
      <c r="CG98" s="183"/>
      <c r="CH98" s="183"/>
      <c r="CI98" s="183"/>
      <c r="CJ98" s="183"/>
      <c r="CK98" s="183"/>
      <c r="CL98" s="183"/>
      <c r="CM98" s="183"/>
      <c r="CN98" s="183"/>
      <c r="CO98" s="183"/>
      <c r="CP98" s="183"/>
      <c r="CQ98" s="183"/>
      <c r="CR98" s="183"/>
      <c r="CS98" s="183"/>
      <c r="CT98" s="183"/>
      <c r="CU98" s="183"/>
      <c r="CV98" s="183"/>
      <c r="CW98" s="183"/>
      <c r="CX98" s="183"/>
      <c r="CY98" s="183"/>
      <c r="CZ98" s="183"/>
      <c r="DA98" s="183"/>
      <c r="DB98" s="183"/>
      <c r="DC98" s="183"/>
      <c r="DD98" s="183"/>
      <c r="DE98" s="183"/>
      <c r="DF98" s="183"/>
      <c r="DG98" s="183"/>
      <c r="DH98" s="183"/>
      <c r="DI98" s="183"/>
      <c r="DJ98" s="183"/>
      <c r="DK98" s="183"/>
      <c r="DL98" s="183"/>
      <c r="DM98" s="183"/>
      <c r="DN98" s="183"/>
      <c r="DO98" s="183"/>
      <c r="DP98" s="183"/>
      <c r="DQ98" s="183"/>
      <c r="DR98" s="183"/>
      <c r="DS98" s="183"/>
      <c r="DT98" s="183"/>
      <c r="DU98" s="183"/>
      <c r="DV98" s="183"/>
      <c r="DW98" s="183"/>
      <c r="DX98" s="183"/>
      <c r="DY98" s="183"/>
      <c r="DZ98" s="183"/>
      <c r="EA98" s="183"/>
      <c r="EB98" s="183"/>
      <c r="EC98" s="183"/>
      <c r="ED98" s="183"/>
      <c r="EE98" s="183"/>
      <c r="EF98" s="183"/>
      <c r="EG98" s="183"/>
      <c r="EH98" s="183"/>
      <c r="EI98" s="183"/>
      <c r="EJ98" s="183"/>
      <c r="EK98" s="183"/>
      <c r="EL98" s="183"/>
      <c r="EM98" s="183"/>
      <c r="EN98" s="183"/>
      <c r="EO98" s="183"/>
      <c r="EP98" s="183"/>
      <c r="EQ98" s="183"/>
      <c r="ER98" s="183"/>
      <c r="ES98" s="183"/>
      <c r="ET98" s="183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</row>
    <row r="99" spans="1:258" ht="13.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183"/>
      <c r="AW99" s="183"/>
      <c r="AX99" s="183"/>
      <c r="AY99" s="183"/>
      <c r="AZ99" s="183"/>
      <c r="BA99" s="183"/>
      <c r="BB99" s="183"/>
      <c r="BC99" s="183"/>
      <c r="BD99" s="183"/>
      <c r="BE99" s="183"/>
      <c r="BF99" s="183"/>
      <c r="BG99" s="183"/>
      <c r="BH99" s="183"/>
      <c r="BI99" s="183"/>
      <c r="BJ99" s="183"/>
      <c r="BK99" s="183"/>
      <c r="BL99" s="183"/>
      <c r="BM99" s="183"/>
      <c r="BN99" s="183"/>
      <c r="BO99" s="183"/>
      <c r="BP99" s="183"/>
      <c r="BQ99" s="183"/>
      <c r="BR99" s="183"/>
      <c r="BS99" s="183"/>
      <c r="BT99" s="183"/>
      <c r="BU99" s="183"/>
      <c r="BV99" s="183"/>
      <c r="BW99" s="183"/>
      <c r="BX99" s="183"/>
      <c r="BY99" s="183"/>
      <c r="BZ99" s="183"/>
      <c r="CA99" s="183"/>
      <c r="CB99" s="183"/>
      <c r="CC99" s="183"/>
      <c r="CD99" s="183"/>
      <c r="CE99" s="183"/>
      <c r="CF99" s="183"/>
      <c r="CG99" s="183"/>
      <c r="CH99" s="183"/>
      <c r="CI99" s="183"/>
      <c r="CJ99" s="183"/>
      <c r="CK99" s="183"/>
      <c r="CL99" s="183"/>
      <c r="CM99" s="183"/>
      <c r="CN99" s="183"/>
      <c r="CO99" s="183"/>
      <c r="CP99" s="183"/>
      <c r="CQ99" s="183"/>
      <c r="CR99" s="183"/>
      <c r="CS99" s="183"/>
      <c r="CT99" s="183"/>
      <c r="CU99" s="183"/>
      <c r="CV99" s="183"/>
      <c r="CW99" s="183"/>
      <c r="CX99" s="183"/>
      <c r="CY99" s="183"/>
      <c r="CZ99" s="183"/>
      <c r="DA99" s="183"/>
      <c r="DB99" s="183"/>
      <c r="DC99" s="183"/>
      <c r="DD99" s="183"/>
      <c r="DE99" s="183"/>
      <c r="DF99" s="183"/>
      <c r="DG99" s="183"/>
      <c r="DH99" s="183"/>
      <c r="DI99" s="183"/>
      <c r="DJ99" s="183"/>
      <c r="DK99" s="183"/>
      <c r="DL99" s="183"/>
      <c r="DM99" s="183"/>
      <c r="DN99" s="183"/>
      <c r="DO99" s="183"/>
      <c r="DP99" s="183"/>
      <c r="DQ99" s="183"/>
      <c r="DR99" s="183"/>
      <c r="DS99" s="183"/>
      <c r="DT99" s="183"/>
      <c r="DU99" s="183"/>
      <c r="DV99" s="183"/>
      <c r="DW99" s="183"/>
      <c r="DX99" s="183"/>
      <c r="DY99" s="183"/>
      <c r="DZ99" s="183"/>
      <c r="EA99" s="183"/>
      <c r="EB99" s="183"/>
      <c r="EC99" s="183"/>
      <c r="ED99" s="183"/>
      <c r="EE99" s="183"/>
      <c r="EF99" s="183"/>
      <c r="EG99" s="183"/>
      <c r="EH99" s="183"/>
      <c r="EI99" s="183"/>
      <c r="EJ99" s="183"/>
      <c r="EK99" s="183"/>
      <c r="EL99" s="183"/>
      <c r="EM99" s="183"/>
      <c r="EN99" s="183"/>
      <c r="EO99" s="183"/>
      <c r="EP99" s="183"/>
      <c r="EQ99" s="183"/>
      <c r="ER99" s="183"/>
      <c r="ES99" s="183"/>
      <c r="ET99" s="183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</row>
    <row r="100" spans="1:258" ht="13.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83"/>
      <c r="AY100" s="183"/>
      <c r="AZ100" s="183"/>
      <c r="BA100" s="183"/>
      <c r="BB100" s="183"/>
      <c r="BC100" s="183"/>
      <c r="BD100" s="183"/>
      <c r="BE100" s="183"/>
      <c r="BF100" s="183"/>
      <c r="BG100" s="183"/>
      <c r="BH100" s="183"/>
      <c r="BI100" s="183"/>
      <c r="BJ100" s="183"/>
      <c r="BK100" s="183"/>
      <c r="BL100" s="183"/>
      <c r="BM100" s="183"/>
      <c r="BN100" s="183"/>
      <c r="BO100" s="183"/>
      <c r="BP100" s="183"/>
      <c r="BQ100" s="183"/>
      <c r="BR100" s="183"/>
      <c r="BS100" s="183"/>
      <c r="BT100" s="183"/>
      <c r="BU100" s="183"/>
      <c r="BV100" s="183"/>
      <c r="BW100" s="183"/>
      <c r="BX100" s="183"/>
      <c r="BY100" s="183"/>
      <c r="BZ100" s="183"/>
      <c r="CA100" s="183"/>
      <c r="CB100" s="183"/>
      <c r="CC100" s="183"/>
      <c r="CD100" s="183"/>
      <c r="CE100" s="183"/>
      <c r="CF100" s="183"/>
      <c r="CG100" s="183"/>
      <c r="CH100" s="183"/>
      <c r="CI100" s="183"/>
      <c r="CJ100" s="183"/>
      <c r="CK100" s="183"/>
      <c r="CL100" s="183"/>
      <c r="CM100" s="183"/>
      <c r="CN100" s="183"/>
      <c r="CO100" s="183"/>
      <c r="CP100" s="183"/>
      <c r="CQ100" s="183"/>
      <c r="CR100" s="183"/>
      <c r="CS100" s="183"/>
      <c r="CT100" s="183"/>
      <c r="CU100" s="183"/>
      <c r="CV100" s="183"/>
      <c r="CW100" s="183"/>
      <c r="CX100" s="183"/>
      <c r="CY100" s="183"/>
      <c r="CZ100" s="183"/>
      <c r="DA100" s="183"/>
      <c r="DB100" s="183"/>
      <c r="DC100" s="183"/>
      <c r="DD100" s="183"/>
      <c r="DE100" s="183"/>
      <c r="DF100" s="183"/>
      <c r="DG100" s="183"/>
      <c r="DH100" s="183"/>
      <c r="DI100" s="183"/>
      <c r="DJ100" s="183"/>
      <c r="DK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  <c r="DZ100" s="183"/>
      <c r="EA100" s="183"/>
      <c r="EB100" s="183"/>
      <c r="EC100" s="183"/>
      <c r="ED100" s="183"/>
      <c r="EE100" s="183"/>
      <c r="EF100" s="183"/>
      <c r="EG100" s="183"/>
      <c r="EH100" s="183"/>
      <c r="EI100" s="183"/>
      <c r="EJ100" s="183"/>
      <c r="EK100" s="183"/>
      <c r="EL100" s="183"/>
      <c r="EM100" s="183"/>
      <c r="EN100" s="183"/>
      <c r="EO100" s="183"/>
      <c r="EP100" s="183"/>
      <c r="EQ100" s="183"/>
      <c r="ER100" s="183"/>
      <c r="ES100" s="183"/>
      <c r="ET100" s="183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</row>
    <row r="101" spans="1:258" ht="13.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  <c r="AS101" s="183"/>
      <c r="AT101" s="183"/>
      <c r="AU101" s="183"/>
      <c r="AV101" s="183"/>
      <c r="AW101" s="183"/>
      <c r="AX101" s="183"/>
      <c r="AY101" s="183"/>
      <c r="AZ101" s="183"/>
      <c r="BA101" s="183"/>
      <c r="BB101" s="183"/>
      <c r="BC101" s="183"/>
      <c r="BD101" s="183"/>
      <c r="BE101" s="183"/>
      <c r="BF101" s="183"/>
      <c r="BG101" s="183"/>
      <c r="BH101" s="183"/>
      <c r="BI101" s="183"/>
      <c r="BJ101" s="183"/>
      <c r="BK101" s="183"/>
      <c r="BL101" s="183"/>
      <c r="BM101" s="183"/>
      <c r="BN101" s="183"/>
      <c r="BO101" s="183"/>
      <c r="BP101" s="183"/>
      <c r="BQ101" s="183"/>
      <c r="BR101" s="183"/>
      <c r="BS101" s="183"/>
      <c r="BT101" s="183"/>
      <c r="BU101" s="183"/>
      <c r="BV101" s="183"/>
      <c r="BW101" s="183"/>
      <c r="BX101" s="183"/>
      <c r="BY101" s="183"/>
      <c r="BZ101" s="183"/>
      <c r="CA101" s="183"/>
      <c r="CB101" s="183"/>
      <c r="CC101" s="183"/>
      <c r="CD101" s="183"/>
      <c r="CE101" s="183"/>
      <c r="CF101" s="183"/>
      <c r="CG101" s="183"/>
      <c r="CH101" s="183"/>
      <c r="CI101" s="183"/>
      <c r="CJ101" s="183"/>
      <c r="CK101" s="183"/>
      <c r="CL101" s="183"/>
      <c r="CM101" s="183"/>
      <c r="CN101" s="183"/>
      <c r="CO101" s="183"/>
      <c r="CP101" s="183"/>
      <c r="CQ101" s="183"/>
      <c r="CR101" s="183"/>
      <c r="CS101" s="183"/>
      <c r="CT101" s="183"/>
      <c r="CU101" s="183"/>
      <c r="CV101" s="183"/>
      <c r="CW101" s="183"/>
      <c r="CX101" s="183"/>
      <c r="CY101" s="183"/>
      <c r="CZ101" s="183"/>
      <c r="DA101" s="183"/>
      <c r="DB101" s="183"/>
      <c r="DC101" s="183"/>
      <c r="DD101" s="183"/>
      <c r="DE101" s="183"/>
      <c r="DF101" s="183"/>
      <c r="DG101" s="183"/>
      <c r="DH101" s="183"/>
      <c r="DI101" s="183"/>
      <c r="DJ101" s="183"/>
      <c r="DK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  <c r="DZ101" s="183"/>
      <c r="EA101" s="183"/>
      <c r="EB101" s="183"/>
      <c r="EC101" s="183"/>
      <c r="ED101" s="183"/>
      <c r="EE101" s="183"/>
      <c r="EF101" s="183"/>
      <c r="EG101" s="183"/>
      <c r="EH101" s="183"/>
      <c r="EI101" s="183"/>
      <c r="EJ101" s="183"/>
      <c r="EK101" s="183"/>
      <c r="EL101" s="183"/>
      <c r="EM101" s="183"/>
      <c r="EN101" s="183"/>
      <c r="EO101" s="183"/>
      <c r="EP101" s="183"/>
      <c r="EQ101" s="183"/>
      <c r="ER101" s="183"/>
      <c r="ES101" s="183"/>
      <c r="ET101" s="183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</row>
    <row r="102" spans="1:258" ht="13.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  <c r="AS102" s="183"/>
      <c r="AT102" s="183"/>
      <c r="AU102" s="183"/>
      <c r="AV102" s="183"/>
      <c r="AW102" s="183"/>
      <c r="AX102" s="183"/>
      <c r="AY102" s="183"/>
      <c r="AZ102" s="183"/>
      <c r="BA102" s="183"/>
      <c r="BB102" s="183"/>
      <c r="BC102" s="183"/>
      <c r="BD102" s="183"/>
      <c r="BE102" s="183"/>
      <c r="BF102" s="183"/>
      <c r="BG102" s="183"/>
      <c r="BH102" s="183"/>
      <c r="BI102" s="183"/>
      <c r="BJ102" s="183"/>
      <c r="BK102" s="183"/>
      <c r="BL102" s="183"/>
      <c r="BM102" s="183"/>
      <c r="BN102" s="183"/>
      <c r="BO102" s="183"/>
      <c r="BP102" s="183"/>
      <c r="BQ102" s="183"/>
      <c r="BR102" s="183"/>
      <c r="BS102" s="183"/>
      <c r="BT102" s="183"/>
      <c r="BU102" s="183"/>
      <c r="BV102" s="183"/>
      <c r="BW102" s="183"/>
      <c r="BX102" s="183"/>
      <c r="BY102" s="183"/>
      <c r="BZ102" s="183"/>
      <c r="CA102" s="183"/>
      <c r="CB102" s="183"/>
      <c r="CC102" s="183"/>
      <c r="CD102" s="183"/>
      <c r="CE102" s="183"/>
      <c r="CF102" s="183"/>
      <c r="CG102" s="183"/>
      <c r="CH102" s="183"/>
      <c r="CI102" s="183"/>
      <c r="CJ102" s="183"/>
      <c r="CK102" s="183"/>
      <c r="CL102" s="183"/>
      <c r="CM102" s="183"/>
      <c r="CN102" s="183"/>
      <c r="CO102" s="183"/>
      <c r="CP102" s="183"/>
      <c r="CQ102" s="183"/>
      <c r="CR102" s="183"/>
      <c r="CS102" s="183"/>
      <c r="CT102" s="183"/>
      <c r="CU102" s="183"/>
      <c r="CV102" s="183"/>
      <c r="CW102" s="183"/>
      <c r="CX102" s="183"/>
      <c r="CY102" s="183"/>
      <c r="CZ102" s="183"/>
      <c r="DA102" s="183"/>
      <c r="DB102" s="183"/>
      <c r="DC102" s="183"/>
      <c r="DD102" s="183"/>
      <c r="DE102" s="183"/>
      <c r="DF102" s="183"/>
      <c r="DG102" s="183"/>
      <c r="DH102" s="183"/>
      <c r="DI102" s="183"/>
      <c r="DJ102" s="183"/>
      <c r="DK102" s="183"/>
      <c r="DL102" s="183"/>
      <c r="DM102" s="183"/>
      <c r="DN102" s="183"/>
      <c r="DO102" s="183"/>
      <c r="DP102" s="183"/>
      <c r="DQ102" s="183"/>
      <c r="DR102" s="183"/>
      <c r="DS102" s="183"/>
      <c r="DT102" s="183"/>
      <c r="DU102" s="183"/>
      <c r="DV102" s="183"/>
      <c r="DW102" s="183"/>
      <c r="DX102" s="183"/>
      <c r="DY102" s="183"/>
      <c r="DZ102" s="183"/>
      <c r="EA102" s="183"/>
      <c r="EB102" s="183"/>
      <c r="EC102" s="183"/>
      <c r="ED102" s="183"/>
      <c r="EE102" s="183"/>
      <c r="EF102" s="183"/>
      <c r="EG102" s="183"/>
      <c r="EH102" s="183"/>
      <c r="EI102" s="183"/>
      <c r="EJ102" s="183"/>
      <c r="EK102" s="183"/>
      <c r="EL102" s="183"/>
      <c r="EM102" s="183"/>
      <c r="EN102" s="183"/>
      <c r="EO102" s="183"/>
      <c r="EP102" s="183"/>
      <c r="EQ102" s="183"/>
      <c r="ER102" s="183"/>
      <c r="ES102" s="183"/>
      <c r="ET102" s="183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</row>
    <row r="103" spans="1:258" ht="13.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183"/>
      <c r="AR103" s="183"/>
      <c r="AS103" s="183"/>
      <c r="AT103" s="183"/>
      <c r="AU103" s="183"/>
      <c r="AV103" s="183"/>
      <c r="AW103" s="183"/>
      <c r="AX103" s="183"/>
      <c r="AY103" s="183"/>
      <c r="AZ103" s="183"/>
      <c r="BA103" s="183"/>
      <c r="BB103" s="183"/>
      <c r="BC103" s="183"/>
      <c r="BD103" s="183"/>
      <c r="BE103" s="183"/>
      <c r="BF103" s="183"/>
      <c r="BG103" s="183"/>
      <c r="BH103" s="183"/>
      <c r="BI103" s="183"/>
      <c r="BJ103" s="183"/>
      <c r="BK103" s="183"/>
      <c r="BL103" s="183"/>
      <c r="BM103" s="183"/>
      <c r="BN103" s="183"/>
      <c r="BO103" s="183"/>
      <c r="BP103" s="183"/>
      <c r="BQ103" s="183"/>
      <c r="BR103" s="183"/>
      <c r="BS103" s="183"/>
      <c r="BT103" s="183"/>
      <c r="BU103" s="183"/>
      <c r="BV103" s="183"/>
      <c r="BW103" s="183"/>
      <c r="BX103" s="183"/>
      <c r="BY103" s="183"/>
      <c r="BZ103" s="183"/>
      <c r="CA103" s="183"/>
      <c r="CB103" s="183"/>
      <c r="CC103" s="183"/>
      <c r="CD103" s="183"/>
      <c r="CE103" s="183"/>
      <c r="CF103" s="183"/>
      <c r="CG103" s="183"/>
      <c r="CH103" s="183"/>
      <c r="CI103" s="183"/>
      <c r="CJ103" s="183"/>
      <c r="CK103" s="183"/>
      <c r="CL103" s="183"/>
      <c r="CM103" s="183"/>
      <c r="CN103" s="183"/>
      <c r="CO103" s="183"/>
      <c r="CP103" s="183"/>
      <c r="CQ103" s="183"/>
      <c r="CR103" s="183"/>
      <c r="CS103" s="183"/>
      <c r="CT103" s="183"/>
      <c r="CU103" s="183"/>
      <c r="CV103" s="183"/>
      <c r="CW103" s="183"/>
      <c r="CX103" s="183"/>
      <c r="CY103" s="183"/>
      <c r="CZ103" s="183"/>
      <c r="DA103" s="183"/>
      <c r="DB103" s="183"/>
      <c r="DC103" s="183"/>
      <c r="DD103" s="183"/>
      <c r="DE103" s="183"/>
      <c r="DF103" s="183"/>
      <c r="DG103" s="183"/>
      <c r="DH103" s="183"/>
      <c r="DI103" s="183"/>
      <c r="DJ103" s="183"/>
      <c r="DK103" s="183"/>
      <c r="DL103" s="183"/>
      <c r="DM103" s="183"/>
      <c r="DN103" s="183"/>
      <c r="DO103" s="183"/>
      <c r="DP103" s="183"/>
      <c r="DQ103" s="183"/>
      <c r="DR103" s="183"/>
      <c r="DS103" s="183"/>
      <c r="DT103" s="183"/>
      <c r="DU103" s="183"/>
      <c r="DV103" s="183"/>
      <c r="DW103" s="183"/>
      <c r="DX103" s="183"/>
      <c r="DY103" s="183"/>
      <c r="DZ103" s="183"/>
      <c r="EA103" s="183"/>
      <c r="EB103" s="183"/>
      <c r="EC103" s="183"/>
      <c r="ED103" s="183"/>
      <c r="EE103" s="183"/>
      <c r="EF103" s="183"/>
      <c r="EG103" s="183"/>
      <c r="EH103" s="183"/>
      <c r="EI103" s="183"/>
      <c r="EJ103" s="183"/>
      <c r="EK103" s="183"/>
      <c r="EL103" s="183"/>
      <c r="EM103" s="183"/>
      <c r="EN103" s="183"/>
      <c r="EO103" s="183"/>
      <c r="EP103" s="183"/>
      <c r="EQ103" s="183"/>
      <c r="ER103" s="183"/>
      <c r="ES103" s="183"/>
      <c r="ET103" s="183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</row>
    <row r="104" spans="1:258" ht="13.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  <c r="AU104" s="183"/>
      <c r="AV104" s="183"/>
      <c r="AW104" s="183"/>
      <c r="AX104" s="183"/>
      <c r="AY104" s="183"/>
      <c r="AZ104" s="183"/>
      <c r="BA104" s="183"/>
      <c r="BB104" s="183"/>
      <c r="BC104" s="183"/>
      <c r="BD104" s="183"/>
      <c r="BE104" s="183"/>
      <c r="BF104" s="183"/>
      <c r="BG104" s="183"/>
      <c r="BH104" s="183"/>
      <c r="BI104" s="183"/>
      <c r="BJ104" s="183"/>
      <c r="BK104" s="183"/>
      <c r="BL104" s="183"/>
      <c r="BM104" s="183"/>
      <c r="BN104" s="183"/>
      <c r="BO104" s="183"/>
      <c r="BP104" s="183"/>
      <c r="BQ104" s="183"/>
      <c r="BR104" s="183"/>
      <c r="BS104" s="183"/>
      <c r="BT104" s="183"/>
      <c r="BU104" s="183"/>
      <c r="BV104" s="183"/>
      <c r="BW104" s="183"/>
      <c r="BX104" s="183"/>
      <c r="BY104" s="183"/>
      <c r="BZ104" s="183"/>
      <c r="CA104" s="183"/>
      <c r="CB104" s="183"/>
      <c r="CC104" s="183"/>
      <c r="CD104" s="183"/>
      <c r="CE104" s="183"/>
      <c r="CF104" s="183"/>
      <c r="CG104" s="183"/>
      <c r="CH104" s="183"/>
      <c r="CI104" s="183"/>
      <c r="CJ104" s="183"/>
      <c r="CK104" s="183"/>
      <c r="CL104" s="183"/>
      <c r="CM104" s="183"/>
      <c r="CN104" s="183"/>
      <c r="CO104" s="183"/>
      <c r="CP104" s="183"/>
      <c r="CQ104" s="183"/>
      <c r="CR104" s="183"/>
      <c r="CS104" s="183"/>
      <c r="CT104" s="183"/>
      <c r="CU104" s="183"/>
      <c r="CV104" s="183"/>
      <c r="CW104" s="183"/>
      <c r="CX104" s="183"/>
      <c r="CY104" s="183"/>
      <c r="CZ104" s="183"/>
      <c r="DA104" s="183"/>
      <c r="DB104" s="183"/>
      <c r="DC104" s="183"/>
      <c r="DD104" s="183"/>
      <c r="DE104" s="183"/>
      <c r="DF104" s="183"/>
      <c r="DG104" s="183"/>
      <c r="DH104" s="183"/>
      <c r="DI104" s="183"/>
      <c r="DJ104" s="183"/>
      <c r="DK104" s="183"/>
      <c r="DL104" s="183"/>
      <c r="DM104" s="183"/>
      <c r="DN104" s="183"/>
      <c r="DO104" s="183"/>
      <c r="DP104" s="183"/>
      <c r="DQ104" s="183"/>
      <c r="DR104" s="183"/>
      <c r="DS104" s="183"/>
      <c r="DT104" s="183"/>
      <c r="DU104" s="183"/>
      <c r="DV104" s="183"/>
      <c r="DW104" s="183"/>
      <c r="DX104" s="183"/>
      <c r="DY104" s="183"/>
      <c r="DZ104" s="183"/>
      <c r="EA104" s="183"/>
      <c r="EB104" s="183"/>
      <c r="EC104" s="183"/>
      <c r="ED104" s="183"/>
      <c r="EE104" s="183"/>
      <c r="EF104" s="183"/>
      <c r="EG104" s="183"/>
      <c r="EH104" s="183"/>
      <c r="EI104" s="183"/>
      <c r="EJ104" s="183"/>
      <c r="EK104" s="183"/>
      <c r="EL104" s="183"/>
      <c r="EM104" s="183"/>
      <c r="EN104" s="183"/>
      <c r="EO104" s="183"/>
      <c r="EP104" s="183"/>
      <c r="EQ104" s="183"/>
      <c r="ER104" s="183"/>
      <c r="ES104" s="183"/>
      <c r="ET104" s="183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</row>
    <row r="105" spans="1:258" ht="13.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  <c r="BH105" s="183"/>
      <c r="BI105" s="183"/>
      <c r="BJ105" s="183"/>
      <c r="BK105" s="183"/>
      <c r="BL105" s="183"/>
      <c r="BM105" s="183"/>
      <c r="BN105" s="183"/>
      <c r="BO105" s="183"/>
      <c r="BP105" s="183"/>
      <c r="BQ105" s="183"/>
      <c r="BR105" s="183"/>
      <c r="BS105" s="183"/>
      <c r="BT105" s="183"/>
      <c r="BU105" s="183"/>
      <c r="BV105" s="183"/>
      <c r="BW105" s="183"/>
      <c r="BX105" s="183"/>
      <c r="BY105" s="183"/>
      <c r="BZ105" s="183"/>
      <c r="CA105" s="183"/>
      <c r="CB105" s="183"/>
      <c r="CC105" s="183"/>
      <c r="CD105" s="183"/>
      <c r="CE105" s="183"/>
      <c r="CF105" s="183"/>
      <c r="CG105" s="183"/>
      <c r="CH105" s="183"/>
      <c r="CI105" s="183"/>
      <c r="CJ105" s="183"/>
      <c r="CK105" s="183"/>
      <c r="CL105" s="183"/>
      <c r="CM105" s="183"/>
      <c r="CN105" s="183"/>
      <c r="CO105" s="183"/>
      <c r="CP105" s="183"/>
      <c r="CQ105" s="183"/>
      <c r="CR105" s="183"/>
      <c r="CS105" s="183"/>
      <c r="CT105" s="183"/>
      <c r="CU105" s="183"/>
      <c r="CV105" s="183"/>
      <c r="CW105" s="183"/>
      <c r="CX105" s="183"/>
      <c r="CY105" s="183"/>
      <c r="CZ105" s="183"/>
      <c r="DA105" s="183"/>
      <c r="DB105" s="183"/>
      <c r="DC105" s="183"/>
      <c r="DD105" s="183"/>
      <c r="DE105" s="183"/>
      <c r="DF105" s="183"/>
      <c r="DG105" s="183"/>
      <c r="DH105" s="183"/>
      <c r="DI105" s="183"/>
      <c r="DJ105" s="183"/>
      <c r="DK105" s="183"/>
      <c r="DL105" s="183"/>
      <c r="DM105" s="183"/>
      <c r="DN105" s="183"/>
      <c r="DO105" s="183"/>
      <c r="DP105" s="183"/>
      <c r="DQ105" s="183"/>
      <c r="DR105" s="183"/>
      <c r="DS105" s="183"/>
      <c r="DT105" s="183"/>
      <c r="DU105" s="183"/>
      <c r="DV105" s="183"/>
      <c r="DW105" s="183"/>
      <c r="DX105" s="183"/>
      <c r="DY105" s="183"/>
      <c r="DZ105" s="183"/>
      <c r="EA105" s="183"/>
      <c r="EB105" s="183"/>
      <c r="EC105" s="183"/>
      <c r="ED105" s="183"/>
      <c r="EE105" s="183"/>
      <c r="EF105" s="183"/>
      <c r="EG105" s="183"/>
      <c r="EH105" s="183"/>
      <c r="EI105" s="183"/>
      <c r="EJ105" s="183"/>
      <c r="EK105" s="183"/>
      <c r="EL105" s="183"/>
      <c r="EM105" s="183"/>
      <c r="EN105" s="183"/>
      <c r="EO105" s="183"/>
      <c r="EP105" s="183"/>
      <c r="EQ105" s="183"/>
      <c r="ER105" s="183"/>
      <c r="ES105" s="183"/>
      <c r="ET105" s="183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</row>
    <row r="106" spans="1:258" ht="13.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  <c r="AW106" s="183"/>
      <c r="AX106" s="183"/>
      <c r="AY106" s="183"/>
      <c r="AZ106" s="183"/>
      <c r="BA106" s="183"/>
      <c r="BB106" s="183"/>
      <c r="BC106" s="183"/>
      <c r="BD106" s="183"/>
      <c r="BE106" s="183"/>
      <c r="BF106" s="183"/>
      <c r="BG106" s="183"/>
      <c r="BH106" s="183"/>
      <c r="BI106" s="183"/>
      <c r="BJ106" s="183"/>
      <c r="BK106" s="183"/>
      <c r="BL106" s="183"/>
      <c r="BM106" s="183"/>
      <c r="BN106" s="183"/>
      <c r="BO106" s="183"/>
      <c r="BP106" s="183"/>
      <c r="BQ106" s="183"/>
      <c r="BR106" s="183"/>
      <c r="BS106" s="183"/>
      <c r="BT106" s="183"/>
      <c r="BU106" s="183"/>
      <c r="BV106" s="183"/>
      <c r="BW106" s="183"/>
      <c r="BX106" s="183"/>
      <c r="BY106" s="183"/>
      <c r="BZ106" s="183"/>
      <c r="CA106" s="183"/>
      <c r="CB106" s="183"/>
      <c r="CC106" s="183"/>
      <c r="CD106" s="183"/>
      <c r="CE106" s="183"/>
      <c r="CF106" s="183"/>
      <c r="CG106" s="183"/>
      <c r="CH106" s="183"/>
      <c r="CI106" s="183"/>
      <c r="CJ106" s="183"/>
      <c r="CK106" s="183"/>
      <c r="CL106" s="183"/>
      <c r="CM106" s="183"/>
      <c r="CN106" s="183"/>
      <c r="CO106" s="183"/>
      <c r="CP106" s="183"/>
      <c r="CQ106" s="183"/>
      <c r="CR106" s="183"/>
      <c r="CS106" s="183"/>
      <c r="CT106" s="183"/>
      <c r="CU106" s="183"/>
      <c r="CV106" s="183"/>
      <c r="CW106" s="183"/>
      <c r="CX106" s="183"/>
      <c r="CY106" s="183"/>
      <c r="CZ106" s="183"/>
      <c r="DA106" s="183"/>
      <c r="DB106" s="183"/>
      <c r="DC106" s="183"/>
      <c r="DD106" s="183"/>
      <c r="DE106" s="183"/>
      <c r="DF106" s="183"/>
      <c r="DG106" s="183"/>
      <c r="DH106" s="183"/>
      <c r="DI106" s="183"/>
      <c r="DJ106" s="183"/>
      <c r="DK106" s="183"/>
      <c r="DL106" s="183"/>
      <c r="DM106" s="183"/>
      <c r="DN106" s="183"/>
      <c r="DO106" s="183"/>
      <c r="DP106" s="183"/>
      <c r="DQ106" s="183"/>
      <c r="DR106" s="183"/>
      <c r="DS106" s="183"/>
      <c r="DT106" s="183"/>
      <c r="DU106" s="183"/>
      <c r="DV106" s="183"/>
      <c r="DW106" s="183"/>
      <c r="DX106" s="183"/>
      <c r="DY106" s="183"/>
      <c r="DZ106" s="183"/>
      <c r="EA106" s="183"/>
      <c r="EB106" s="183"/>
      <c r="EC106" s="183"/>
      <c r="ED106" s="183"/>
      <c r="EE106" s="183"/>
      <c r="EF106" s="183"/>
      <c r="EG106" s="183"/>
      <c r="EH106" s="183"/>
      <c r="EI106" s="183"/>
      <c r="EJ106" s="183"/>
      <c r="EK106" s="183"/>
      <c r="EL106" s="183"/>
      <c r="EM106" s="183"/>
      <c r="EN106" s="183"/>
      <c r="EO106" s="183"/>
      <c r="EP106" s="183"/>
      <c r="EQ106" s="183"/>
      <c r="ER106" s="183"/>
      <c r="ES106" s="183"/>
      <c r="ET106" s="183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</row>
    <row r="107" spans="1:258" ht="13.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183"/>
      <c r="AR107" s="183"/>
      <c r="AS107" s="183"/>
      <c r="AT107" s="183"/>
      <c r="AU107" s="183"/>
      <c r="AV107" s="183"/>
      <c r="AW107" s="183"/>
      <c r="AX107" s="183"/>
      <c r="AY107" s="183"/>
      <c r="AZ107" s="183"/>
      <c r="BA107" s="183"/>
      <c r="BB107" s="183"/>
      <c r="BC107" s="183"/>
      <c r="BD107" s="183"/>
      <c r="BE107" s="183"/>
      <c r="BF107" s="183"/>
      <c r="BG107" s="183"/>
      <c r="BH107" s="183"/>
      <c r="BI107" s="183"/>
      <c r="BJ107" s="183"/>
      <c r="BK107" s="183"/>
      <c r="BL107" s="183"/>
      <c r="BM107" s="183"/>
      <c r="BN107" s="183"/>
      <c r="BO107" s="183"/>
      <c r="BP107" s="183"/>
      <c r="BQ107" s="183"/>
      <c r="BR107" s="183"/>
      <c r="BS107" s="183"/>
      <c r="BT107" s="183"/>
      <c r="BU107" s="183"/>
      <c r="BV107" s="183"/>
      <c r="BW107" s="183"/>
      <c r="BX107" s="183"/>
      <c r="BY107" s="183"/>
      <c r="BZ107" s="183"/>
      <c r="CA107" s="183"/>
      <c r="CB107" s="183"/>
      <c r="CC107" s="183"/>
      <c r="CD107" s="183"/>
      <c r="CE107" s="183"/>
      <c r="CF107" s="183"/>
      <c r="CG107" s="183"/>
      <c r="CH107" s="183"/>
      <c r="CI107" s="183"/>
      <c r="CJ107" s="183"/>
      <c r="CK107" s="183"/>
      <c r="CL107" s="183"/>
      <c r="CM107" s="183"/>
      <c r="CN107" s="183"/>
      <c r="CO107" s="183"/>
      <c r="CP107" s="183"/>
      <c r="CQ107" s="183"/>
      <c r="CR107" s="183"/>
      <c r="CS107" s="183"/>
      <c r="CT107" s="183"/>
      <c r="CU107" s="183"/>
      <c r="CV107" s="183"/>
      <c r="CW107" s="183"/>
      <c r="CX107" s="183"/>
      <c r="CY107" s="183"/>
      <c r="CZ107" s="183"/>
      <c r="DA107" s="183"/>
      <c r="DB107" s="183"/>
      <c r="DC107" s="183"/>
      <c r="DD107" s="183"/>
      <c r="DE107" s="183"/>
      <c r="DF107" s="183"/>
      <c r="DG107" s="183"/>
      <c r="DH107" s="183"/>
      <c r="DI107" s="183"/>
      <c r="DJ107" s="183"/>
      <c r="DK107" s="183"/>
      <c r="DL107" s="183"/>
      <c r="DM107" s="183"/>
      <c r="DN107" s="183"/>
      <c r="DO107" s="183"/>
      <c r="DP107" s="183"/>
      <c r="DQ107" s="183"/>
      <c r="DR107" s="183"/>
      <c r="DS107" s="183"/>
      <c r="DT107" s="183"/>
      <c r="DU107" s="183"/>
      <c r="DV107" s="183"/>
      <c r="DW107" s="183"/>
      <c r="DX107" s="183"/>
      <c r="DY107" s="183"/>
      <c r="DZ107" s="183"/>
      <c r="EA107" s="183"/>
      <c r="EB107" s="183"/>
      <c r="EC107" s="183"/>
      <c r="ED107" s="183"/>
      <c r="EE107" s="183"/>
      <c r="EF107" s="183"/>
      <c r="EG107" s="183"/>
      <c r="EH107" s="183"/>
      <c r="EI107" s="183"/>
      <c r="EJ107" s="183"/>
      <c r="EK107" s="183"/>
      <c r="EL107" s="183"/>
      <c r="EM107" s="183"/>
      <c r="EN107" s="183"/>
      <c r="EO107" s="183"/>
      <c r="EP107" s="183"/>
      <c r="EQ107" s="183"/>
      <c r="ER107" s="183"/>
      <c r="ES107" s="183"/>
      <c r="ET107" s="183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</row>
    <row r="108" spans="1:258" ht="13.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  <c r="AR108" s="183"/>
      <c r="AS108" s="183"/>
      <c r="AT108" s="183"/>
      <c r="AU108" s="183"/>
      <c r="AV108" s="183"/>
      <c r="AW108" s="183"/>
      <c r="AX108" s="183"/>
      <c r="AY108" s="183"/>
      <c r="AZ108" s="183"/>
      <c r="BA108" s="183"/>
      <c r="BB108" s="183"/>
      <c r="BC108" s="183"/>
      <c r="BD108" s="183"/>
      <c r="BE108" s="183"/>
      <c r="BF108" s="183"/>
      <c r="BG108" s="183"/>
      <c r="BH108" s="183"/>
      <c r="BI108" s="183"/>
      <c r="BJ108" s="183"/>
      <c r="BK108" s="183"/>
      <c r="BL108" s="183"/>
      <c r="BM108" s="183"/>
      <c r="BN108" s="183"/>
      <c r="BO108" s="183"/>
      <c r="BP108" s="183"/>
      <c r="BQ108" s="183"/>
      <c r="BR108" s="183"/>
      <c r="BS108" s="183"/>
      <c r="BT108" s="183"/>
      <c r="BU108" s="183"/>
      <c r="BV108" s="183"/>
      <c r="BW108" s="183"/>
      <c r="BX108" s="183"/>
      <c r="BY108" s="183"/>
      <c r="BZ108" s="183"/>
      <c r="CA108" s="183"/>
      <c r="CB108" s="183"/>
      <c r="CC108" s="183"/>
      <c r="CD108" s="183"/>
      <c r="CE108" s="183"/>
      <c r="CF108" s="183"/>
      <c r="CG108" s="183"/>
      <c r="CH108" s="183"/>
      <c r="CI108" s="183"/>
      <c r="CJ108" s="183"/>
      <c r="CK108" s="183"/>
      <c r="CL108" s="183"/>
      <c r="CM108" s="183"/>
      <c r="CN108" s="183"/>
      <c r="CO108" s="183"/>
      <c r="CP108" s="183"/>
      <c r="CQ108" s="183"/>
      <c r="CR108" s="183"/>
      <c r="CS108" s="183"/>
      <c r="CT108" s="183"/>
      <c r="CU108" s="183"/>
      <c r="CV108" s="183"/>
      <c r="CW108" s="183"/>
      <c r="CX108" s="183"/>
      <c r="CY108" s="183"/>
      <c r="CZ108" s="183"/>
      <c r="DA108" s="183"/>
      <c r="DB108" s="183"/>
      <c r="DC108" s="183"/>
      <c r="DD108" s="183"/>
      <c r="DE108" s="183"/>
      <c r="DF108" s="183"/>
      <c r="DG108" s="183"/>
      <c r="DH108" s="183"/>
      <c r="DI108" s="183"/>
      <c r="DJ108" s="183"/>
      <c r="DK108" s="183"/>
      <c r="DL108" s="183"/>
      <c r="DM108" s="183"/>
      <c r="DN108" s="183"/>
      <c r="DO108" s="183"/>
      <c r="DP108" s="183"/>
      <c r="DQ108" s="183"/>
      <c r="DR108" s="183"/>
      <c r="DS108" s="183"/>
      <c r="DT108" s="183"/>
      <c r="DU108" s="183"/>
      <c r="DV108" s="183"/>
      <c r="DW108" s="183"/>
      <c r="DX108" s="183"/>
      <c r="DY108" s="183"/>
      <c r="DZ108" s="183"/>
      <c r="EA108" s="183"/>
      <c r="EB108" s="183"/>
      <c r="EC108" s="183"/>
      <c r="ED108" s="183"/>
      <c r="EE108" s="183"/>
      <c r="EF108" s="183"/>
      <c r="EG108" s="183"/>
      <c r="EH108" s="183"/>
      <c r="EI108" s="183"/>
      <c r="EJ108" s="183"/>
      <c r="EK108" s="183"/>
      <c r="EL108" s="183"/>
      <c r="EM108" s="183"/>
      <c r="EN108" s="183"/>
      <c r="EO108" s="183"/>
      <c r="EP108" s="183"/>
      <c r="EQ108" s="183"/>
      <c r="ER108" s="183"/>
      <c r="ES108" s="183"/>
      <c r="ET108" s="183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</row>
    <row r="109" spans="1:258" ht="13.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  <c r="AU109" s="183"/>
      <c r="AV109" s="183"/>
      <c r="AW109" s="183"/>
      <c r="AX109" s="183"/>
      <c r="AY109" s="183"/>
      <c r="AZ109" s="183"/>
      <c r="BA109" s="183"/>
      <c r="BB109" s="183"/>
      <c r="BC109" s="183"/>
      <c r="BD109" s="183"/>
      <c r="BE109" s="183"/>
      <c r="BF109" s="183"/>
      <c r="BG109" s="183"/>
      <c r="BH109" s="183"/>
      <c r="BI109" s="183"/>
      <c r="BJ109" s="183"/>
      <c r="BK109" s="183"/>
      <c r="BL109" s="183"/>
      <c r="BM109" s="183"/>
      <c r="BN109" s="183"/>
      <c r="BO109" s="183"/>
      <c r="BP109" s="183"/>
      <c r="BQ109" s="183"/>
      <c r="BR109" s="183"/>
      <c r="BS109" s="183"/>
      <c r="BT109" s="183"/>
      <c r="BU109" s="183"/>
      <c r="BV109" s="183"/>
      <c r="BW109" s="183"/>
      <c r="BX109" s="183"/>
      <c r="BY109" s="183"/>
      <c r="BZ109" s="183"/>
      <c r="CA109" s="183"/>
      <c r="CB109" s="183"/>
      <c r="CC109" s="183"/>
      <c r="CD109" s="183"/>
      <c r="CE109" s="183"/>
      <c r="CF109" s="183"/>
      <c r="CG109" s="183"/>
      <c r="CH109" s="183"/>
      <c r="CI109" s="183"/>
      <c r="CJ109" s="183"/>
      <c r="CK109" s="183"/>
      <c r="CL109" s="183"/>
      <c r="CM109" s="183"/>
      <c r="CN109" s="183"/>
      <c r="CO109" s="183"/>
      <c r="CP109" s="183"/>
      <c r="CQ109" s="183"/>
      <c r="CR109" s="183"/>
      <c r="CS109" s="183"/>
      <c r="CT109" s="183"/>
      <c r="CU109" s="183"/>
      <c r="CV109" s="183"/>
      <c r="CW109" s="183"/>
      <c r="CX109" s="183"/>
      <c r="CY109" s="183"/>
      <c r="CZ109" s="183"/>
      <c r="DA109" s="183"/>
      <c r="DB109" s="183"/>
      <c r="DC109" s="183"/>
      <c r="DD109" s="183"/>
      <c r="DE109" s="183"/>
      <c r="DF109" s="183"/>
      <c r="DG109" s="183"/>
      <c r="DH109" s="183"/>
      <c r="DI109" s="183"/>
      <c r="DJ109" s="183"/>
      <c r="DK109" s="183"/>
      <c r="DL109" s="183"/>
      <c r="DM109" s="183"/>
      <c r="DN109" s="183"/>
      <c r="DO109" s="183"/>
      <c r="DP109" s="183"/>
      <c r="DQ109" s="183"/>
      <c r="DR109" s="183"/>
      <c r="DS109" s="183"/>
      <c r="DT109" s="183"/>
      <c r="DU109" s="183"/>
      <c r="DV109" s="183"/>
      <c r="DW109" s="183"/>
      <c r="DX109" s="183"/>
      <c r="DY109" s="183"/>
      <c r="DZ109" s="183"/>
      <c r="EA109" s="183"/>
      <c r="EB109" s="183"/>
      <c r="EC109" s="183"/>
      <c r="ED109" s="183"/>
      <c r="EE109" s="183"/>
      <c r="EF109" s="183"/>
      <c r="EG109" s="183"/>
      <c r="EH109" s="183"/>
      <c r="EI109" s="183"/>
      <c r="EJ109" s="183"/>
      <c r="EK109" s="183"/>
      <c r="EL109" s="183"/>
      <c r="EM109" s="183"/>
      <c r="EN109" s="183"/>
      <c r="EO109" s="183"/>
      <c r="EP109" s="183"/>
      <c r="EQ109" s="183"/>
      <c r="ER109" s="183"/>
      <c r="ES109" s="183"/>
      <c r="ET109" s="183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</row>
    <row r="110" spans="1:258" ht="13.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  <c r="AU110" s="183"/>
      <c r="AV110" s="183"/>
      <c r="AW110" s="183"/>
      <c r="AX110" s="183"/>
      <c r="AY110" s="183"/>
      <c r="AZ110" s="183"/>
      <c r="BA110" s="183"/>
      <c r="BB110" s="183"/>
      <c r="BC110" s="183"/>
      <c r="BD110" s="183"/>
      <c r="BE110" s="183"/>
      <c r="BF110" s="183"/>
      <c r="BG110" s="183"/>
      <c r="BH110" s="183"/>
      <c r="BI110" s="183"/>
      <c r="BJ110" s="183"/>
      <c r="BK110" s="183"/>
      <c r="BL110" s="183"/>
      <c r="BM110" s="183"/>
      <c r="BN110" s="183"/>
      <c r="BO110" s="183"/>
      <c r="BP110" s="183"/>
      <c r="BQ110" s="183"/>
      <c r="BR110" s="183"/>
      <c r="BS110" s="183"/>
      <c r="BT110" s="183"/>
      <c r="BU110" s="183"/>
      <c r="BV110" s="183"/>
      <c r="BW110" s="183"/>
      <c r="BX110" s="183"/>
      <c r="BY110" s="183"/>
      <c r="BZ110" s="183"/>
      <c r="CA110" s="183"/>
      <c r="CB110" s="183"/>
      <c r="CC110" s="183"/>
      <c r="CD110" s="183"/>
      <c r="CE110" s="183"/>
      <c r="CF110" s="183"/>
      <c r="CG110" s="183"/>
      <c r="CH110" s="183"/>
      <c r="CI110" s="183"/>
      <c r="CJ110" s="183"/>
      <c r="CK110" s="183"/>
      <c r="CL110" s="183"/>
      <c r="CM110" s="183"/>
      <c r="CN110" s="183"/>
      <c r="CO110" s="183"/>
      <c r="CP110" s="183"/>
      <c r="CQ110" s="183"/>
      <c r="CR110" s="183"/>
      <c r="CS110" s="183"/>
      <c r="CT110" s="183"/>
      <c r="CU110" s="183"/>
      <c r="CV110" s="183"/>
      <c r="CW110" s="183"/>
      <c r="CX110" s="183"/>
      <c r="CY110" s="183"/>
      <c r="CZ110" s="183"/>
      <c r="DA110" s="183"/>
      <c r="DB110" s="183"/>
      <c r="DC110" s="183"/>
      <c r="DD110" s="183"/>
      <c r="DE110" s="183"/>
      <c r="DF110" s="183"/>
      <c r="DG110" s="183"/>
      <c r="DH110" s="183"/>
      <c r="DI110" s="183"/>
      <c r="DJ110" s="183"/>
      <c r="DK110" s="183"/>
      <c r="DL110" s="183"/>
      <c r="DM110" s="183"/>
      <c r="DN110" s="183"/>
      <c r="DO110" s="183"/>
      <c r="DP110" s="183"/>
      <c r="DQ110" s="183"/>
      <c r="DR110" s="183"/>
      <c r="DS110" s="183"/>
      <c r="DT110" s="183"/>
      <c r="DU110" s="183"/>
      <c r="DV110" s="183"/>
      <c r="DW110" s="183"/>
      <c r="DX110" s="183"/>
      <c r="DY110" s="183"/>
      <c r="DZ110" s="183"/>
      <c r="EA110" s="183"/>
      <c r="EB110" s="183"/>
      <c r="EC110" s="183"/>
      <c r="ED110" s="183"/>
      <c r="EE110" s="183"/>
      <c r="EF110" s="183"/>
      <c r="EG110" s="183"/>
      <c r="EH110" s="183"/>
      <c r="EI110" s="183"/>
      <c r="EJ110" s="183"/>
      <c r="EK110" s="183"/>
      <c r="EL110" s="183"/>
      <c r="EM110" s="183"/>
      <c r="EN110" s="183"/>
      <c r="EO110" s="183"/>
      <c r="EP110" s="183"/>
      <c r="EQ110" s="183"/>
      <c r="ER110" s="183"/>
      <c r="ES110" s="183"/>
      <c r="ET110" s="183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</row>
    <row r="111" spans="1:258" ht="13.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  <c r="AU111" s="183"/>
      <c r="AV111" s="183"/>
      <c r="AW111" s="183"/>
      <c r="AX111" s="183"/>
      <c r="AY111" s="183"/>
      <c r="AZ111" s="183"/>
      <c r="BA111" s="183"/>
      <c r="BB111" s="183"/>
      <c r="BC111" s="183"/>
      <c r="BD111" s="183"/>
      <c r="BE111" s="183"/>
      <c r="BF111" s="183"/>
      <c r="BG111" s="183"/>
      <c r="BH111" s="183"/>
      <c r="BI111" s="183"/>
      <c r="BJ111" s="183"/>
      <c r="BK111" s="183"/>
      <c r="BL111" s="183"/>
      <c r="BM111" s="183"/>
      <c r="BN111" s="183"/>
      <c r="BO111" s="183"/>
      <c r="BP111" s="183"/>
      <c r="BQ111" s="183"/>
      <c r="BR111" s="183"/>
      <c r="BS111" s="183"/>
      <c r="BT111" s="183"/>
      <c r="BU111" s="183"/>
      <c r="BV111" s="183"/>
      <c r="BW111" s="183"/>
      <c r="BX111" s="183"/>
      <c r="BY111" s="183"/>
      <c r="BZ111" s="183"/>
      <c r="CA111" s="183"/>
      <c r="CB111" s="183"/>
      <c r="CC111" s="183"/>
      <c r="CD111" s="183"/>
      <c r="CE111" s="183"/>
      <c r="CF111" s="183"/>
      <c r="CG111" s="183"/>
      <c r="CH111" s="183"/>
      <c r="CI111" s="183"/>
      <c r="CJ111" s="183"/>
      <c r="CK111" s="183"/>
      <c r="CL111" s="183"/>
      <c r="CM111" s="183"/>
      <c r="CN111" s="183"/>
      <c r="CO111" s="183"/>
      <c r="CP111" s="183"/>
      <c r="CQ111" s="183"/>
      <c r="CR111" s="183"/>
      <c r="CS111" s="183"/>
      <c r="CT111" s="183"/>
      <c r="CU111" s="183"/>
      <c r="CV111" s="183"/>
      <c r="CW111" s="183"/>
      <c r="CX111" s="183"/>
      <c r="CY111" s="183"/>
      <c r="CZ111" s="183"/>
      <c r="DA111" s="183"/>
      <c r="DB111" s="183"/>
      <c r="DC111" s="183"/>
      <c r="DD111" s="183"/>
      <c r="DE111" s="183"/>
      <c r="DF111" s="183"/>
      <c r="DG111" s="183"/>
      <c r="DH111" s="183"/>
      <c r="DI111" s="183"/>
      <c r="DJ111" s="183"/>
      <c r="DK111" s="183"/>
      <c r="DL111" s="183"/>
      <c r="DM111" s="183"/>
      <c r="DN111" s="183"/>
      <c r="DO111" s="183"/>
      <c r="DP111" s="183"/>
      <c r="DQ111" s="183"/>
      <c r="DR111" s="183"/>
      <c r="DS111" s="183"/>
      <c r="DT111" s="183"/>
      <c r="DU111" s="183"/>
      <c r="DV111" s="183"/>
      <c r="DW111" s="183"/>
      <c r="DX111" s="183"/>
      <c r="DY111" s="183"/>
      <c r="DZ111" s="183"/>
      <c r="EA111" s="183"/>
      <c r="EB111" s="183"/>
      <c r="EC111" s="183"/>
      <c r="ED111" s="183"/>
      <c r="EE111" s="183"/>
      <c r="EF111" s="183"/>
      <c r="EG111" s="183"/>
      <c r="EH111" s="183"/>
      <c r="EI111" s="183"/>
      <c r="EJ111" s="183"/>
      <c r="EK111" s="183"/>
      <c r="EL111" s="183"/>
      <c r="EM111" s="183"/>
      <c r="EN111" s="183"/>
      <c r="EO111" s="183"/>
      <c r="EP111" s="183"/>
      <c r="EQ111" s="183"/>
      <c r="ER111" s="183"/>
      <c r="ES111" s="183"/>
      <c r="ET111" s="183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</row>
    <row r="112" spans="1:258" ht="13.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83"/>
      <c r="AY112" s="183"/>
      <c r="AZ112" s="183"/>
      <c r="BA112" s="183"/>
      <c r="BB112" s="183"/>
      <c r="BC112" s="183"/>
      <c r="BD112" s="183"/>
      <c r="BE112" s="183"/>
      <c r="BF112" s="183"/>
      <c r="BG112" s="183"/>
      <c r="BH112" s="183"/>
      <c r="BI112" s="183"/>
      <c r="BJ112" s="183"/>
      <c r="BK112" s="183"/>
      <c r="BL112" s="183"/>
      <c r="BM112" s="183"/>
      <c r="BN112" s="183"/>
      <c r="BO112" s="183"/>
      <c r="BP112" s="183"/>
      <c r="BQ112" s="183"/>
      <c r="BR112" s="183"/>
      <c r="BS112" s="183"/>
      <c r="BT112" s="183"/>
      <c r="BU112" s="183"/>
      <c r="BV112" s="183"/>
      <c r="BW112" s="183"/>
      <c r="BX112" s="183"/>
      <c r="BY112" s="183"/>
      <c r="BZ112" s="183"/>
      <c r="CA112" s="183"/>
      <c r="CB112" s="183"/>
      <c r="CC112" s="183"/>
      <c r="CD112" s="183"/>
      <c r="CE112" s="183"/>
      <c r="CF112" s="183"/>
      <c r="CG112" s="183"/>
      <c r="CH112" s="183"/>
      <c r="CI112" s="183"/>
      <c r="CJ112" s="183"/>
      <c r="CK112" s="183"/>
      <c r="CL112" s="183"/>
      <c r="CM112" s="183"/>
      <c r="CN112" s="183"/>
      <c r="CO112" s="183"/>
      <c r="CP112" s="183"/>
      <c r="CQ112" s="183"/>
      <c r="CR112" s="183"/>
      <c r="CS112" s="183"/>
      <c r="CT112" s="183"/>
      <c r="CU112" s="183"/>
      <c r="CV112" s="183"/>
      <c r="CW112" s="183"/>
      <c r="CX112" s="183"/>
      <c r="CY112" s="183"/>
      <c r="CZ112" s="183"/>
      <c r="DA112" s="183"/>
      <c r="DB112" s="183"/>
      <c r="DC112" s="183"/>
      <c r="DD112" s="183"/>
      <c r="DE112" s="183"/>
      <c r="DF112" s="183"/>
      <c r="DG112" s="183"/>
      <c r="DH112" s="183"/>
      <c r="DI112" s="183"/>
      <c r="DJ112" s="183"/>
      <c r="DK112" s="183"/>
      <c r="DL112" s="183"/>
      <c r="DM112" s="183"/>
      <c r="DN112" s="183"/>
      <c r="DO112" s="183"/>
      <c r="DP112" s="183"/>
      <c r="DQ112" s="183"/>
      <c r="DR112" s="183"/>
      <c r="DS112" s="183"/>
      <c r="DT112" s="183"/>
      <c r="DU112" s="183"/>
      <c r="DV112" s="183"/>
      <c r="DW112" s="183"/>
      <c r="DX112" s="183"/>
      <c r="DY112" s="183"/>
      <c r="DZ112" s="183"/>
      <c r="EA112" s="183"/>
      <c r="EB112" s="183"/>
      <c r="EC112" s="183"/>
      <c r="ED112" s="183"/>
      <c r="EE112" s="183"/>
      <c r="EF112" s="183"/>
      <c r="EG112" s="183"/>
      <c r="EH112" s="183"/>
      <c r="EI112" s="183"/>
      <c r="EJ112" s="183"/>
      <c r="EK112" s="183"/>
      <c r="EL112" s="183"/>
      <c r="EM112" s="183"/>
      <c r="EN112" s="183"/>
      <c r="EO112" s="183"/>
      <c r="EP112" s="183"/>
      <c r="EQ112" s="183"/>
      <c r="ER112" s="183"/>
      <c r="ES112" s="183"/>
      <c r="ET112" s="183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</row>
    <row r="113" spans="1:258" ht="13.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  <c r="AU113" s="183"/>
      <c r="AV113" s="183"/>
      <c r="AW113" s="183"/>
      <c r="AX113" s="183"/>
      <c r="AY113" s="183"/>
      <c r="AZ113" s="183"/>
      <c r="BA113" s="183"/>
      <c r="BB113" s="183"/>
      <c r="BC113" s="183"/>
      <c r="BD113" s="183"/>
      <c r="BE113" s="183"/>
      <c r="BF113" s="183"/>
      <c r="BG113" s="183"/>
      <c r="BH113" s="183"/>
      <c r="BI113" s="183"/>
      <c r="BJ113" s="183"/>
      <c r="BK113" s="183"/>
      <c r="BL113" s="183"/>
      <c r="BM113" s="183"/>
      <c r="BN113" s="183"/>
      <c r="BO113" s="183"/>
      <c r="BP113" s="183"/>
      <c r="BQ113" s="183"/>
      <c r="BR113" s="183"/>
      <c r="BS113" s="183"/>
      <c r="BT113" s="183"/>
      <c r="BU113" s="183"/>
      <c r="BV113" s="183"/>
      <c r="BW113" s="183"/>
      <c r="BX113" s="183"/>
      <c r="BY113" s="183"/>
      <c r="BZ113" s="183"/>
      <c r="CA113" s="183"/>
      <c r="CB113" s="183"/>
      <c r="CC113" s="183"/>
      <c r="CD113" s="183"/>
      <c r="CE113" s="183"/>
      <c r="CF113" s="183"/>
      <c r="CG113" s="183"/>
      <c r="CH113" s="183"/>
      <c r="CI113" s="183"/>
      <c r="CJ113" s="183"/>
      <c r="CK113" s="183"/>
      <c r="CL113" s="183"/>
      <c r="CM113" s="183"/>
      <c r="CN113" s="183"/>
      <c r="CO113" s="183"/>
      <c r="CP113" s="183"/>
      <c r="CQ113" s="183"/>
      <c r="CR113" s="183"/>
      <c r="CS113" s="183"/>
      <c r="CT113" s="183"/>
      <c r="CU113" s="183"/>
      <c r="CV113" s="183"/>
      <c r="CW113" s="183"/>
      <c r="CX113" s="183"/>
      <c r="CY113" s="183"/>
      <c r="CZ113" s="183"/>
      <c r="DA113" s="183"/>
      <c r="DB113" s="183"/>
      <c r="DC113" s="183"/>
      <c r="DD113" s="183"/>
      <c r="DE113" s="183"/>
      <c r="DF113" s="183"/>
      <c r="DG113" s="183"/>
      <c r="DH113" s="183"/>
      <c r="DI113" s="183"/>
      <c r="DJ113" s="183"/>
      <c r="DK113" s="183"/>
      <c r="DL113" s="183"/>
      <c r="DM113" s="183"/>
      <c r="DN113" s="183"/>
      <c r="DO113" s="183"/>
      <c r="DP113" s="183"/>
      <c r="DQ113" s="183"/>
      <c r="DR113" s="183"/>
      <c r="DS113" s="183"/>
      <c r="DT113" s="183"/>
      <c r="DU113" s="183"/>
      <c r="DV113" s="183"/>
      <c r="DW113" s="183"/>
      <c r="DX113" s="183"/>
      <c r="DY113" s="183"/>
      <c r="DZ113" s="183"/>
      <c r="EA113" s="183"/>
      <c r="EB113" s="183"/>
      <c r="EC113" s="183"/>
      <c r="ED113" s="183"/>
      <c r="EE113" s="183"/>
      <c r="EF113" s="183"/>
      <c r="EG113" s="183"/>
      <c r="EH113" s="183"/>
      <c r="EI113" s="183"/>
      <c r="EJ113" s="183"/>
      <c r="EK113" s="183"/>
      <c r="EL113" s="183"/>
      <c r="EM113" s="183"/>
      <c r="EN113" s="183"/>
      <c r="EO113" s="183"/>
      <c r="EP113" s="183"/>
      <c r="EQ113" s="183"/>
      <c r="ER113" s="183"/>
      <c r="ES113" s="183"/>
      <c r="ET113" s="183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</row>
    <row r="114" spans="1:258" ht="13.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83"/>
      <c r="AY114" s="183"/>
      <c r="AZ114" s="183"/>
      <c r="BA114" s="183"/>
      <c r="BB114" s="183"/>
      <c r="BC114" s="183"/>
      <c r="BD114" s="183"/>
      <c r="BE114" s="183"/>
      <c r="BF114" s="183"/>
      <c r="BG114" s="183"/>
      <c r="BH114" s="183"/>
      <c r="BI114" s="183"/>
      <c r="BJ114" s="183"/>
      <c r="BK114" s="183"/>
      <c r="BL114" s="183"/>
      <c r="BM114" s="183"/>
      <c r="BN114" s="183"/>
      <c r="BO114" s="183"/>
      <c r="BP114" s="183"/>
      <c r="BQ114" s="183"/>
      <c r="BR114" s="183"/>
      <c r="BS114" s="183"/>
      <c r="BT114" s="183"/>
      <c r="BU114" s="183"/>
      <c r="BV114" s="183"/>
      <c r="BW114" s="183"/>
      <c r="BX114" s="183"/>
      <c r="BY114" s="183"/>
      <c r="BZ114" s="183"/>
      <c r="CA114" s="183"/>
      <c r="CB114" s="183"/>
      <c r="CC114" s="183"/>
      <c r="CD114" s="183"/>
      <c r="CE114" s="183"/>
      <c r="CF114" s="183"/>
      <c r="CG114" s="183"/>
      <c r="CH114" s="183"/>
      <c r="CI114" s="183"/>
      <c r="CJ114" s="183"/>
      <c r="CK114" s="183"/>
      <c r="CL114" s="183"/>
      <c r="CM114" s="183"/>
      <c r="CN114" s="183"/>
      <c r="CO114" s="183"/>
      <c r="CP114" s="183"/>
      <c r="CQ114" s="183"/>
      <c r="CR114" s="183"/>
      <c r="CS114" s="183"/>
      <c r="CT114" s="183"/>
      <c r="CU114" s="183"/>
      <c r="CV114" s="183"/>
      <c r="CW114" s="183"/>
      <c r="CX114" s="183"/>
      <c r="CY114" s="183"/>
      <c r="CZ114" s="183"/>
      <c r="DA114" s="183"/>
      <c r="DB114" s="183"/>
      <c r="DC114" s="183"/>
      <c r="DD114" s="183"/>
      <c r="DE114" s="183"/>
      <c r="DF114" s="183"/>
      <c r="DG114" s="183"/>
      <c r="DH114" s="183"/>
      <c r="DI114" s="183"/>
      <c r="DJ114" s="183"/>
      <c r="DK114" s="183"/>
      <c r="DL114" s="183"/>
      <c r="DM114" s="183"/>
      <c r="DN114" s="183"/>
      <c r="DO114" s="183"/>
      <c r="DP114" s="183"/>
      <c r="DQ114" s="183"/>
      <c r="DR114" s="183"/>
      <c r="DS114" s="183"/>
      <c r="DT114" s="183"/>
      <c r="DU114" s="183"/>
      <c r="DV114" s="183"/>
      <c r="DW114" s="183"/>
      <c r="DX114" s="183"/>
      <c r="DY114" s="183"/>
      <c r="DZ114" s="183"/>
      <c r="EA114" s="183"/>
      <c r="EB114" s="183"/>
      <c r="EC114" s="183"/>
      <c r="ED114" s="183"/>
      <c r="EE114" s="183"/>
      <c r="EF114" s="183"/>
      <c r="EG114" s="183"/>
      <c r="EH114" s="183"/>
      <c r="EI114" s="183"/>
      <c r="EJ114" s="183"/>
      <c r="EK114" s="183"/>
      <c r="EL114" s="183"/>
      <c r="EM114" s="183"/>
      <c r="EN114" s="183"/>
      <c r="EO114" s="183"/>
      <c r="EP114" s="183"/>
      <c r="EQ114" s="183"/>
      <c r="ER114" s="183"/>
      <c r="ES114" s="183"/>
      <c r="ET114" s="183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</row>
    <row r="115" spans="1:258" ht="13.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83"/>
      <c r="AY115" s="183"/>
      <c r="AZ115" s="183"/>
      <c r="BA115" s="183"/>
      <c r="BB115" s="183"/>
      <c r="BC115" s="183"/>
      <c r="BD115" s="183"/>
      <c r="BE115" s="183"/>
      <c r="BF115" s="183"/>
      <c r="BG115" s="183"/>
      <c r="BH115" s="183"/>
      <c r="BI115" s="183"/>
      <c r="BJ115" s="183"/>
      <c r="BK115" s="183"/>
      <c r="BL115" s="183"/>
      <c r="BM115" s="183"/>
      <c r="BN115" s="183"/>
      <c r="BO115" s="183"/>
      <c r="BP115" s="183"/>
      <c r="BQ115" s="183"/>
      <c r="BR115" s="183"/>
      <c r="BS115" s="183"/>
      <c r="BT115" s="183"/>
      <c r="BU115" s="183"/>
      <c r="BV115" s="183"/>
      <c r="BW115" s="183"/>
      <c r="BX115" s="183"/>
      <c r="BY115" s="183"/>
      <c r="BZ115" s="183"/>
      <c r="CA115" s="183"/>
      <c r="CB115" s="183"/>
      <c r="CC115" s="183"/>
      <c r="CD115" s="183"/>
      <c r="CE115" s="183"/>
      <c r="CF115" s="183"/>
      <c r="CG115" s="183"/>
      <c r="CH115" s="183"/>
      <c r="CI115" s="183"/>
      <c r="CJ115" s="183"/>
      <c r="CK115" s="183"/>
      <c r="CL115" s="183"/>
      <c r="CM115" s="183"/>
      <c r="CN115" s="183"/>
      <c r="CO115" s="183"/>
      <c r="CP115" s="183"/>
      <c r="CQ115" s="183"/>
      <c r="CR115" s="183"/>
      <c r="CS115" s="183"/>
      <c r="CT115" s="183"/>
      <c r="CU115" s="183"/>
      <c r="CV115" s="183"/>
      <c r="CW115" s="183"/>
      <c r="CX115" s="183"/>
      <c r="CY115" s="183"/>
      <c r="CZ115" s="183"/>
      <c r="DA115" s="183"/>
      <c r="DB115" s="183"/>
      <c r="DC115" s="183"/>
      <c r="DD115" s="183"/>
      <c r="DE115" s="183"/>
      <c r="DF115" s="183"/>
      <c r="DG115" s="183"/>
      <c r="DH115" s="183"/>
      <c r="DI115" s="183"/>
      <c r="DJ115" s="183"/>
      <c r="DK115" s="183"/>
      <c r="DL115" s="183"/>
      <c r="DM115" s="183"/>
      <c r="DN115" s="183"/>
      <c r="DO115" s="183"/>
      <c r="DP115" s="183"/>
      <c r="DQ115" s="183"/>
      <c r="DR115" s="183"/>
      <c r="DS115" s="183"/>
      <c r="DT115" s="183"/>
      <c r="DU115" s="183"/>
      <c r="DV115" s="183"/>
      <c r="DW115" s="183"/>
      <c r="DX115" s="183"/>
      <c r="DY115" s="183"/>
      <c r="DZ115" s="183"/>
      <c r="EA115" s="183"/>
      <c r="EB115" s="183"/>
      <c r="EC115" s="183"/>
      <c r="ED115" s="183"/>
      <c r="EE115" s="183"/>
      <c r="EF115" s="183"/>
      <c r="EG115" s="183"/>
      <c r="EH115" s="183"/>
      <c r="EI115" s="183"/>
      <c r="EJ115" s="183"/>
      <c r="EK115" s="183"/>
      <c r="EL115" s="183"/>
      <c r="EM115" s="183"/>
      <c r="EN115" s="183"/>
      <c r="EO115" s="183"/>
      <c r="EP115" s="183"/>
      <c r="EQ115" s="183"/>
      <c r="ER115" s="183"/>
      <c r="ES115" s="183"/>
      <c r="ET115" s="183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</row>
    <row r="116" spans="1:258" ht="13.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  <c r="BH116" s="183"/>
      <c r="BI116" s="183"/>
      <c r="BJ116" s="183"/>
      <c r="BK116" s="183"/>
      <c r="BL116" s="183"/>
      <c r="BM116" s="183"/>
      <c r="BN116" s="183"/>
      <c r="BO116" s="183"/>
      <c r="BP116" s="183"/>
      <c r="BQ116" s="183"/>
      <c r="BR116" s="183"/>
      <c r="BS116" s="183"/>
      <c r="BT116" s="183"/>
      <c r="BU116" s="183"/>
      <c r="BV116" s="183"/>
      <c r="BW116" s="183"/>
      <c r="BX116" s="183"/>
      <c r="BY116" s="183"/>
      <c r="BZ116" s="183"/>
      <c r="CA116" s="183"/>
      <c r="CB116" s="183"/>
      <c r="CC116" s="183"/>
      <c r="CD116" s="183"/>
      <c r="CE116" s="183"/>
      <c r="CF116" s="183"/>
      <c r="CG116" s="183"/>
      <c r="CH116" s="183"/>
      <c r="CI116" s="183"/>
      <c r="CJ116" s="183"/>
      <c r="CK116" s="183"/>
      <c r="CL116" s="183"/>
      <c r="CM116" s="183"/>
      <c r="CN116" s="183"/>
      <c r="CO116" s="183"/>
      <c r="CP116" s="183"/>
      <c r="CQ116" s="183"/>
      <c r="CR116" s="183"/>
      <c r="CS116" s="183"/>
      <c r="CT116" s="183"/>
      <c r="CU116" s="183"/>
      <c r="CV116" s="183"/>
      <c r="CW116" s="183"/>
      <c r="CX116" s="183"/>
      <c r="CY116" s="183"/>
      <c r="CZ116" s="183"/>
      <c r="DA116" s="183"/>
      <c r="DB116" s="183"/>
      <c r="DC116" s="183"/>
      <c r="DD116" s="183"/>
      <c r="DE116" s="183"/>
      <c r="DF116" s="183"/>
      <c r="DG116" s="183"/>
      <c r="DH116" s="183"/>
      <c r="DI116" s="183"/>
      <c r="DJ116" s="183"/>
      <c r="DK116" s="183"/>
      <c r="DL116" s="183"/>
      <c r="DM116" s="183"/>
      <c r="DN116" s="183"/>
      <c r="DO116" s="183"/>
      <c r="DP116" s="183"/>
      <c r="DQ116" s="183"/>
      <c r="DR116" s="183"/>
      <c r="DS116" s="183"/>
      <c r="DT116" s="183"/>
      <c r="DU116" s="183"/>
      <c r="DV116" s="183"/>
      <c r="DW116" s="183"/>
      <c r="DX116" s="183"/>
      <c r="DY116" s="183"/>
      <c r="DZ116" s="183"/>
      <c r="EA116" s="183"/>
      <c r="EB116" s="183"/>
      <c r="EC116" s="183"/>
      <c r="ED116" s="183"/>
      <c r="EE116" s="183"/>
      <c r="EF116" s="183"/>
      <c r="EG116" s="183"/>
      <c r="EH116" s="183"/>
      <c r="EI116" s="183"/>
      <c r="EJ116" s="183"/>
      <c r="EK116" s="183"/>
      <c r="EL116" s="183"/>
      <c r="EM116" s="183"/>
      <c r="EN116" s="183"/>
      <c r="EO116" s="183"/>
      <c r="EP116" s="183"/>
      <c r="EQ116" s="183"/>
      <c r="ER116" s="183"/>
      <c r="ES116" s="183"/>
      <c r="ET116" s="183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</row>
    <row r="117" spans="1:258" ht="13.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  <c r="AU117" s="183"/>
      <c r="AV117" s="183"/>
      <c r="AW117" s="183"/>
      <c r="AX117" s="183"/>
      <c r="AY117" s="183"/>
      <c r="AZ117" s="183"/>
      <c r="BA117" s="183"/>
      <c r="BB117" s="183"/>
      <c r="BC117" s="183"/>
      <c r="BD117" s="183"/>
      <c r="BE117" s="183"/>
      <c r="BF117" s="183"/>
      <c r="BG117" s="183"/>
      <c r="BH117" s="183"/>
      <c r="BI117" s="183"/>
      <c r="BJ117" s="183"/>
      <c r="BK117" s="183"/>
      <c r="BL117" s="183"/>
      <c r="BM117" s="183"/>
      <c r="BN117" s="183"/>
      <c r="BO117" s="183"/>
      <c r="BP117" s="183"/>
      <c r="BQ117" s="183"/>
      <c r="BR117" s="183"/>
      <c r="BS117" s="183"/>
      <c r="BT117" s="183"/>
      <c r="BU117" s="183"/>
      <c r="BV117" s="183"/>
      <c r="BW117" s="183"/>
      <c r="BX117" s="183"/>
      <c r="BY117" s="183"/>
      <c r="BZ117" s="183"/>
      <c r="CA117" s="183"/>
      <c r="CB117" s="183"/>
      <c r="CC117" s="183"/>
      <c r="CD117" s="183"/>
      <c r="CE117" s="183"/>
      <c r="CF117" s="183"/>
      <c r="CG117" s="183"/>
      <c r="CH117" s="183"/>
      <c r="CI117" s="183"/>
      <c r="CJ117" s="183"/>
      <c r="CK117" s="183"/>
      <c r="CL117" s="183"/>
      <c r="CM117" s="183"/>
      <c r="CN117" s="183"/>
      <c r="CO117" s="183"/>
      <c r="CP117" s="183"/>
      <c r="CQ117" s="183"/>
      <c r="CR117" s="183"/>
      <c r="CS117" s="183"/>
      <c r="CT117" s="183"/>
      <c r="CU117" s="183"/>
      <c r="CV117" s="183"/>
      <c r="CW117" s="183"/>
      <c r="CX117" s="183"/>
      <c r="CY117" s="183"/>
      <c r="CZ117" s="183"/>
      <c r="DA117" s="183"/>
      <c r="DB117" s="183"/>
      <c r="DC117" s="183"/>
      <c r="DD117" s="183"/>
      <c r="DE117" s="183"/>
      <c r="DF117" s="183"/>
      <c r="DG117" s="183"/>
      <c r="DH117" s="183"/>
      <c r="DI117" s="183"/>
      <c r="DJ117" s="183"/>
      <c r="DK117" s="183"/>
      <c r="DL117" s="183"/>
      <c r="DM117" s="183"/>
      <c r="DN117" s="183"/>
      <c r="DO117" s="183"/>
      <c r="DP117" s="183"/>
      <c r="DQ117" s="183"/>
      <c r="DR117" s="183"/>
      <c r="DS117" s="183"/>
      <c r="DT117" s="183"/>
      <c r="DU117" s="183"/>
      <c r="DV117" s="183"/>
      <c r="DW117" s="183"/>
      <c r="DX117" s="183"/>
      <c r="DY117" s="183"/>
      <c r="DZ117" s="183"/>
      <c r="EA117" s="183"/>
      <c r="EB117" s="183"/>
      <c r="EC117" s="183"/>
      <c r="ED117" s="183"/>
      <c r="EE117" s="183"/>
      <c r="EF117" s="183"/>
      <c r="EG117" s="183"/>
      <c r="EH117" s="183"/>
      <c r="EI117" s="183"/>
      <c r="EJ117" s="183"/>
      <c r="EK117" s="183"/>
      <c r="EL117" s="183"/>
      <c r="EM117" s="183"/>
      <c r="EN117" s="183"/>
      <c r="EO117" s="183"/>
      <c r="EP117" s="183"/>
      <c r="EQ117" s="183"/>
      <c r="ER117" s="183"/>
      <c r="ES117" s="183"/>
      <c r="ET117" s="183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</row>
    <row r="118" spans="1:258" ht="13.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  <c r="AU118" s="183"/>
      <c r="AV118" s="183"/>
      <c r="AW118" s="183"/>
      <c r="AX118" s="183"/>
      <c r="AY118" s="183"/>
      <c r="AZ118" s="183"/>
      <c r="BA118" s="183"/>
      <c r="BB118" s="183"/>
      <c r="BC118" s="183"/>
      <c r="BD118" s="183"/>
      <c r="BE118" s="183"/>
      <c r="BF118" s="183"/>
      <c r="BG118" s="183"/>
      <c r="BH118" s="183"/>
      <c r="BI118" s="183"/>
      <c r="BJ118" s="183"/>
      <c r="BK118" s="183"/>
      <c r="BL118" s="183"/>
      <c r="BM118" s="183"/>
      <c r="BN118" s="183"/>
      <c r="BO118" s="183"/>
      <c r="BP118" s="183"/>
      <c r="BQ118" s="183"/>
      <c r="BR118" s="183"/>
      <c r="BS118" s="183"/>
      <c r="BT118" s="183"/>
      <c r="BU118" s="183"/>
      <c r="BV118" s="183"/>
      <c r="BW118" s="183"/>
      <c r="BX118" s="183"/>
      <c r="BY118" s="183"/>
      <c r="BZ118" s="183"/>
      <c r="CA118" s="183"/>
      <c r="CB118" s="183"/>
      <c r="CC118" s="183"/>
      <c r="CD118" s="183"/>
      <c r="CE118" s="183"/>
      <c r="CF118" s="183"/>
      <c r="CG118" s="183"/>
      <c r="CH118" s="183"/>
      <c r="CI118" s="183"/>
      <c r="CJ118" s="183"/>
      <c r="CK118" s="183"/>
      <c r="CL118" s="183"/>
      <c r="CM118" s="183"/>
      <c r="CN118" s="183"/>
      <c r="CO118" s="183"/>
      <c r="CP118" s="183"/>
      <c r="CQ118" s="183"/>
      <c r="CR118" s="183"/>
      <c r="CS118" s="183"/>
      <c r="CT118" s="183"/>
      <c r="CU118" s="183"/>
      <c r="CV118" s="183"/>
      <c r="CW118" s="183"/>
      <c r="CX118" s="183"/>
      <c r="CY118" s="183"/>
      <c r="CZ118" s="183"/>
      <c r="DA118" s="183"/>
      <c r="DB118" s="183"/>
      <c r="DC118" s="183"/>
      <c r="DD118" s="183"/>
      <c r="DE118" s="183"/>
      <c r="DF118" s="183"/>
      <c r="DG118" s="183"/>
      <c r="DH118" s="183"/>
      <c r="DI118" s="183"/>
      <c r="DJ118" s="183"/>
      <c r="DK118" s="183"/>
      <c r="DL118" s="183"/>
      <c r="DM118" s="183"/>
      <c r="DN118" s="183"/>
      <c r="DO118" s="183"/>
      <c r="DP118" s="183"/>
      <c r="DQ118" s="183"/>
      <c r="DR118" s="183"/>
      <c r="DS118" s="183"/>
      <c r="DT118" s="183"/>
      <c r="DU118" s="183"/>
      <c r="DV118" s="183"/>
      <c r="DW118" s="183"/>
      <c r="DX118" s="183"/>
      <c r="DY118" s="183"/>
      <c r="DZ118" s="183"/>
      <c r="EA118" s="183"/>
      <c r="EB118" s="183"/>
      <c r="EC118" s="183"/>
      <c r="ED118" s="183"/>
      <c r="EE118" s="183"/>
      <c r="EF118" s="183"/>
      <c r="EG118" s="183"/>
      <c r="EH118" s="183"/>
      <c r="EI118" s="183"/>
      <c r="EJ118" s="183"/>
      <c r="EK118" s="183"/>
      <c r="EL118" s="183"/>
      <c r="EM118" s="183"/>
      <c r="EN118" s="183"/>
      <c r="EO118" s="183"/>
      <c r="EP118" s="183"/>
      <c r="EQ118" s="183"/>
      <c r="ER118" s="183"/>
      <c r="ES118" s="183"/>
      <c r="ET118" s="183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</row>
    <row r="119" spans="1:258" ht="13.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  <c r="BH119" s="183"/>
      <c r="BI119" s="183"/>
      <c r="BJ119" s="183"/>
      <c r="BK119" s="183"/>
      <c r="BL119" s="183"/>
      <c r="BM119" s="183"/>
      <c r="BN119" s="183"/>
      <c r="BO119" s="183"/>
      <c r="BP119" s="183"/>
      <c r="BQ119" s="183"/>
      <c r="BR119" s="183"/>
      <c r="BS119" s="183"/>
      <c r="BT119" s="183"/>
      <c r="BU119" s="183"/>
      <c r="BV119" s="183"/>
      <c r="BW119" s="183"/>
      <c r="BX119" s="183"/>
      <c r="BY119" s="183"/>
      <c r="BZ119" s="183"/>
      <c r="CA119" s="183"/>
      <c r="CB119" s="183"/>
      <c r="CC119" s="183"/>
      <c r="CD119" s="183"/>
      <c r="CE119" s="183"/>
      <c r="CF119" s="183"/>
      <c r="CG119" s="183"/>
      <c r="CH119" s="183"/>
      <c r="CI119" s="183"/>
      <c r="CJ119" s="183"/>
      <c r="CK119" s="183"/>
      <c r="CL119" s="183"/>
      <c r="CM119" s="183"/>
      <c r="CN119" s="183"/>
      <c r="CO119" s="183"/>
      <c r="CP119" s="183"/>
      <c r="CQ119" s="183"/>
      <c r="CR119" s="183"/>
      <c r="CS119" s="183"/>
      <c r="CT119" s="183"/>
      <c r="CU119" s="183"/>
      <c r="CV119" s="183"/>
      <c r="CW119" s="183"/>
      <c r="CX119" s="183"/>
      <c r="CY119" s="183"/>
      <c r="CZ119" s="183"/>
      <c r="DA119" s="183"/>
      <c r="DB119" s="183"/>
      <c r="DC119" s="183"/>
      <c r="DD119" s="183"/>
      <c r="DE119" s="183"/>
      <c r="DF119" s="183"/>
      <c r="DG119" s="183"/>
      <c r="DH119" s="183"/>
      <c r="DI119" s="183"/>
      <c r="DJ119" s="183"/>
      <c r="DK119" s="183"/>
      <c r="DL119" s="183"/>
      <c r="DM119" s="183"/>
      <c r="DN119" s="183"/>
      <c r="DO119" s="183"/>
      <c r="DP119" s="183"/>
      <c r="DQ119" s="183"/>
      <c r="DR119" s="183"/>
      <c r="DS119" s="183"/>
      <c r="DT119" s="183"/>
      <c r="DU119" s="183"/>
      <c r="DV119" s="183"/>
      <c r="DW119" s="183"/>
      <c r="DX119" s="183"/>
      <c r="DY119" s="183"/>
      <c r="DZ119" s="183"/>
      <c r="EA119" s="183"/>
      <c r="EB119" s="183"/>
      <c r="EC119" s="183"/>
      <c r="ED119" s="183"/>
      <c r="EE119" s="183"/>
      <c r="EF119" s="183"/>
      <c r="EG119" s="183"/>
      <c r="EH119" s="183"/>
      <c r="EI119" s="183"/>
      <c r="EJ119" s="183"/>
      <c r="EK119" s="183"/>
      <c r="EL119" s="183"/>
      <c r="EM119" s="183"/>
      <c r="EN119" s="183"/>
      <c r="EO119" s="183"/>
      <c r="EP119" s="183"/>
      <c r="EQ119" s="183"/>
      <c r="ER119" s="183"/>
      <c r="ES119" s="183"/>
      <c r="ET119" s="183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</row>
    <row r="120" spans="1:258" ht="13.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  <c r="BH120" s="183"/>
      <c r="BI120" s="183"/>
      <c r="BJ120" s="183"/>
      <c r="BK120" s="183"/>
      <c r="BL120" s="183"/>
      <c r="BM120" s="183"/>
      <c r="BN120" s="183"/>
      <c r="BO120" s="183"/>
      <c r="BP120" s="183"/>
      <c r="BQ120" s="183"/>
      <c r="BR120" s="183"/>
      <c r="BS120" s="183"/>
      <c r="BT120" s="183"/>
      <c r="BU120" s="183"/>
      <c r="BV120" s="183"/>
      <c r="BW120" s="183"/>
      <c r="BX120" s="183"/>
      <c r="BY120" s="183"/>
      <c r="BZ120" s="183"/>
      <c r="CA120" s="183"/>
      <c r="CB120" s="183"/>
      <c r="CC120" s="183"/>
      <c r="CD120" s="183"/>
      <c r="CE120" s="183"/>
      <c r="CF120" s="183"/>
      <c r="CG120" s="183"/>
      <c r="CH120" s="183"/>
      <c r="CI120" s="183"/>
      <c r="CJ120" s="183"/>
      <c r="CK120" s="183"/>
      <c r="CL120" s="183"/>
      <c r="CM120" s="183"/>
      <c r="CN120" s="183"/>
      <c r="CO120" s="183"/>
      <c r="CP120" s="183"/>
      <c r="CQ120" s="183"/>
      <c r="CR120" s="183"/>
      <c r="CS120" s="183"/>
      <c r="CT120" s="183"/>
      <c r="CU120" s="183"/>
      <c r="CV120" s="183"/>
      <c r="CW120" s="183"/>
      <c r="CX120" s="183"/>
      <c r="CY120" s="183"/>
      <c r="CZ120" s="183"/>
      <c r="DA120" s="183"/>
      <c r="DB120" s="183"/>
      <c r="DC120" s="183"/>
      <c r="DD120" s="183"/>
      <c r="DE120" s="183"/>
      <c r="DF120" s="183"/>
      <c r="DG120" s="183"/>
      <c r="DH120" s="183"/>
      <c r="DI120" s="183"/>
      <c r="DJ120" s="183"/>
      <c r="DK120" s="183"/>
      <c r="DL120" s="183"/>
      <c r="DM120" s="183"/>
      <c r="DN120" s="183"/>
      <c r="DO120" s="183"/>
      <c r="DP120" s="183"/>
      <c r="DQ120" s="183"/>
      <c r="DR120" s="183"/>
      <c r="DS120" s="183"/>
      <c r="DT120" s="183"/>
      <c r="DU120" s="183"/>
      <c r="DV120" s="183"/>
      <c r="DW120" s="183"/>
      <c r="DX120" s="183"/>
      <c r="DY120" s="183"/>
      <c r="DZ120" s="183"/>
      <c r="EA120" s="183"/>
      <c r="EB120" s="183"/>
      <c r="EC120" s="183"/>
      <c r="ED120" s="183"/>
      <c r="EE120" s="183"/>
      <c r="EF120" s="183"/>
      <c r="EG120" s="183"/>
      <c r="EH120" s="183"/>
      <c r="EI120" s="183"/>
      <c r="EJ120" s="183"/>
      <c r="EK120" s="183"/>
      <c r="EL120" s="183"/>
      <c r="EM120" s="183"/>
      <c r="EN120" s="183"/>
      <c r="EO120" s="183"/>
      <c r="EP120" s="183"/>
      <c r="EQ120" s="183"/>
      <c r="ER120" s="183"/>
      <c r="ES120" s="183"/>
      <c r="ET120" s="183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</row>
    <row r="121" spans="1:258" ht="13.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  <c r="BQ121" s="183"/>
      <c r="BR121" s="183"/>
      <c r="BS121" s="183"/>
      <c r="BT121" s="183"/>
      <c r="BU121" s="183"/>
      <c r="BV121" s="183"/>
      <c r="BW121" s="183"/>
      <c r="BX121" s="183"/>
      <c r="BY121" s="183"/>
      <c r="BZ121" s="183"/>
      <c r="CA121" s="183"/>
      <c r="CB121" s="183"/>
      <c r="CC121" s="183"/>
      <c r="CD121" s="183"/>
      <c r="CE121" s="183"/>
      <c r="CF121" s="183"/>
      <c r="CG121" s="183"/>
      <c r="CH121" s="183"/>
      <c r="CI121" s="183"/>
      <c r="CJ121" s="183"/>
      <c r="CK121" s="183"/>
      <c r="CL121" s="183"/>
      <c r="CM121" s="183"/>
      <c r="CN121" s="183"/>
      <c r="CO121" s="183"/>
      <c r="CP121" s="183"/>
      <c r="CQ121" s="183"/>
      <c r="CR121" s="183"/>
      <c r="CS121" s="183"/>
      <c r="CT121" s="183"/>
      <c r="CU121" s="183"/>
      <c r="CV121" s="183"/>
      <c r="CW121" s="183"/>
      <c r="CX121" s="183"/>
      <c r="CY121" s="183"/>
      <c r="CZ121" s="183"/>
      <c r="DA121" s="183"/>
      <c r="DB121" s="183"/>
      <c r="DC121" s="183"/>
      <c r="DD121" s="183"/>
      <c r="DE121" s="183"/>
      <c r="DF121" s="183"/>
      <c r="DG121" s="183"/>
      <c r="DH121" s="183"/>
      <c r="DI121" s="183"/>
      <c r="DJ121" s="183"/>
      <c r="DK121" s="183"/>
      <c r="DL121" s="183"/>
      <c r="DM121" s="183"/>
      <c r="DN121" s="183"/>
      <c r="DO121" s="183"/>
      <c r="DP121" s="183"/>
      <c r="DQ121" s="183"/>
      <c r="DR121" s="183"/>
      <c r="DS121" s="183"/>
      <c r="DT121" s="183"/>
      <c r="DU121" s="183"/>
      <c r="DV121" s="183"/>
      <c r="DW121" s="183"/>
      <c r="DX121" s="183"/>
      <c r="DY121" s="183"/>
      <c r="DZ121" s="183"/>
      <c r="EA121" s="183"/>
      <c r="EB121" s="183"/>
      <c r="EC121" s="183"/>
      <c r="ED121" s="183"/>
      <c r="EE121" s="183"/>
      <c r="EF121" s="183"/>
      <c r="EG121" s="183"/>
      <c r="EH121" s="183"/>
      <c r="EI121" s="183"/>
      <c r="EJ121" s="183"/>
      <c r="EK121" s="183"/>
      <c r="EL121" s="183"/>
      <c r="EM121" s="183"/>
      <c r="EN121" s="183"/>
      <c r="EO121" s="183"/>
      <c r="EP121" s="183"/>
      <c r="EQ121" s="183"/>
      <c r="ER121" s="183"/>
      <c r="ES121" s="183"/>
      <c r="ET121" s="183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</row>
    <row r="122" spans="1:258" ht="13.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  <c r="AS122" s="183"/>
      <c r="AT122" s="183"/>
      <c r="AU122" s="183"/>
      <c r="AV122" s="183"/>
      <c r="AW122" s="183"/>
      <c r="AX122" s="183"/>
      <c r="AY122" s="183"/>
      <c r="AZ122" s="183"/>
      <c r="BA122" s="183"/>
      <c r="BB122" s="183"/>
      <c r="BC122" s="183"/>
      <c r="BD122" s="183"/>
      <c r="BE122" s="183"/>
      <c r="BF122" s="183"/>
      <c r="BG122" s="183"/>
      <c r="BH122" s="183"/>
      <c r="BI122" s="183"/>
      <c r="BJ122" s="183"/>
      <c r="BK122" s="183"/>
      <c r="BL122" s="183"/>
      <c r="BM122" s="183"/>
      <c r="BN122" s="183"/>
      <c r="BO122" s="183"/>
      <c r="BP122" s="183"/>
      <c r="BQ122" s="183"/>
      <c r="BR122" s="183"/>
      <c r="BS122" s="183"/>
      <c r="BT122" s="183"/>
      <c r="BU122" s="183"/>
      <c r="BV122" s="183"/>
      <c r="BW122" s="183"/>
      <c r="BX122" s="183"/>
      <c r="BY122" s="183"/>
      <c r="BZ122" s="183"/>
      <c r="CA122" s="183"/>
      <c r="CB122" s="183"/>
      <c r="CC122" s="183"/>
      <c r="CD122" s="183"/>
      <c r="CE122" s="183"/>
      <c r="CF122" s="183"/>
      <c r="CG122" s="183"/>
      <c r="CH122" s="183"/>
      <c r="CI122" s="183"/>
      <c r="CJ122" s="183"/>
      <c r="CK122" s="183"/>
      <c r="CL122" s="183"/>
      <c r="CM122" s="183"/>
      <c r="CN122" s="183"/>
      <c r="CO122" s="183"/>
      <c r="CP122" s="183"/>
      <c r="CQ122" s="183"/>
      <c r="CR122" s="183"/>
      <c r="CS122" s="183"/>
      <c r="CT122" s="183"/>
      <c r="CU122" s="183"/>
      <c r="CV122" s="183"/>
      <c r="CW122" s="183"/>
      <c r="CX122" s="183"/>
      <c r="CY122" s="183"/>
      <c r="CZ122" s="183"/>
      <c r="DA122" s="183"/>
      <c r="DB122" s="183"/>
      <c r="DC122" s="183"/>
      <c r="DD122" s="183"/>
      <c r="DE122" s="183"/>
      <c r="DF122" s="183"/>
      <c r="DG122" s="183"/>
      <c r="DH122" s="183"/>
      <c r="DI122" s="183"/>
      <c r="DJ122" s="183"/>
      <c r="DK122" s="183"/>
      <c r="DL122" s="183"/>
      <c r="DM122" s="183"/>
      <c r="DN122" s="183"/>
      <c r="DO122" s="183"/>
      <c r="DP122" s="183"/>
      <c r="DQ122" s="183"/>
      <c r="DR122" s="183"/>
      <c r="DS122" s="183"/>
      <c r="DT122" s="183"/>
      <c r="DU122" s="183"/>
      <c r="DV122" s="183"/>
      <c r="DW122" s="183"/>
      <c r="DX122" s="183"/>
      <c r="DY122" s="183"/>
      <c r="DZ122" s="183"/>
      <c r="EA122" s="183"/>
      <c r="EB122" s="183"/>
      <c r="EC122" s="183"/>
      <c r="ED122" s="183"/>
      <c r="EE122" s="183"/>
      <c r="EF122" s="183"/>
      <c r="EG122" s="183"/>
      <c r="EH122" s="183"/>
      <c r="EI122" s="183"/>
      <c r="EJ122" s="183"/>
      <c r="EK122" s="183"/>
      <c r="EL122" s="183"/>
      <c r="EM122" s="183"/>
      <c r="EN122" s="183"/>
      <c r="EO122" s="183"/>
      <c r="EP122" s="183"/>
      <c r="EQ122" s="183"/>
      <c r="ER122" s="183"/>
      <c r="ES122" s="183"/>
      <c r="ET122" s="183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</row>
    <row r="123" spans="1:258" ht="13.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  <c r="BH123" s="183"/>
      <c r="BI123" s="183"/>
      <c r="BJ123" s="183"/>
      <c r="BK123" s="183"/>
      <c r="BL123" s="183"/>
      <c r="BM123" s="183"/>
      <c r="BN123" s="183"/>
      <c r="BO123" s="183"/>
      <c r="BP123" s="183"/>
      <c r="BQ123" s="183"/>
      <c r="BR123" s="183"/>
      <c r="BS123" s="183"/>
      <c r="BT123" s="183"/>
      <c r="BU123" s="183"/>
      <c r="BV123" s="183"/>
      <c r="BW123" s="183"/>
      <c r="BX123" s="183"/>
      <c r="BY123" s="183"/>
      <c r="BZ123" s="183"/>
      <c r="CA123" s="183"/>
      <c r="CB123" s="183"/>
      <c r="CC123" s="183"/>
      <c r="CD123" s="183"/>
      <c r="CE123" s="183"/>
      <c r="CF123" s="183"/>
      <c r="CG123" s="183"/>
      <c r="CH123" s="183"/>
      <c r="CI123" s="183"/>
      <c r="CJ123" s="183"/>
      <c r="CK123" s="183"/>
      <c r="CL123" s="183"/>
      <c r="CM123" s="183"/>
      <c r="CN123" s="183"/>
      <c r="CO123" s="183"/>
      <c r="CP123" s="183"/>
      <c r="CQ123" s="183"/>
      <c r="CR123" s="183"/>
      <c r="CS123" s="183"/>
      <c r="CT123" s="183"/>
      <c r="CU123" s="183"/>
      <c r="CV123" s="183"/>
      <c r="CW123" s="183"/>
      <c r="CX123" s="183"/>
      <c r="CY123" s="183"/>
      <c r="CZ123" s="183"/>
      <c r="DA123" s="183"/>
      <c r="DB123" s="183"/>
      <c r="DC123" s="183"/>
      <c r="DD123" s="183"/>
      <c r="DE123" s="183"/>
      <c r="DF123" s="183"/>
      <c r="DG123" s="183"/>
      <c r="DH123" s="183"/>
      <c r="DI123" s="183"/>
      <c r="DJ123" s="183"/>
      <c r="DK123" s="183"/>
      <c r="DL123" s="183"/>
      <c r="DM123" s="183"/>
      <c r="DN123" s="183"/>
      <c r="DO123" s="183"/>
      <c r="DP123" s="183"/>
      <c r="DQ123" s="183"/>
      <c r="DR123" s="183"/>
      <c r="DS123" s="183"/>
      <c r="DT123" s="183"/>
      <c r="DU123" s="183"/>
      <c r="DV123" s="183"/>
      <c r="DW123" s="183"/>
      <c r="DX123" s="183"/>
      <c r="DY123" s="183"/>
      <c r="DZ123" s="183"/>
      <c r="EA123" s="183"/>
      <c r="EB123" s="183"/>
      <c r="EC123" s="183"/>
      <c r="ED123" s="183"/>
      <c r="EE123" s="183"/>
      <c r="EF123" s="183"/>
      <c r="EG123" s="183"/>
      <c r="EH123" s="183"/>
      <c r="EI123" s="183"/>
      <c r="EJ123" s="183"/>
      <c r="EK123" s="183"/>
      <c r="EL123" s="183"/>
      <c r="EM123" s="183"/>
      <c r="EN123" s="183"/>
      <c r="EO123" s="183"/>
      <c r="EP123" s="183"/>
      <c r="EQ123" s="183"/>
      <c r="ER123" s="183"/>
      <c r="ES123" s="183"/>
      <c r="ET123" s="183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</row>
    <row r="124" spans="1:258" ht="13.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  <c r="BH124" s="183"/>
      <c r="BI124" s="183"/>
      <c r="BJ124" s="183"/>
      <c r="BK124" s="183"/>
      <c r="BL124" s="183"/>
      <c r="BM124" s="183"/>
      <c r="BN124" s="183"/>
      <c r="BO124" s="183"/>
      <c r="BP124" s="183"/>
      <c r="BQ124" s="183"/>
      <c r="BR124" s="183"/>
      <c r="BS124" s="183"/>
      <c r="BT124" s="183"/>
      <c r="BU124" s="183"/>
      <c r="BV124" s="183"/>
      <c r="BW124" s="183"/>
      <c r="BX124" s="183"/>
      <c r="BY124" s="183"/>
      <c r="BZ124" s="183"/>
      <c r="CA124" s="183"/>
      <c r="CB124" s="183"/>
      <c r="CC124" s="183"/>
      <c r="CD124" s="183"/>
      <c r="CE124" s="183"/>
      <c r="CF124" s="183"/>
      <c r="CG124" s="183"/>
      <c r="CH124" s="183"/>
      <c r="CI124" s="183"/>
      <c r="CJ124" s="183"/>
      <c r="CK124" s="183"/>
      <c r="CL124" s="183"/>
      <c r="CM124" s="183"/>
      <c r="CN124" s="183"/>
      <c r="CO124" s="183"/>
      <c r="CP124" s="183"/>
      <c r="CQ124" s="183"/>
      <c r="CR124" s="183"/>
      <c r="CS124" s="183"/>
      <c r="CT124" s="183"/>
      <c r="CU124" s="183"/>
      <c r="CV124" s="183"/>
      <c r="CW124" s="183"/>
      <c r="CX124" s="183"/>
      <c r="CY124" s="183"/>
      <c r="CZ124" s="183"/>
      <c r="DA124" s="183"/>
      <c r="DB124" s="183"/>
      <c r="DC124" s="183"/>
      <c r="DD124" s="183"/>
      <c r="DE124" s="183"/>
      <c r="DF124" s="183"/>
      <c r="DG124" s="183"/>
      <c r="DH124" s="183"/>
      <c r="DI124" s="183"/>
      <c r="DJ124" s="183"/>
      <c r="DK124" s="183"/>
      <c r="DL124" s="183"/>
      <c r="DM124" s="183"/>
      <c r="DN124" s="183"/>
      <c r="DO124" s="183"/>
      <c r="DP124" s="183"/>
      <c r="DQ124" s="183"/>
      <c r="DR124" s="183"/>
      <c r="DS124" s="183"/>
      <c r="DT124" s="183"/>
      <c r="DU124" s="183"/>
      <c r="DV124" s="183"/>
      <c r="DW124" s="183"/>
      <c r="DX124" s="183"/>
      <c r="DY124" s="183"/>
      <c r="DZ124" s="183"/>
      <c r="EA124" s="183"/>
      <c r="EB124" s="183"/>
      <c r="EC124" s="183"/>
      <c r="ED124" s="183"/>
      <c r="EE124" s="183"/>
      <c r="EF124" s="183"/>
      <c r="EG124" s="183"/>
      <c r="EH124" s="183"/>
      <c r="EI124" s="183"/>
      <c r="EJ124" s="183"/>
      <c r="EK124" s="183"/>
      <c r="EL124" s="183"/>
      <c r="EM124" s="183"/>
      <c r="EN124" s="183"/>
      <c r="EO124" s="183"/>
      <c r="EP124" s="183"/>
      <c r="EQ124" s="183"/>
      <c r="ER124" s="183"/>
      <c r="ES124" s="183"/>
      <c r="ET124" s="183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</row>
    <row r="125" spans="1:258" ht="13.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  <c r="AU125" s="183"/>
      <c r="AV125" s="183"/>
      <c r="AW125" s="183"/>
      <c r="AX125" s="183"/>
      <c r="AY125" s="183"/>
      <c r="AZ125" s="183"/>
      <c r="BA125" s="183"/>
      <c r="BB125" s="183"/>
      <c r="BC125" s="183"/>
      <c r="BD125" s="183"/>
      <c r="BE125" s="183"/>
      <c r="BF125" s="183"/>
      <c r="BG125" s="183"/>
      <c r="BH125" s="183"/>
      <c r="BI125" s="183"/>
      <c r="BJ125" s="183"/>
      <c r="BK125" s="183"/>
      <c r="BL125" s="183"/>
      <c r="BM125" s="183"/>
      <c r="BN125" s="183"/>
      <c r="BO125" s="183"/>
      <c r="BP125" s="183"/>
      <c r="BQ125" s="183"/>
      <c r="BR125" s="183"/>
      <c r="BS125" s="183"/>
      <c r="BT125" s="183"/>
      <c r="BU125" s="183"/>
      <c r="BV125" s="183"/>
      <c r="BW125" s="183"/>
      <c r="BX125" s="183"/>
      <c r="BY125" s="183"/>
      <c r="BZ125" s="183"/>
      <c r="CA125" s="183"/>
      <c r="CB125" s="183"/>
      <c r="CC125" s="183"/>
      <c r="CD125" s="183"/>
      <c r="CE125" s="183"/>
      <c r="CF125" s="183"/>
      <c r="CG125" s="183"/>
      <c r="CH125" s="183"/>
      <c r="CI125" s="183"/>
      <c r="CJ125" s="183"/>
      <c r="CK125" s="183"/>
      <c r="CL125" s="183"/>
      <c r="CM125" s="183"/>
      <c r="CN125" s="183"/>
      <c r="CO125" s="183"/>
      <c r="CP125" s="183"/>
      <c r="CQ125" s="183"/>
      <c r="CR125" s="183"/>
      <c r="CS125" s="183"/>
      <c r="CT125" s="183"/>
      <c r="CU125" s="183"/>
      <c r="CV125" s="183"/>
      <c r="CW125" s="183"/>
      <c r="CX125" s="183"/>
      <c r="CY125" s="183"/>
      <c r="CZ125" s="183"/>
      <c r="DA125" s="183"/>
      <c r="DB125" s="183"/>
      <c r="DC125" s="183"/>
      <c r="DD125" s="183"/>
      <c r="DE125" s="183"/>
      <c r="DF125" s="183"/>
      <c r="DG125" s="183"/>
      <c r="DH125" s="183"/>
      <c r="DI125" s="183"/>
      <c r="DJ125" s="183"/>
      <c r="DK125" s="183"/>
      <c r="DL125" s="183"/>
      <c r="DM125" s="183"/>
      <c r="DN125" s="183"/>
      <c r="DO125" s="183"/>
      <c r="DP125" s="183"/>
      <c r="DQ125" s="183"/>
      <c r="DR125" s="183"/>
      <c r="DS125" s="183"/>
      <c r="DT125" s="183"/>
      <c r="DU125" s="183"/>
      <c r="DV125" s="183"/>
      <c r="DW125" s="183"/>
      <c r="DX125" s="183"/>
      <c r="DY125" s="183"/>
      <c r="DZ125" s="183"/>
      <c r="EA125" s="183"/>
      <c r="EB125" s="183"/>
      <c r="EC125" s="183"/>
      <c r="ED125" s="183"/>
      <c r="EE125" s="183"/>
      <c r="EF125" s="183"/>
      <c r="EG125" s="183"/>
      <c r="EH125" s="183"/>
      <c r="EI125" s="183"/>
      <c r="EJ125" s="183"/>
      <c r="EK125" s="183"/>
      <c r="EL125" s="183"/>
      <c r="EM125" s="183"/>
      <c r="EN125" s="183"/>
      <c r="EO125" s="183"/>
      <c r="EP125" s="183"/>
      <c r="EQ125" s="183"/>
      <c r="ER125" s="183"/>
      <c r="ES125" s="183"/>
      <c r="ET125" s="183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</row>
    <row r="126" spans="1:258" ht="13.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  <c r="AS126" s="183"/>
      <c r="AT126" s="183"/>
      <c r="AU126" s="183"/>
      <c r="AV126" s="183"/>
      <c r="AW126" s="183"/>
      <c r="AX126" s="183"/>
      <c r="AY126" s="183"/>
      <c r="AZ126" s="183"/>
      <c r="BA126" s="183"/>
      <c r="BB126" s="183"/>
      <c r="BC126" s="183"/>
      <c r="BD126" s="183"/>
      <c r="BE126" s="183"/>
      <c r="BF126" s="183"/>
      <c r="BG126" s="183"/>
      <c r="BH126" s="183"/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3"/>
      <c r="BT126" s="183"/>
      <c r="BU126" s="183"/>
      <c r="BV126" s="183"/>
      <c r="BW126" s="183"/>
      <c r="BX126" s="183"/>
      <c r="BY126" s="183"/>
      <c r="BZ126" s="183"/>
      <c r="CA126" s="183"/>
      <c r="CB126" s="183"/>
      <c r="CC126" s="183"/>
      <c r="CD126" s="183"/>
      <c r="CE126" s="183"/>
      <c r="CF126" s="183"/>
      <c r="CG126" s="183"/>
      <c r="CH126" s="183"/>
      <c r="CI126" s="183"/>
      <c r="CJ126" s="183"/>
      <c r="CK126" s="183"/>
      <c r="CL126" s="183"/>
      <c r="CM126" s="183"/>
      <c r="CN126" s="183"/>
      <c r="CO126" s="183"/>
      <c r="CP126" s="183"/>
      <c r="CQ126" s="183"/>
      <c r="CR126" s="183"/>
      <c r="CS126" s="183"/>
      <c r="CT126" s="183"/>
      <c r="CU126" s="183"/>
      <c r="CV126" s="183"/>
      <c r="CW126" s="183"/>
      <c r="CX126" s="183"/>
      <c r="CY126" s="183"/>
      <c r="CZ126" s="183"/>
      <c r="DA126" s="183"/>
      <c r="DB126" s="183"/>
      <c r="DC126" s="183"/>
      <c r="DD126" s="183"/>
      <c r="DE126" s="183"/>
      <c r="DF126" s="183"/>
      <c r="DG126" s="183"/>
      <c r="DH126" s="183"/>
      <c r="DI126" s="183"/>
      <c r="DJ126" s="183"/>
      <c r="DK126" s="183"/>
      <c r="DL126" s="183"/>
      <c r="DM126" s="183"/>
      <c r="DN126" s="183"/>
      <c r="DO126" s="183"/>
      <c r="DP126" s="183"/>
      <c r="DQ126" s="183"/>
      <c r="DR126" s="183"/>
      <c r="DS126" s="183"/>
      <c r="DT126" s="183"/>
      <c r="DU126" s="183"/>
      <c r="DV126" s="183"/>
      <c r="DW126" s="183"/>
      <c r="DX126" s="183"/>
      <c r="DY126" s="183"/>
      <c r="DZ126" s="183"/>
      <c r="EA126" s="183"/>
      <c r="EB126" s="183"/>
      <c r="EC126" s="183"/>
      <c r="ED126" s="183"/>
      <c r="EE126" s="183"/>
      <c r="EF126" s="183"/>
      <c r="EG126" s="183"/>
      <c r="EH126" s="183"/>
      <c r="EI126" s="183"/>
      <c r="EJ126" s="183"/>
      <c r="EK126" s="183"/>
      <c r="EL126" s="183"/>
      <c r="EM126" s="183"/>
      <c r="EN126" s="183"/>
      <c r="EO126" s="183"/>
      <c r="EP126" s="183"/>
      <c r="EQ126" s="183"/>
      <c r="ER126" s="183"/>
      <c r="ES126" s="183"/>
      <c r="ET126" s="183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</row>
    <row r="127" spans="1:258" ht="13.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  <c r="BH127" s="183"/>
      <c r="BI127" s="183"/>
      <c r="BJ127" s="183"/>
      <c r="BK127" s="183"/>
      <c r="BL127" s="183"/>
      <c r="BM127" s="183"/>
      <c r="BN127" s="183"/>
      <c r="BO127" s="183"/>
      <c r="BP127" s="183"/>
      <c r="BQ127" s="183"/>
      <c r="BR127" s="183"/>
      <c r="BS127" s="183"/>
      <c r="BT127" s="183"/>
      <c r="BU127" s="183"/>
      <c r="BV127" s="183"/>
      <c r="BW127" s="183"/>
      <c r="BX127" s="183"/>
      <c r="BY127" s="183"/>
      <c r="BZ127" s="183"/>
      <c r="CA127" s="183"/>
      <c r="CB127" s="183"/>
      <c r="CC127" s="183"/>
      <c r="CD127" s="183"/>
      <c r="CE127" s="183"/>
      <c r="CF127" s="183"/>
      <c r="CG127" s="183"/>
      <c r="CH127" s="183"/>
      <c r="CI127" s="183"/>
      <c r="CJ127" s="183"/>
      <c r="CK127" s="183"/>
      <c r="CL127" s="183"/>
      <c r="CM127" s="183"/>
      <c r="CN127" s="183"/>
      <c r="CO127" s="183"/>
      <c r="CP127" s="183"/>
      <c r="CQ127" s="183"/>
      <c r="CR127" s="183"/>
      <c r="CS127" s="183"/>
      <c r="CT127" s="183"/>
      <c r="CU127" s="183"/>
      <c r="CV127" s="183"/>
      <c r="CW127" s="183"/>
      <c r="CX127" s="183"/>
      <c r="CY127" s="183"/>
      <c r="CZ127" s="183"/>
      <c r="DA127" s="183"/>
      <c r="DB127" s="183"/>
      <c r="DC127" s="183"/>
      <c r="DD127" s="183"/>
      <c r="DE127" s="183"/>
      <c r="DF127" s="183"/>
      <c r="DG127" s="183"/>
      <c r="DH127" s="183"/>
      <c r="DI127" s="183"/>
      <c r="DJ127" s="183"/>
      <c r="DK127" s="183"/>
      <c r="DL127" s="183"/>
      <c r="DM127" s="183"/>
      <c r="DN127" s="183"/>
      <c r="DO127" s="183"/>
      <c r="DP127" s="183"/>
      <c r="DQ127" s="183"/>
      <c r="DR127" s="183"/>
      <c r="DS127" s="183"/>
      <c r="DT127" s="183"/>
      <c r="DU127" s="183"/>
      <c r="DV127" s="183"/>
      <c r="DW127" s="183"/>
      <c r="DX127" s="183"/>
      <c r="DY127" s="183"/>
      <c r="DZ127" s="183"/>
      <c r="EA127" s="183"/>
      <c r="EB127" s="183"/>
      <c r="EC127" s="183"/>
      <c r="ED127" s="183"/>
      <c r="EE127" s="183"/>
      <c r="EF127" s="183"/>
      <c r="EG127" s="183"/>
      <c r="EH127" s="183"/>
      <c r="EI127" s="183"/>
      <c r="EJ127" s="183"/>
      <c r="EK127" s="183"/>
      <c r="EL127" s="183"/>
      <c r="EM127" s="183"/>
      <c r="EN127" s="183"/>
      <c r="EO127" s="183"/>
      <c r="EP127" s="183"/>
      <c r="EQ127" s="183"/>
      <c r="ER127" s="183"/>
      <c r="ES127" s="183"/>
      <c r="ET127" s="183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</row>
    <row r="128" spans="1:258" ht="13.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  <c r="BH128" s="183"/>
      <c r="BI128" s="183"/>
      <c r="BJ128" s="183"/>
      <c r="BK128" s="183"/>
      <c r="BL128" s="183"/>
      <c r="BM128" s="183"/>
      <c r="BN128" s="183"/>
      <c r="BO128" s="183"/>
      <c r="BP128" s="183"/>
      <c r="BQ128" s="183"/>
      <c r="BR128" s="183"/>
      <c r="BS128" s="183"/>
      <c r="BT128" s="183"/>
      <c r="BU128" s="183"/>
      <c r="BV128" s="183"/>
      <c r="BW128" s="183"/>
      <c r="BX128" s="183"/>
      <c r="BY128" s="183"/>
      <c r="BZ128" s="183"/>
      <c r="CA128" s="183"/>
      <c r="CB128" s="183"/>
      <c r="CC128" s="183"/>
      <c r="CD128" s="183"/>
      <c r="CE128" s="183"/>
      <c r="CF128" s="183"/>
      <c r="CG128" s="183"/>
      <c r="CH128" s="183"/>
      <c r="CI128" s="183"/>
      <c r="CJ128" s="183"/>
      <c r="CK128" s="183"/>
      <c r="CL128" s="183"/>
      <c r="CM128" s="183"/>
      <c r="CN128" s="183"/>
      <c r="CO128" s="183"/>
      <c r="CP128" s="183"/>
      <c r="CQ128" s="183"/>
      <c r="CR128" s="183"/>
      <c r="CS128" s="183"/>
      <c r="CT128" s="183"/>
      <c r="CU128" s="183"/>
      <c r="CV128" s="183"/>
      <c r="CW128" s="183"/>
      <c r="CX128" s="183"/>
      <c r="CY128" s="183"/>
      <c r="CZ128" s="183"/>
      <c r="DA128" s="183"/>
      <c r="DB128" s="183"/>
      <c r="DC128" s="183"/>
      <c r="DD128" s="183"/>
      <c r="DE128" s="183"/>
      <c r="DF128" s="183"/>
      <c r="DG128" s="183"/>
      <c r="DH128" s="183"/>
      <c r="DI128" s="183"/>
      <c r="DJ128" s="183"/>
      <c r="DK128" s="183"/>
      <c r="DL128" s="183"/>
      <c r="DM128" s="183"/>
      <c r="DN128" s="183"/>
      <c r="DO128" s="183"/>
      <c r="DP128" s="183"/>
      <c r="DQ128" s="183"/>
      <c r="DR128" s="183"/>
      <c r="DS128" s="183"/>
      <c r="DT128" s="183"/>
      <c r="DU128" s="183"/>
      <c r="DV128" s="183"/>
      <c r="DW128" s="183"/>
      <c r="DX128" s="183"/>
      <c r="DY128" s="183"/>
      <c r="DZ128" s="183"/>
      <c r="EA128" s="183"/>
      <c r="EB128" s="183"/>
      <c r="EC128" s="183"/>
      <c r="ED128" s="183"/>
      <c r="EE128" s="183"/>
      <c r="EF128" s="183"/>
      <c r="EG128" s="183"/>
      <c r="EH128" s="183"/>
      <c r="EI128" s="183"/>
      <c r="EJ128" s="183"/>
      <c r="EK128" s="183"/>
      <c r="EL128" s="183"/>
      <c r="EM128" s="183"/>
      <c r="EN128" s="183"/>
      <c r="EO128" s="183"/>
      <c r="EP128" s="183"/>
      <c r="EQ128" s="183"/>
      <c r="ER128" s="183"/>
      <c r="ES128" s="183"/>
      <c r="ET128" s="183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</row>
    <row r="129" spans="1:258" ht="13.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  <c r="BK129" s="183"/>
      <c r="BL129" s="183"/>
      <c r="BM129" s="183"/>
      <c r="BN129" s="183"/>
      <c r="BO129" s="183"/>
      <c r="BP129" s="183"/>
      <c r="BQ129" s="183"/>
      <c r="BR129" s="183"/>
      <c r="BS129" s="183"/>
      <c r="BT129" s="183"/>
      <c r="BU129" s="183"/>
      <c r="BV129" s="183"/>
      <c r="BW129" s="183"/>
      <c r="BX129" s="183"/>
      <c r="BY129" s="183"/>
      <c r="BZ129" s="183"/>
      <c r="CA129" s="183"/>
      <c r="CB129" s="183"/>
      <c r="CC129" s="183"/>
      <c r="CD129" s="183"/>
      <c r="CE129" s="183"/>
      <c r="CF129" s="183"/>
      <c r="CG129" s="183"/>
      <c r="CH129" s="183"/>
      <c r="CI129" s="183"/>
      <c r="CJ129" s="183"/>
      <c r="CK129" s="183"/>
      <c r="CL129" s="183"/>
      <c r="CM129" s="183"/>
      <c r="CN129" s="183"/>
      <c r="CO129" s="183"/>
      <c r="CP129" s="183"/>
      <c r="CQ129" s="183"/>
      <c r="CR129" s="183"/>
      <c r="CS129" s="183"/>
      <c r="CT129" s="183"/>
      <c r="CU129" s="183"/>
      <c r="CV129" s="183"/>
      <c r="CW129" s="183"/>
      <c r="CX129" s="183"/>
      <c r="CY129" s="183"/>
      <c r="CZ129" s="183"/>
      <c r="DA129" s="183"/>
      <c r="DB129" s="183"/>
      <c r="DC129" s="183"/>
      <c r="DD129" s="183"/>
      <c r="DE129" s="183"/>
      <c r="DF129" s="183"/>
      <c r="DG129" s="183"/>
      <c r="DH129" s="183"/>
      <c r="DI129" s="183"/>
      <c r="DJ129" s="183"/>
      <c r="DK129" s="183"/>
      <c r="DL129" s="183"/>
      <c r="DM129" s="183"/>
      <c r="DN129" s="183"/>
      <c r="DO129" s="183"/>
      <c r="DP129" s="183"/>
      <c r="DQ129" s="183"/>
      <c r="DR129" s="183"/>
      <c r="DS129" s="183"/>
      <c r="DT129" s="183"/>
      <c r="DU129" s="183"/>
      <c r="DV129" s="183"/>
      <c r="DW129" s="183"/>
      <c r="DX129" s="183"/>
      <c r="DY129" s="183"/>
      <c r="DZ129" s="183"/>
      <c r="EA129" s="183"/>
      <c r="EB129" s="183"/>
      <c r="EC129" s="183"/>
      <c r="ED129" s="183"/>
      <c r="EE129" s="183"/>
      <c r="EF129" s="183"/>
      <c r="EG129" s="183"/>
      <c r="EH129" s="183"/>
      <c r="EI129" s="183"/>
      <c r="EJ129" s="183"/>
      <c r="EK129" s="183"/>
      <c r="EL129" s="183"/>
      <c r="EM129" s="183"/>
      <c r="EN129" s="183"/>
      <c r="EO129" s="183"/>
      <c r="EP129" s="183"/>
      <c r="EQ129" s="183"/>
      <c r="ER129" s="183"/>
      <c r="ES129" s="183"/>
      <c r="ET129" s="183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</row>
    <row r="130" spans="1:258" ht="13.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  <c r="AS130" s="183"/>
      <c r="AT130" s="183"/>
      <c r="AU130" s="183"/>
      <c r="AV130" s="183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  <c r="BK130" s="183"/>
      <c r="BL130" s="183"/>
      <c r="BM130" s="183"/>
      <c r="BN130" s="183"/>
      <c r="BO130" s="183"/>
      <c r="BP130" s="183"/>
      <c r="BQ130" s="183"/>
      <c r="BR130" s="183"/>
      <c r="BS130" s="183"/>
      <c r="BT130" s="183"/>
      <c r="BU130" s="183"/>
      <c r="BV130" s="183"/>
      <c r="BW130" s="183"/>
      <c r="BX130" s="183"/>
      <c r="BY130" s="183"/>
      <c r="BZ130" s="183"/>
      <c r="CA130" s="183"/>
      <c r="CB130" s="183"/>
      <c r="CC130" s="183"/>
      <c r="CD130" s="183"/>
      <c r="CE130" s="183"/>
      <c r="CF130" s="183"/>
      <c r="CG130" s="183"/>
      <c r="CH130" s="183"/>
      <c r="CI130" s="183"/>
      <c r="CJ130" s="183"/>
      <c r="CK130" s="183"/>
      <c r="CL130" s="183"/>
      <c r="CM130" s="183"/>
      <c r="CN130" s="183"/>
      <c r="CO130" s="183"/>
      <c r="CP130" s="183"/>
      <c r="CQ130" s="183"/>
      <c r="CR130" s="183"/>
      <c r="CS130" s="183"/>
      <c r="CT130" s="183"/>
      <c r="CU130" s="183"/>
      <c r="CV130" s="183"/>
      <c r="CW130" s="183"/>
      <c r="CX130" s="183"/>
      <c r="CY130" s="183"/>
      <c r="CZ130" s="183"/>
      <c r="DA130" s="183"/>
      <c r="DB130" s="183"/>
      <c r="DC130" s="183"/>
      <c r="DD130" s="183"/>
      <c r="DE130" s="183"/>
      <c r="DF130" s="183"/>
      <c r="DG130" s="183"/>
      <c r="DH130" s="183"/>
      <c r="DI130" s="183"/>
      <c r="DJ130" s="183"/>
      <c r="DK130" s="183"/>
      <c r="DL130" s="183"/>
      <c r="DM130" s="183"/>
      <c r="DN130" s="183"/>
      <c r="DO130" s="183"/>
      <c r="DP130" s="183"/>
      <c r="DQ130" s="183"/>
      <c r="DR130" s="183"/>
      <c r="DS130" s="183"/>
      <c r="DT130" s="183"/>
      <c r="DU130" s="183"/>
      <c r="DV130" s="183"/>
      <c r="DW130" s="183"/>
      <c r="DX130" s="183"/>
      <c r="DY130" s="183"/>
      <c r="DZ130" s="183"/>
      <c r="EA130" s="183"/>
      <c r="EB130" s="183"/>
      <c r="EC130" s="183"/>
      <c r="ED130" s="183"/>
      <c r="EE130" s="183"/>
      <c r="EF130" s="183"/>
      <c r="EG130" s="183"/>
      <c r="EH130" s="183"/>
      <c r="EI130" s="183"/>
      <c r="EJ130" s="183"/>
      <c r="EK130" s="183"/>
      <c r="EL130" s="183"/>
      <c r="EM130" s="183"/>
      <c r="EN130" s="183"/>
      <c r="EO130" s="183"/>
      <c r="EP130" s="183"/>
      <c r="EQ130" s="183"/>
      <c r="ER130" s="183"/>
      <c r="ES130" s="183"/>
      <c r="ET130" s="183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</row>
    <row r="131" spans="1:258" ht="13.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  <c r="BK131" s="183"/>
      <c r="BL131" s="183"/>
      <c r="BM131" s="183"/>
      <c r="BN131" s="183"/>
      <c r="BO131" s="183"/>
      <c r="BP131" s="183"/>
      <c r="BQ131" s="183"/>
      <c r="BR131" s="183"/>
      <c r="BS131" s="183"/>
      <c r="BT131" s="183"/>
      <c r="BU131" s="183"/>
      <c r="BV131" s="183"/>
      <c r="BW131" s="183"/>
      <c r="BX131" s="183"/>
      <c r="BY131" s="183"/>
      <c r="BZ131" s="183"/>
      <c r="CA131" s="183"/>
      <c r="CB131" s="183"/>
      <c r="CC131" s="183"/>
      <c r="CD131" s="183"/>
      <c r="CE131" s="183"/>
      <c r="CF131" s="183"/>
      <c r="CG131" s="183"/>
      <c r="CH131" s="183"/>
      <c r="CI131" s="183"/>
      <c r="CJ131" s="183"/>
      <c r="CK131" s="183"/>
      <c r="CL131" s="183"/>
      <c r="CM131" s="183"/>
      <c r="CN131" s="183"/>
      <c r="CO131" s="183"/>
      <c r="CP131" s="183"/>
      <c r="CQ131" s="183"/>
      <c r="CR131" s="183"/>
      <c r="CS131" s="183"/>
      <c r="CT131" s="183"/>
      <c r="CU131" s="183"/>
      <c r="CV131" s="183"/>
      <c r="CW131" s="183"/>
      <c r="CX131" s="183"/>
      <c r="CY131" s="183"/>
      <c r="CZ131" s="183"/>
      <c r="DA131" s="183"/>
      <c r="DB131" s="183"/>
      <c r="DC131" s="183"/>
      <c r="DD131" s="183"/>
      <c r="DE131" s="183"/>
      <c r="DF131" s="183"/>
      <c r="DG131" s="183"/>
      <c r="DH131" s="183"/>
      <c r="DI131" s="183"/>
      <c r="DJ131" s="183"/>
      <c r="DK131" s="183"/>
      <c r="DL131" s="183"/>
      <c r="DM131" s="183"/>
      <c r="DN131" s="183"/>
      <c r="DO131" s="183"/>
      <c r="DP131" s="183"/>
      <c r="DQ131" s="183"/>
      <c r="DR131" s="183"/>
      <c r="DS131" s="183"/>
      <c r="DT131" s="183"/>
      <c r="DU131" s="183"/>
      <c r="DV131" s="183"/>
      <c r="DW131" s="183"/>
      <c r="DX131" s="183"/>
      <c r="DY131" s="183"/>
      <c r="DZ131" s="183"/>
      <c r="EA131" s="183"/>
      <c r="EB131" s="183"/>
      <c r="EC131" s="183"/>
      <c r="ED131" s="183"/>
      <c r="EE131" s="183"/>
      <c r="EF131" s="183"/>
      <c r="EG131" s="183"/>
      <c r="EH131" s="183"/>
      <c r="EI131" s="183"/>
      <c r="EJ131" s="183"/>
      <c r="EK131" s="183"/>
      <c r="EL131" s="183"/>
      <c r="EM131" s="183"/>
      <c r="EN131" s="183"/>
      <c r="EO131" s="183"/>
      <c r="EP131" s="183"/>
      <c r="EQ131" s="183"/>
      <c r="ER131" s="183"/>
      <c r="ES131" s="183"/>
      <c r="ET131" s="183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</row>
    <row r="132" spans="1:258" ht="13.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L132" s="183"/>
      <c r="BM132" s="183"/>
      <c r="BN132" s="183"/>
      <c r="BO132" s="183"/>
      <c r="BP132" s="183"/>
      <c r="BQ132" s="183"/>
      <c r="BR132" s="183"/>
      <c r="BS132" s="183"/>
      <c r="BT132" s="183"/>
      <c r="BU132" s="183"/>
      <c r="BV132" s="183"/>
      <c r="BW132" s="183"/>
      <c r="BX132" s="183"/>
      <c r="BY132" s="183"/>
      <c r="BZ132" s="183"/>
      <c r="CA132" s="183"/>
      <c r="CB132" s="183"/>
      <c r="CC132" s="183"/>
      <c r="CD132" s="183"/>
      <c r="CE132" s="183"/>
      <c r="CF132" s="183"/>
      <c r="CG132" s="183"/>
      <c r="CH132" s="183"/>
      <c r="CI132" s="183"/>
      <c r="CJ132" s="183"/>
      <c r="CK132" s="183"/>
      <c r="CL132" s="183"/>
      <c r="CM132" s="183"/>
      <c r="CN132" s="183"/>
      <c r="CO132" s="183"/>
      <c r="CP132" s="183"/>
      <c r="CQ132" s="183"/>
      <c r="CR132" s="183"/>
      <c r="CS132" s="183"/>
      <c r="CT132" s="183"/>
      <c r="CU132" s="183"/>
      <c r="CV132" s="183"/>
      <c r="CW132" s="183"/>
      <c r="CX132" s="183"/>
      <c r="CY132" s="183"/>
      <c r="CZ132" s="183"/>
      <c r="DA132" s="183"/>
      <c r="DB132" s="183"/>
      <c r="DC132" s="183"/>
      <c r="DD132" s="183"/>
      <c r="DE132" s="183"/>
      <c r="DF132" s="183"/>
      <c r="DG132" s="183"/>
      <c r="DH132" s="183"/>
      <c r="DI132" s="183"/>
      <c r="DJ132" s="183"/>
      <c r="DK132" s="183"/>
      <c r="DL132" s="183"/>
      <c r="DM132" s="183"/>
      <c r="DN132" s="183"/>
      <c r="DO132" s="183"/>
      <c r="DP132" s="183"/>
      <c r="DQ132" s="183"/>
      <c r="DR132" s="183"/>
      <c r="DS132" s="183"/>
      <c r="DT132" s="183"/>
      <c r="DU132" s="183"/>
      <c r="DV132" s="183"/>
      <c r="DW132" s="183"/>
      <c r="DX132" s="183"/>
      <c r="DY132" s="183"/>
      <c r="DZ132" s="183"/>
      <c r="EA132" s="183"/>
      <c r="EB132" s="183"/>
      <c r="EC132" s="183"/>
      <c r="ED132" s="183"/>
      <c r="EE132" s="183"/>
      <c r="EF132" s="183"/>
      <c r="EG132" s="183"/>
      <c r="EH132" s="183"/>
      <c r="EI132" s="183"/>
      <c r="EJ132" s="183"/>
      <c r="EK132" s="183"/>
      <c r="EL132" s="183"/>
      <c r="EM132" s="183"/>
      <c r="EN132" s="183"/>
      <c r="EO132" s="183"/>
      <c r="EP132" s="183"/>
      <c r="EQ132" s="183"/>
      <c r="ER132" s="183"/>
      <c r="ES132" s="183"/>
      <c r="ET132" s="183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</row>
    <row r="133" spans="1:258" ht="13.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L133" s="183"/>
      <c r="BM133" s="183"/>
      <c r="BN133" s="183"/>
      <c r="BO133" s="183"/>
      <c r="BP133" s="183"/>
      <c r="BQ133" s="183"/>
      <c r="BR133" s="183"/>
      <c r="BS133" s="183"/>
      <c r="BT133" s="183"/>
      <c r="BU133" s="183"/>
      <c r="BV133" s="183"/>
      <c r="BW133" s="183"/>
      <c r="BX133" s="183"/>
      <c r="BY133" s="183"/>
      <c r="BZ133" s="183"/>
      <c r="CA133" s="183"/>
      <c r="CB133" s="183"/>
      <c r="CC133" s="183"/>
      <c r="CD133" s="183"/>
      <c r="CE133" s="183"/>
      <c r="CF133" s="183"/>
      <c r="CG133" s="183"/>
      <c r="CH133" s="183"/>
      <c r="CI133" s="183"/>
      <c r="CJ133" s="183"/>
      <c r="CK133" s="183"/>
      <c r="CL133" s="183"/>
      <c r="CM133" s="183"/>
      <c r="CN133" s="183"/>
      <c r="CO133" s="183"/>
      <c r="CP133" s="183"/>
      <c r="CQ133" s="183"/>
      <c r="CR133" s="183"/>
      <c r="CS133" s="183"/>
      <c r="CT133" s="183"/>
      <c r="CU133" s="183"/>
      <c r="CV133" s="183"/>
      <c r="CW133" s="183"/>
      <c r="CX133" s="183"/>
      <c r="CY133" s="183"/>
      <c r="CZ133" s="183"/>
      <c r="DA133" s="183"/>
      <c r="DB133" s="183"/>
      <c r="DC133" s="183"/>
      <c r="DD133" s="183"/>
      <c r="DE133" s="183"/>
      <c r="DF133" s="183"/>
      <c r="DG133" s="183"/>
      <c r="DH133" s="183"/>
      <c r="DI133" s="183"/>
      <c r="DJ133" s="183"/>
      <c r="DK133" s="183"/>
      <c r="DL133" s="183"/>
      <c r="DM133" s="183"/>
      <c r="DN133" s="183"/>
      <c r="DO133" s="183"/>
      <c r="DP133" s="183"/>
      <c r="DQ133" s="183"/>
      <c r="DR133" s="183"/>
      <c r="DS133" s="183"/>
      <c r="DT133" s="183"/>
      <c r="DU133" s="183"/>
      <c r="DV133" s="183"/>
      <c r="DW133" s="183"/>
      <c r="DX133" s="183"/>
      <c r="DY133" s="183"/>
      <c r="DZ133" s="183"/>
      <c r="EA133" s="183"/>
      <c r="EB133" s="183"/>
      <c r="EC133" s="183"/>
      <c r="ED133" s="183"/>
      <c r="EE133" s="183"/>
      <c r="EF133" s="183"/>
      <c r="EG133" s="183"/>
      <c r="EH133" s="183"/>
      <c r="EI133" s="183"/>
      <c r="EJ133" s="183"/>
      <c r="EK133" s="183"/>
      <c r="EL133" s="183"/>
      <c r="EM133" s="183"/>
      <c r="EN133" s="183"/>
      <c r="EO133" s="183"/>
      <c r="EP133" s="183"/>
      <c r="EQ133" s="183"/>
      <c r="ER133" s="183"/>
      <c r="ES133" s="183"/>
      <c r="ET133" s="183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</row>
    <row r="134" spans="1:258" ht="13.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  <c r="BM134" s="183"/>
      <c r="BN134" s="183"/>
      <c r="BO134" s="183"/>
      <c r="BP134" s="183"/>
      <c r="BQ134" s="183"/>
      <c r="BR134" s="183"/>
      <c r="BS134" s="183"/>
      <c r="BT134" s="183"/>
      <c r="BU134" s="183"/>
      <c r="BV134" s="183"/>
      <c r="BW134" s="183"/>
      <c r="BX134" s="183"/>
      <c r="BY134" s="183"/>
      <c r="BZ134" s="183"/>
      <c r="CA134" s="183"/>
      <c r="CB134" s="183"/>
      <c r="CC134" s="183"/>
      <c r="CD134" s="183"/>
      <c r="CE134" s="183"/>
      <c r="CF134" s="183"/>
      <c r="CG134" s="183"/>
      <c r="CH134" s="183"/>
      <c r="CI134" s="183"/>
      <c r="CJ134" s="183"/>
      <c r="CK134" s="183"/>
      <c r="CL134" s="183"/>
      <c r="CM134" s="183"/>
      <c r="CN134" s="183"/>
      <c r="CO134" s="183"/>
      <c r="CP134" s="183"/>
      <c r="CQ134" s="183"/>
      <c r="CR134" s="183"/>
      <c r="CS134" s="183"/>
      <c r="CT134" s="183"/>
      <c r="CU134" s="183"/>
      <c r="CV134" s="183"/>
      <c r="CW134" s="183"/>
      <c r="CX134" s="183"/>
      <c r="CY134" s="183"/>
      <c r="CZ134" s="183"/>
      <c r="DA134" s="183"/>
      <c r="DB134" s="183"/>
      <c r="DC134" s="183"/>
      <c r="DD134" s="183"/>
      <c r="DE134" s="183"/>
      <c r="DF134" s="183"/>
      <c r="DG134" s="183"/>
      <c r="DH134" s="183"/>
      <c r="DI134" s="183"/>
      <c r="DJ134" s="183"/>
      <c r="DK134" s="183"/>
      <c r="DL134" s="183"/>
      <c r="DM134" s="183"/>
      <c r="DN134" s="183"/>
      <c r="DO134" s="183"/>
      <c r="DP134" s="183"/>
      <c r="DQ134" s="183"/>
      <c r="DR134" s="183"/>
      <c r="DS134" s="183"/>
      <c r="DT134" s="183"/>
      <c r="DU134" s="183"/>
      <c r="DV134" s="183"/>
      <c r="DW134" s="183"/>
      <c r="DX134" s="183"/>
      <c r="DY134" s="183"/>
      <c r="DZ134" s="183"/>
      <c r="EA134" s="183"/>
      <c r="EB134" s="183"/>
      <c r="EC134" s="183"/>
      <c r="ED134" s="183"/>
      <c r="EE134" s="183"/>
      <c r="EF134" s="183"/>
      <c r="EG134" s="183"/>
      <c r="EH134" s="183"/>
      <c r="EI134" s="183"/>
      <c r="EJ134" s="183"/>
      <c r="EK134" s="183"/>
      <c r="EL134" s="183"/>
      <c r="EM134" s="183"/>
      <c r="EN134" s="183"/>
      <c r="EO134" s="183"/>
      <c r="EP134" s="183"/>
      <c r="EQ134" s="183"/>
      <c r="ER134" s="183"/>
      <c r="ES134" s="183"/>
      <c r="ET134" s="183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</row>
    <row r="135" spans="1:258" ht="13.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Q135" s="183"/>
      <c r="AR135" s="183"/>
      <c r="AS135" s="183"/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3"/>
      <c r="CG135" s="183"/>
      <c r="CH135" s="183"/>
      <c r="CI135" s="183"/>
      <c r="CJ135" s="183"/>
      <c r="CK135" s="183"/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3"/>
      <c r="DY135" s="183"/>
      <c r="DZ135" s="183"/>
      <c r="EA135" s="183"/>
      <c r="EB135" s="183"/>
      <c r="EC135" s="183"/>
      <c r="ED135" s="183"/>
      <c r="EE135" s="183"/>
      <c r="EF135" s="183"/>
      <c r="EG135" s="183"/>
      <c r="EH135" s="183"/>
      <c r="EI135" s="183"/>
      <c r="EJ135" s="183"/>
      <c r="EK135" s="183"/>
      <c r="EL135" s="183"/>
      <c r="EM135" s="183"/>
      <c r="EN135" s="183"/>
      <c r="EO135" s="183"/>
      <c r="EP135" s="183"/>
      <c r="EQ135" s="183"/>
      <c r="ER135" s="183"/>
      <c r="ES135" s="183"/>
      <c r="ET135" s="183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</row>
    <row r="136" spans="1:258" ht="13.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183"/>
      <c r="AR136" s="183"/>
      <c r="AS136" s="183"/>
      <c r="AT136" s="183"/>
      <c r="AU136" s="183"/>
      <c r="AV136" s="183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L136" s="183"/>
      <c r="BM136" s="183"/>
      <c r="BN136" s="183"/>
      <c r="BO136" s="183"/>
      <c r="BP136" s="183"/>
      <c r="BQ136" s="183"/>
      <c r="BR136" s="183"/>
      <c r="BS136" s="183"/>
      <c r="BT136" s="183"/>
      <c r="BU136" s="183"/>
      <c r="BV136" s="183"/>
      <c r="BW136" s="183"/>
      <c r="BX136" s="183"/>
      <c r="BY136" s="183"/>
      <c r="BZ136" s="183"/>
      <c r="CA136" s="183"/>
      <c r="CB136" s="183"/>
      <c r="CC136" s="183"/>
      <c r="CD136" s="183"/>
      <c r="CE136" s="183"/>
      <c r="CF136" s="183"/>
      <c r="CG136" s="183"/>
      <c r="CH136" s="183"/>
      <c r="CI136" s="183"/>
      <c r="CJ136" s="183"/>
      <c r="CK136" s="183"/>
      <c r="CL136" s="183"/>
      <c r="CM136" s="183"/>
      <c r="CN136" s="183"/>
      <c r="CO136" s="183"/>
      <c r="CP136" s="183"/>
      <c r="CQ136" s="183"/>
      <c r="CR136" s="183"/>
      <c r="CS136" s="183"/>
      <c r="CT136" s="183"/>
      <c r="CU136" s="183"/>
      <c r="CV136" s="183"/>
      <c r="CW136" s="183"/>
      <c r="CX136" s="183"/>
      <c r="CY136" s="183"/>
      <c r="CZ136" s="183"/>
      <c r="DA136" s="183"/>
      <c r="DB136" s="183"/>
      <c r="DC136" s="183"/>
      <c r="DD136" s="183"/>
      <c r="DE136" s="183"/>
      <c r="DF136" s="183"/>
      <c r="DG136" s="183"/>
      <c r="DH136" s="183"/>
      <c r="DI136" s="183"/>
      <c r="DJ136" s="183"/>
      <c r="DK136" s="183"/>
      <c r="DL136" s="183"/>
      <c r="DM136" s="183"/>
      <c r="DN136" s="183"/>
      <c r="DO136" s="183"/>
      <c r="DP136" s="183"/>
      <c r="DQ136" s="183"/>
      <c r="DR136" s="183"/>
      <c r="DS136" s="183"/>
      <c r="DT136" s="183"/>
      <c r="DU136" s="183"/>
      <c r="DV136" s="183"/>
      <c r="DW136" s="183"/>
      <c r="DX136" s="183"/>
      <c r="DY136" s="183"/>
      <c r="DZ136" s="183"/>
      <c r="EA136" s="183"/>
      <c r="EB136" s="183"/>
      <c r="EC136" s="183"/>
      <c r="ED136" s="183"/>
      <c r="EE136" s="183"/>
      <c r="EF136" s="183"/>
      <c r="EG136" s="183"/>
      <c r="EH136" s="183"/>
      <c r="EI136" s="183"/>
      <c r="EJ136" s="183"/>
      <c r="EK136" s="183"/>
      <c r="EL136" s="183"/>
      <c r="EM136" s="183"/>
      <c r="EN136" s="183"/>
      <c r="EO136" s="183"/>
      <c r="EP136" s="183"/>
      <c r="EQ136" s="183"/>
      <c r="ER136" s="183"/>
      <c r="ES136" s="183"/>
      <c r="ET136" s="183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</row>
    <row r="137" spans="1:258" ht="13.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  <c r="BM137" s="183"/>
      <c r="BN137" s="183"/>
      <c r="BO137" s="183"/>
      <c r="BP137" s="183"/>
      <c r="BQ137" s="183"/>
      <c r="BR137" s="183"/>
      <c r="BS137" s="183"/>
      <c r="BT137" s="183"/>
      <c r="BU137" s="183"/>
      <c r="BV137" s="183"/>
      <c r="BW137" s="183"/>
      <c r="BX137" s="183"/>
      <c r="BY137" s="183"/>
      <c r="BZ137" s="183"/>
      <c r="CA137" s="183"/>
      <c r="CB137" s="183"/>
      <c r="CC137" s="183"/>
      <c r="CD137" s="183"/>
      <c r="CE137" s="183"/>
      <c r="CF137" s="183"/>
      <c r="CG137" s="183"/>
      <c r="CH137" s="183"/>
      <c r="CI137" s="183"/>
      <c r="CJ137" s="183"/>
      <c r="CK137" s="183"/>
      <c r="CL137" s="183"/>
      <c r="CM137" s="183"/>
      <c r="CN137" s="183"/>
      <c r="CO137" s="183"/>
      <c r="CP137" s="183"/>
      <c r="CQ137" s="183"/>
      <c r="CR137" s="183"/>
      <c r="CS137" s="183"/>
      <c r="CT137" s="183"/>
      <c r="CU137" s="183"/>
      <c r="CV137" s="183"/>
      <c r="CW137" s="183"/>
      <c r="CX137" s="183"/>
      <c r="CY137" s="183"/>
      <c r="CZ137" s="183"/>
      <c r="DA137" s="183"/>
      <c r="DB137" s="183"/>
      <c r="DC137" s="183"/>
      <c r="DD137" s="183"/>
      <c r="DE137" s="183"/>
      <c r="DF137" s="183"/>
      <c r="DG137" s="183"/>
      <c r="DH137" s="183"/>
      <c r="DI137" s="183"/>
      <c r="DJ137" s="183"/>
      <c r="DK137" s="183"/>
      <c r="DL137" s="183"/>
      <c r="DM137" s="183"/>
      <c r="DN137" s="183"/>
      <c r="DO137" s="183"/>
      <c r="DP137" s="183"/>
      <c r="DQ137" s="183"/>
      <c r="DR137" s="183"/>
      <c r="DS137" s="183"/>
      <c r="DT137" s="183"/>
      <c r="DU137" s="183"/>
      <c r="DV137" s="183"/>
      <c r="DW137" s="183"/>
      <c r="DX137" s="183"/>
      <c r="DY137" s="183"/>
      <c r="DZ137" s="183"/>
      <c r="EA137" s="183"/>
      <c r="EB137" s="183"/>
      <c r="EC137" s="183"/>
      <c r="ED137" s="183"/>
      <c r="EE137" s="183"/>
      <c r="EF137" s="183"/>
      <c r="EG137" s="183"/>
      <c r="EH137" s="183"/>
      <c r="EI137" s="183"/>
      <c r="EJ137" s="183"/>
      <c r="EK137" s="183"/>
      <c r="EL137" s="183"/>
      <c r="EM137" s="183"/>
      <c r="EN137" s="183"/>
      <c r="EO137" s="183"/>
      <c r="EP137" s="183"/>
      <c r="EQ137" s="183"/>
      <c r="ER137" s="183"/>
      <c r="ES137" s="183"/>
      <c r="ET137" s="183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</row>
    <row r="138" spans="1:258" ht="13.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L138" s="183"/>
      <c r="BM138" s="183"/>
      <c r="BN138" s="183"/>
      <c r="BO138" s="183"/>
      <c r="BP138" s="183"/>
      <c r="BQ138" s="183"/>
      <c r="BR138" s="183"/>
      <c r="BS138" s="183"/>
      <c r="BT138" s="183"/>
      <c r="BU138" s="183"/>
      <c r="BV138" s="183"/>
      <c r="BW138" s="183"/>
      <c r="BX138" s="183"/>
      <c r="BY138" s="183"/>
      <c r="BZ138" s="183"/>
      <c r="CA138" s="183"/>
      <c r="CB138" s="183"/>
      <c r="CC138" s="183"/>
      <c r="CD138" s="183"/>
      <c r="CE138" s="183"/>
      <c r="CF138" s="183"/>
      <c r="CG138" s="183"/>
      <c r="CH138" s="183"/>
      <c r="CI138" s="183"/>
      <c r="CJ138" s="183"/>
      <c r="CK138" s="183"/>
      <c r="CL138" s="183"/>
      <c r="CM138" s="183"/>
      <c r="CN138" s="183"/>
      <c r="CO138" s="183"/>
      <c r="CP138" s="183"/>
      <c r="CQ138" s="183"/>
      <c r="CR138" s="183"/>
      <c r="CS138" s="183"/>
      <c r="CT138" s="183"/>
      <c r="CU138" s="183"/>
      <c r="CV138" s="183"/>
      <c r="CW138" s="183"/>
      <c r="CX138" s="183"/>
      <c r="CY138" s="183"/>
      <c r="CZ138" s="183"/>
      <c r="DA138" s="183"/>
      <c r="DB138" s="183"/>
      <c r="DC138" s="183"/>
      <c r="DD138" s="183"/>
      <c r="DE138" s="183"/>
      <c r="DF138" s="183"/>
      <c r="DG138" s="183"/>
      <c r="DH138" s="183"/>
      <c r="DI138" s="183"/>
      <c r="DJ138" s="183"/>
      <c r="DK138" s="183"/>
      <c r="DL138" s="183"/>
      <c r="DM138" s="183"/>
      <c r="DN138" s="183"/>
      <c r="DO138" s="183"/>
      <c r="DP138" s="183"/>
      <c r="DQ138" s="183"/>
      <c r="DR138" s="183"/>
      <c r="DS138" s="183"/>
      <c r="DT138" s="183"/>
      <c r="DU138" s="183"/>
      <c r="DV138" s="183"/>
      <c r="DW138" s="183"/>
      <c r="DX138" s="183"/>
      <c r="DY138" s="183"/>
      <c r="DZ138" s="183"/>
      <c r="EA138" s="183"/>
      <c r="EB138" s="183"/>
      <c r="EC138" s="183"/>
      <c r="ED138" s="183"/>
      <c r="EE138" s="183"/>
      <c r="EF138" s="183"/>
      <c r="EG138" s="183"/>
      <c r="EH138" s="183"/>
      <c r="EI138" s="183"/>
      <c r="EJ138" s="183"/>
      <c r="EK138" s="183"/>
      <c r="EL138" s="183"/>
      <c r="EM138" s="183"/>
      <c r="EN138" s="183"/>
      <c r="EO138" s="183"/>
      <c r="EP138" s="183"/>
      <c r="EQ138" s="183"/>
      <c r="ER138" s="183"/>
      <c r="ES138" s="183"/>
      <c r="ET138" s="183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</row>
    <row r="139" spans="1:258" ht="13.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3"/>
      <c r="AR139" s="183"/>
      <c r="AS139" s="183"/>
      <c r="AT139" s="183"/>
      <c r="AU139" s="183"/>
      <c r="AV139" s="183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L139" s="183"/>
      <c r="BM139" s="183"/>
      <c r="BN139" s="183"/>
      <c r="BO139" s="183"/>
      <c r="BP139" s="183"/>
      <c r="BQ139" s="183"/>
      <c r="BR139" s="183"/>
      <c r="BS139" s="183"/>
      <c r="BT139" s="183"/>
      <c r="BU139" s="183"/>
      <c r="BV139" s="183"/>
      <c r="BW139" s="183"/>
      <c r="BX139" s="183"/>
      <c r="BY139" s="183"/>
      <c r="BZ139" s="183"/>
      <c r="CA139" s="183"/>
      <c r="CB139" s="183"/>
      <c r="CC139" s="183"/>
      <c r="CD139" s="183"/>
      <c r="CE139" s="183"/>
      <c r="CF139" s="183"/>
      <c r="CG139" s="183"/>
      <c r="CH139" s="183"/>
      <c r="CI139" s="183"/>
      <c r="CJ139" s="183"/>
      <c r="CK139" s="183"/>
      <c r="CL139" s="183"/>
      <c r="CM139" s="183"/>
      <c r="CN139" s="183"/>
      <c r="CO139" s="183"/>
      <c r="CP139" s="183"/>
      <c r="CQ139" s="183"/>
      <c r="CR139" s="183"/>
      <c r="CS139" s="183"/>
      <c r="CT139" s="183"/>
      <c r="CU139" s="183"/>
      <c r="CV139" s="183"/>
      <c r="CW139" s="183"/>
      <c r="CX139" s="183"/>
      <c r="CY139" s="183"/>
      <c r="CZ139" s="183"/>
      <c r="DA139" s="183"/>
      <c r="DB139" s="183"/>
      <c r="DC139" s="183"/>
      <c r="DD139" s="183"/>
      <c r="DE139" s="183"/>
      <c r="DF139" s="183"/>
      <c r="DG139" s="183"/>
      <c r="DH139" s="183"/>
      <c r="DI139" s="183"/>
      <c r="DJ139" s="183"/>
      <c r="DK139" s="183"/>
      <c r="DL139" s="183"/>
      <c r="DM139" s="183"/>
      <c r="DN139" s="183"/>
      <c r="DO139" s="183"/>
      <c r="DP139" s="183"/>
      <c r="DQ139" s="183"/>
      <c r="DR139" s="183"/>
      <c r="DS139" s="183"/>
      <c r="DT139" s="183"/>
      <c r="DU139" s="183"/>
      <c r="DV139" s="183"/>
      <c r="DW139" s="183"/>
      <c r="DX139" s="183"/>
      <c r="DY139" s="183"/>
      <c r="DZ139" s="183"/>
      <c r="EA139" s="183"/>
      <c r="EB139" s="183"/>
      <c r="EC139" s="183"/>
      <c r="ED139" s="183"/>
      <c r="EE139" s="183"/>
      <c r="EF139" s="183"/>
      <c r="EG139" s="183"/>
      <c r="EH139" s="183"/>
      <c r="EI139" s="183"/>
      <c r="EJ139" s="183"/>
      <c r="EK139" s="183"/>
      <c r="EL139" s="183"/>
      <c r="EM139" s="183"/>
      <c r="EN139" s="183"/>
      <c r="EO139" s="183"/>
      <c r="EP139" s="183"/>
      <c r="EQ139" s="183"/>
      <c r="ER139" s="183"/>
      <c r="ES139" s="183"/>
      <c r="ET139" s="183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</row>
    <row r="140" spans="1:258" ht="13.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  <c r="AP140" s="183"/>
      <c r="AQ140" s="183"/>
      <c r="AR140" s="183"/>
      <c r="AS140" s="183"/>
      <c r="AT140" s="183"/>
      <c r="AU140" s="183"/>
      <c r="AV140" s="183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L140" s="183"/>
      <c r="BM140" s="183"/>
      <c r="BN140" s="183"/>
      <c r="BO140" s="183"/>
      <c r="BP140" s="183"/>
      <c r="BQ140" s="183"/>
      <c r="BR140" s="183"/>
      <c r="BS140" s="183"/>
      <c r="BT140" s="183"/>
      <c r="BU140" s="183"/>
      <c r="BV140" s="183"/>
      <c r="BW140" s="183"/>
      <c r="BX140" s="183"/>
      <c r="BY140" s="183"/>
      <c r="BZ140" s="183"/>
      <c r="CA140" s="183"/>
      <c r="CB140" s="183"/>
      <c r="CC140" s="183"/>
      <c r="CD140" s="183"/>
      <c r="CE140" s="183"/>
      <c r="CF140" s="183"/>
      <c r="CG140" s="183"/>
      <c r="CH140" s="183"/>
      <c r="CI140" s="183"/>
      <c r="CJ140" s="183"/>
      <c r="CK140" s="183"/>
      <c r="CL140" s="183"/>
      <c r="CM140" s="183"/>
      <c r="CN140" s="183"/>
      <c r="CO140" s="183"/>
      <c r="CP140" s="183"/>
      <c r="CQ140" s="183"/>
      <c r="CR140" s="183"/>
      <c r="CS140" s="183"/>
      <c r="CT140" s="183"/>
      <c r="CU140" s="183"/>
      <c r="CV140" s="183"/>
      <c r="CW140" s="183"/>
      <c r="CX140" s="183"/>
      <c r="CY140" s="183"/>
      <c r="CZ140" s="183"/>
      <c r="DA140" s="183"/>
      <c r="DB140" s="183"/>
      <c r="DC140" s="183"/>
      <c r="DD140" s="183"/>
      <c r="DE140" s="183"/>
      <c r="DF140" s="183"/>
      <c r="DG140" s="183"/>
      <c r="DH140" s="183"/>
      <c r="DI140" s="183"/>
      <c r="DJ140" s="183"/>
      <c r="DK140" s="183"/>
      <c r="DL140" s="183"/>
      <c r="DM140" s="183"/>
      <c r="DN140" s="183"/>
      <c r="DO140" s="183"/>
      <c r="DP140" s="183"/>
      <c r="DQ140" s="183"/>
      <c r="DR140" s="183"/>
      <c r="DS140" s="183"/>
      <c r="DT140" s="183"/>
      <c r="DU140" s="183"/>
      <c r="DV140" s="183"/>
      <c r="DW140" s="183"/>
      <c r="DX140" s="183"/>
      <c r="DY140" s="183"/>
      <c r="DZ140" s="183"/>
      <c r="EA140" s="183"/>
      <c r="EB140" s="183"/>
      <c r="EC140" s="183"/>
      <c r="ED140" s="183"/>
      <c r="EE140" s="183"/>
      <c r="EF140" s="183"/>
      <c r="EG140" s="183"/>
      <c r="EH140" s="183"/>
      <c r="EI140" s="183"/>
      <c r="EJ140" s="183"/>
      <c r="EK140" s="183"/>
      <c r="EL140" s="183"/>
      <c r="EM140" s="183"/>
      <c r="EN140" s="183"/>
      <c r="EO140" s="183"/>
      <c r="EP140" s="183"/>
      <c r="EQ140" s="183"/>
      <c r="ER140" s="183"/>
      <c r="ES140" s="183"/>
      <c r="ET140" s="183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</row>
    <row r="141" spans="1:258" ht="13.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183"/>
      <c r="AR141" s="183"/>
      <c r="AS141" s="183"/>
      <c r="AT141" s="183"/>
      <c r="AU141" s="183"/>
      <c r="AV141" s="183"/>
      <c r="AW141" s="183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  <c r="BK141" s="183"/>
      <c r="BL141" s="183"/>
      <c r="BM141" s="183"/>
      <c r="BN141" s="183"/>
      <c r="BO141" s="183"/>
      <c r="BP141" s="183"/>
      <c r="BQ141" s="183"/>
      <c r="BR141" s="183"/>
      <c r="BS141" s="183"/>
      <c r="BT141" s="183"/>
      <c r="BU141" s="183"/>
      <c r="BV141" s="183"/>
      <c r="BW141" s="183"/>
      <c r="BX141" s="183"/>
      <c r="BY141" s="183"/>
      <c r="BZ141" s="183"/>
      <c r="CA141" s="183"/>
      <c r="CB141" s="183"/>
      <c r="CC141" s="183"/>
      <c r="CD141" s="183"/>
      <c r="CE141" s="183"/>
      <c r="CF141" s="183"/>
      <c r="CG141" s="183"/>
      <c r="CH141" s="183"/>
      <c r="CI141" s="183"/>
      <c r="CJ141" s="183"/>
      <c r="CK141" s="183"/>
      <c r="CL141" s="183"/>
      <c r="CM141" s="183"/>
      <c r="CN141" s="183"/>
      <c r="CO141" s="183"/>
      <c r="CP141" s="183"/>
      <c r="CQ141" s="183"/>
      <c r="CR141" s="183"/>
      <c r="CS141" s="183"/>
      <c r="CT141" s="183"/>
      <c r="CU141" s="183"/>
      <c r="CV141" s="183"/>
      <c r="CW141" s="183"/>
      <c r="CX141" s="183"/>
      <c r="CY141" s="183"/>
      <c r="CZ141" s="183"/>
      <c r="DA141" s="183"/>
      <c r="DB141" s="183"/>
      <c r="DC141" s="183"/>
      <c r="DD141" s="183"/>
      <c r="DE141" s="183"/>
      <c r="DF141" s="183"/>
      <c r="DG141" s="183"/>
      <c r="DH141" s="183"/>
      <c r="DI141" s="183"/>
      <c r="DJ141" s="183"/>
      <c r="DK141" s="183"/>
      <c r="DL141" s="183"/>
      <c r="DM141" s="183"/>
      <c r="DN141" s="183"/>
      <c r="DO141" s="183"/>
      <c r="DP141" s="183"/>
      <c r="DQ141" s="183"/>
      <c r="DR141" s="183"/>
      <c r="DS141" s="183"/>
      <c r="DT141" s="183"/>
      <c r="DU141" s="183"/>
      <c r="DV141" s="183"/>
      <c r="DW141" s="183"/>
      <c r="DX141" s="183"/>
      <c r="DY141" s="183"/>
      <c r="DZ141" s="183"/>
      <c r="EA141" s="183"/>
      <c r="EB141" s="183"/>
      <c r="EC141" s="183"/>
      <c r="ED141" s="183"/>
      <c r="EE141" s="183"/>
      <c r="EF141" s="183"/>
      <c r="EG141" s="183"/>
      <c r="EH141" s="183"/>
      <c r="EI141" s="183"/>
      <c r="EJ141" s="183"/>
      <c r="EK141" s="183"/>
      <c r="EL141" s="183"/>
      <c r="EM141" s="183"/>
      <c r="EN141" s="183"/>
      <c r="EO141" s="183"/>
      <c r="EP141" s="183"/>
      <c r="EQ141" s="183"/>
      <c r="ER141" s="183"/>
      <c r="ES141" s="183"/>
      <c r="ET141" s="183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</row>
    <row r="142" spans="1:258" ht="13.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Q142" s="183"/>
      <c r="AR142" s="183"/>
      <c r="AS142" s="183"/>
      <c r="AT142" s="183"/>
      <c r="AU142" s="183"/>
      <c r="AV142" s="183"/>
      <c r="AW142" s="183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  <c r="BM142" s="183"/>
      <c r="BN142" s="183"/>
      <c r="BO142" s="183"/>
      <c r="BP142" s="183"/>
      <c r="BQ142" s="183"/>
      <c r="BR142" s="183"/>
      <c r="BS142" s="183"/>
      <c r="BT142" s="183"/>
      <c r="BU142" s="183"/>
      <c r="BV142" s="183"/>
      <c r="BW142" s="183"/>
      <c r="BX142" s="183"/>
      <c r="BY142" s="183"/>
      <c r="BZ142" s="183"/>
      <c r="CA142" s="183"/>
      <c r="CB142" s="183"/>
      <c r="CC142" s="183"/>
      <c r="CD142" s="183"/>
      <c r="CE142" s="183"/>
      <c r="CF142" s="183"/>
      <c r="CG142" s="183"/>
      <c r="CH142" s="183"/>
      <c r="CI142" s="183"/>
      <c r="CJ142" s="183"/>
      <c r="CK142" s="183"/>
      <c r="CL142" s="183"/>
      <c r="CM142" s="183"/>
      <c r="CN142" s="183"/>
      <c r="CO142" s="183"/>
      <c r="CP142" s="183"/>
      <c r="CQ142" s="183"/>
      <c r="CR142" s="183"/>
      <c r="CS142" s="183"/>
      <c r="CT142" s="183"/>
      <c r="CU142" s="183"/>
      <c r="CV142" s="183"/>
      <c r="CW142" s="183"/>
      <c r="CX142" s="183"/>
      <c r="CY142" s="183"/>
      <c r="CZ142" s="183"/>
      <c r="DA142" s="183"/>
      <c r="DB142" s="183"/>
      <c r="DC142" s="183"/>
      <c r="DD142" s="183"/>
      <c r="DE142" s="183"/>
      <c r="DF142" s="183"/>
      <c r="DG142" s="183"/>
      <c r="DH142" s="183"/>
      <c r="DI142" s="183"/>
      <c r="DJ142" s="183"/>
      <c r="DK142" s="183"/>
      <c r="DL142" s="183"/>
      <c r="DM142" s="183"/>
      <c r="DN142" s="183"/>
      <c r="DO142" s="183"/>
      <c r="DP142" s="183"/>
      <c r="DQ142" s="183"/>
      <c r="DR142" s="183"/>
      <c r="DS142" s="183"/>
      <c r="DT142" s="183"/>
      <c r="DU142" s="183"/>
      <c r="DV142" s="183"/>
      <c r="DW142" s="183"/>
      <c r="DX142" s="183"/>
      <c r="DY142" s="183"/>
      <c r="DZ142" s="183"/>
      <c r="EA142" s="183"/>
      <c r="EB142" s="183"/>
      <c r="EC142" s="183"/>
      <c r="ED142" s="183"/>
      <c r="EE142" s="183"/>
      <c r="EF142" s="183"/>
      <c r="EG142" s="183"/>
      <c r="EH142" s="183"/>
      <c r="EI142" s="183"/>
      <c r="EJ142" s="183"/>
      <c r="EK142" s="183"/>
      <c r="EL142" s="183"/>
      <c r="EM142" s="183"/>
      <c r="EN142" s="183"/>
      <c r="EO142" s="183"/>
      <c r="EP142" s="183"/>
      <c r="EQ142" s="183"/>
      <c r="ER142" s="183"/>
      <c r="ES142" s="183"/>
      <c r="ET142" s="183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</row>
    <row r="143" spans="1:258" ht="13.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  <c r="AP143" s="183"/>
      <c r="AQ143" s="183"/>
      <c r="AR143" s="183"/>
      <c r="AS143" s="183"/>
      <c r="AT143" s="183"/>
      <c r="AU143" s="183"/>
      <c r="AV143" s="183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L143" s="183"/>
      <c r="BM143" s="183"/>
      <c r="BN143" s="183"/>
      <c r="BO143" s="183"/>
      <c r="BP143" s="183"/>
      <c r="BQ143" s="183"/>
      <c r="BR143" s="183"/>
      <c r="BS143" s="183"/>
      <c r="BT143" s="183"/>
      <c r="BU143" s="183"/>
      <c r="BV143" s="183"/>
      <c r="BW143" s="183"/>
      <c r="BX143" s="183"/>
      <c r="BY143" s="183"/>
      <c r="BZ143" s="183"/>
      <c r="CA143" s="183"/>
      <c r="CB143" s="183"/>
      <c r="CC143" s="183"/>
      <c r="CD143" s="183"/>
      <c r="CE143" s="183"/>
      <c r="CF143" s="183"/>
      <c r="CG143" s="183"/>
      <c r="CH143" s="183"/>
      <c r="CI143" s="183"/>
      <c r="CJ143" s="183"/>
      <c r="CK143" s="183"/>
      <c r="CL143" s="183"/>
      <c r="CM143" s="183"/>
      <c r="CN143" s="183"/>
      <c r="CO143" s="183"/>
      <c r="CP143" s="183"/>
      <c r="CQ143" s="183"/>
      <c r="CR143" s="183"/>
      <c r="CS143" s="183"/>
      <c r="CT143" s="183"/>
      <c r="CU143" s="183"/>
      <c r="CV143" s="183"/>
      <c r="CW143" s="183"/>
      <c r="CX143" s="183"/>
      <c r="CY143" s="183"/>
      <c r="CZ143" s="183"/>
      <c r="DA143" s="183"/>
      <c r="DB143" s="183"/>
      <c r="DC143" s="183"/>
      <c r="DD143" s="183"/>
      <c r="DE143" s="183"/>
      <c r="DF143" s="183"/>
      <c r="DG143" s="183"/>
      <c r="DH143" s="183"/>
      <c r="DI143" s="183"/>
      <c r="DJ143" s="183"/>
      <c r="DK143" s="183"/>
      <c r="DL143" s="183"/>
      <c r="DM143" s="183"/>
      <c r="DN143" s="183"/>
      <c r="DO143" s="183"/>
      <c r="DP143" s="183"/>
      <c r="DQ143" s="183"/>
      <c r="DR143" s="183"/>
      <c r="DS143" s="183"/>
      <c r="DT143" s="183"/>
      <c r="DU143" s="183"/>
      <c r="DV143" s="183"/>
      <c r="DW143" s="183"/>
      <c r="DX143" s="183"/>
      <c r="DY143" s="183"/>
      <c r="DZ143" s="183"/>
      <c r="EA143" s="183"/>
      <c r="EB143" s="183"/>
      <c r="EC143" s="183"/>
      <c r="ED143" s="183"/>
      <c r="EE143" s="183"/>
      <c r="EF143" s="183"/>
      <c r="EG143" s="183"/>
      <c r="EH143" s="183"/>
      <c r="EI143" s="183"/>
      <c r="EJ143" s="183"/>
      <c r="EK143" s="183"/>
      <c r="EL143" s="183"/>
      <c r="EM143" s="183"/>
      <c r="EN143" s="183"/>
      <c r="EO143" s="183"/>
      <c r="EP143" s="183"/>
      <c r="EQ143" s="183"/>
      <c r="ER143" s="183"/>
      <c r="ES143" s="183"/>
      <c r="ET143" s="183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</row>
    <row r="144" spans="1:258" ht="13.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  <c r="AP144" s="183"/>
      <c r="AQ144" s="183"/>
      <c r="AR144" s="183"/>
      <c r="AS144" s="183"/>
      <c r="AT144" s="183"/>
      <c r="AU144" s="183"/>
      <c r="AV144" s="183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L144" s="183"/>
      <c r="BM144" s="183"/>
      <c r="BN144" s="183"/>
      <c r="BO144" s="183"/>
      <c r="BP144" s="183"/>
      <c r="BQ144" s="183"/>
      <c r="BR144" s="183"/>
      <c r="BS144" s="183"/>
      <c r="BT144" s="183"/>
      <c r="BU144" s="183"/>
      <c r="BV144" s="183"/>
      <c r="BW144" s="183"/>
      <c r="BX144" s="183"/>
      <c r="BY144" s="183"/>
      <c r="BZ144" s="183"/>
      <c r="CA144" s="183"/>
      <c r="CB144" s="183"/>
      <c r="CC144" s="183"/>
      <c r="CD144" s="183"/>
      <c r="CE144" s="183"/>
      <c r="CF144" s="183"/>
      <c r="CG144" s="183"/>
      <c r="CH144" s="183"/>
      <c r="CI144" s="183"/>
      <c r="CJ144" s="183"/>
      <c r="CK144" s="183"/>
      <c r="CL144" s="183"/>
      <c r="CM144" s="183"/>
      <c r="CN144" s="183"/>
      <c r="CO144" s="183"/>
      <c r="CP144" s="183"/>
      <c r="CQ144" s="183"/>
      <c r="CR144" s="183"/>
      <c r="CS144" s="183"/>
      <c r="CT144" s="183"/>
      <c r="CU144" s="183"/>
      <c r="CV144" s="183"/>
      <c r="CW144" s="183"/>
      <c r="CX144" s="183"/>
      <c r="CY144" s="183"/>
      <c r="CZ144" s="183"/>
      <c r="DA144" s="183"/>
      <c r="DB144" s="183"/>
      <c r="DC144" s="183"/>
      <c r="DD144" s="183"/>
      <c r="DE144" s="183"/>
      <c r="DF144" s="183"/>
      <c r="DG144" s="183"/>
      <c r="DH144" s="183"/>
      <c r="DI144" s="183"/>
      <c r="DJ144" s="183"/>
      <c r="DK144" s="183"/>
      <c r="DL144" s="183"/>
      <c r="DM144" s="183"/>
      <c r="DN144" s="183"/>
      <c r="DO144" s="183"/>
      <c r="DP144" s="183"/>
      <c r="DQ144" s="183"/>
      <c r="DR144" s="183"/>
      <c r="DS144" s="183"/>
      <c r="DT144" s="183"/>
      <c r="DU144" s="183"/>
      <c r="DV144" s="183"/>
      <c r="DW144" s="183"/>
      <c r="DX144" s="183"/>
      <c r="DY144" s="183"/>
      <c r="DZ144" s="183"/>
      <c r="EA144" s="183"/>
      <c r="EB144" s="183"/>
      <c r="EC144" s="183"/>
      <c r="ED144" s="183"/>
      <c r="EE144" s="183"/>
      <c r="EF144" s="183"/>
      <c r="EG144" s="183"/>
      <c r="EH144" s="183"/>
      <c r="EI144" s="183"/>
      <c r="EJ144" s="183"/>
      <c r="EK144" s="183"/>
      <c r="EL144" s="183"/>
      <c r="EM144" s="183"/>
      <c r="EN144" s="183"/>
      <c r="EO144" s="183"/>
      <c r="EP144" s="183"/>
      <c r="EQ144" s="183"/>
      <c r="ER144" s="183"/>
      <c r="ES144" s="183"/>
      <c r="ET144" s="183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</row>
    <row r="145" spans="1:258" ht="13.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  <c r="AP145" s="183"/>
      <c r="AQ145" s="183"/>
      <c r="AR145" s="183"/>
      <c r="AS145" s="183"/>
      <c r="AT145" s="183"/>
      <c r="AU145" s="183"/>
      <c r="AV145" s="183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3"/>
      <c r="BM145" s="183"/>
      <c r="BN145" s="183"/>
      <c r="BO145" s="183"/>
      <c r="BP145" s="183"/>
      <c r="BQ145" s="183"/>
      <c r="BR145" s="183"/>
      <c r="BS145" s="183"/>
      <c r="BT145" s="183"/>
      <c r="BU145" s="183"/>
      <c r="BV145" s="183"/>
      <c r="BW145" s="183"/>
      <c r="BX145" s="183"/>
      <c r="BY145" s="183"/>
      <c r="BZ145" s="183"/>
      <c r="CA145" s="183"/>
      <c r="CB145" s="183"/>
      <c r="CC145" s="183"/>
      <c r="CD145" s="183"/>
      <c r="CE145" s="183"/>
      <c r="CF145" s="183"/>
      <c r="CG145" s="183"/>
      <c r="CH145" s="183"/>
      <c r="CI145" s="183"/>
      <c r="CJ145" s="183"/>
      <c r="CK145" s="183"/>
      <c r="CL145" s="183"/>
      <c r="CM145" s="183"/>
      <c r="CN145" s="183"/>
      <c r="CO145" s="183"/>
      <c r="CP145" s="183"/>
      <c r="CQ145" s="183"/>
      <c r="CR145" s="183"/>
      <c r="CS145" s="183"/>
      <c r="CT145" s="183"/>
      <c r="CU145" s="183"/>
      <c r="CV145" s="183"/>
      <c r="CW145" s="183"/>
      <c r="CX145" s="183"/>
      <c r="CY145" s="183"/>
      <c r="CZ145" s="183"/>
      <c r="DA145" s="183"/>
      <c r="DB145" s="183"/>
      <c r="DC145" s="183"/>
      <c r="DD145" s="183"/>
      <c r="DE145" s="183"/>
      <c r="DF145" s="183"/>
      <c r="DG145" s="183"/>
      <c r="DH145" s="183"/>
      <c r="DI145" s="183"/>
      <c r="DJ145" s="183"/>
      <c r="DK145" s="183"/>
      <c r="DL145" s="183"/>
      <c r="DM145" s="183"/>
      <c r="DN145" s="183"/>
      <c r="DO145" s="183"/>
      <c r="DP145" s="183"/>
      <c r="DQ145" s="183"/>
      <c r="DR145" s="183"/>
      <c r="DS145" s="183"/>
      <c r="DT145" s="183"/>
      <c r="DU145" s="183"/>
      <c r="DV145" s="183"/>
      <c r="DW145" s="183"/>
      <c r="DX145" s="183"/>
      <c r="DY145" s="183"/>
      <c r="DZ145" s="183"/>
      <c r="EA145" s="183"/>
      <c r="EB145" s="183"/>
      <c r="EC145" s="183"/>
      <c r="ED145" s="183"/>
      <c r="EE145" s="183"/>
      <c r="EF145" s="183"/>
      <c r="EG145" s="183"/>
      <c r="EH145" s="183"/>
      <c r="EI145" s="183"/>
      <c r="EJ145" s="183"/>
      <c r="EK145" s="183"/>
      <c r="EL145" s="183"/>
      <c r="EM145" s="183"/>
      <c r="EN145" s="183"/>
      <c r="EO145" s="183"/>
      <c r="EP145" s="183"/>
      <c r="EQ145" s="183"/>
      <c r="ER145" s="183"/>
      <c r="ES145" s="183"/>
      <c r="ET145" s="183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</row>
    <row r="146" spans="1:258" ht="13.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L146" s="183"/>
      <c r="BM146" s="183"/>
      <c r="BN146" s="183"/>
      <c r="BO146" s="183"/>
      <c r="BP146" s="183"/>
      <c r="BQ146" s="183"/>
      <c r="BR146" s="183"/>
      <c r="BS146" s="183"/>
      <c r="BT146" s="183"/>
      <c r="BU146" s="183"/>
      <c r="BV146" s="183"/>
      <c r="BW146" s="183"/>
      <c r="BX146" s="183"/>
      <c r="BY146" s="183"/>
      <c r="BZ146" s="183"/>
      <c r="CA146" s="183"/>
      <c r="CB146" s="183"/>
      <c r="CC146" s="183"/>
      <c r="CD146" s="183"/>
      <c r="CE146" s="183"/>
      <c r="CF146" s="183"/>
      <c r="CG146" s="183"/>
      <c r="CH146" s="183"/>
      <c r="CI146" s="183"/>
      <c r="CJ146" s="183"/>
      <c r="CK146" s="183"/>
      <c r="CL146" s="183"/>
      <c r="CM146" s="183"/>
      <c r="CN146" s="183"/>
      <c r="CO146" s="183"/>
      <c r="CP146" s="183"/>
      <c r="CQ146" s="183"/>
      <c r="CR146" s="183"/>
      <c r="CS146" s="183"/>
      <c r="CT146" s="183"/>
      <c r="CU146" s="183"/>
      <c r="CV146" s="183"/>
      <c r="CW146" s="183"/>
      <c r="CX146" s="183"/>
      <c r="CY146" s="183"/>
      <c r="CZ146" s="183"/>
      <c r="DA146" s="183"/>
      <c r="DB146" s="183"/>
      <c r="DC146" s="183"/>
      <c r="DD146" s="183"/>
      <c r="DE146" s="183"/>
      <c r="DF146" s="183"/>
      <c r="DG146" s="183"/>
      <c r="DH146" s="183"/>
      <c r="DI146" s="183"/>
      <c r="DJ146" s="183"/>
      <c r="DK146" s="183"/>
      <c r="DL146" s="183"/>
      <c r="DM146" s="183"/>
      <c r="DN146" s="183"/>
      <c r="DO146" s="183"/>
      <c r="DP146" s="183"/>
      <c r="DQ146" s="183"/>
      <c r="DR146" s="183"/>
      <c r="DS146" s="183"/>
      <c r="DT146" s="183"/>
      <c r="DU146" s="183"/>
      <c r="DV146" s="183"/>
      <c r="DW146" s="183"/>
      <c r="DX146" s="183"/>
      <c r="DY146" s="183"/>
      <c r="DZ146" s="183"/>
      <c r="EA146" s="183"/>
      <c r="EB146" s="183"/>
      <c r="EC146" s="183"/>
      <c r="ED146" s="183"/>
      <c r="EE146" s="183"/>
      <c r="EF146" s="183"/>
      <c r="EG146" s="183"/>
      <c r="EH146" s="183"/>
      <c r="EI146" s="183"/>
      <c r="EJ146" s="183"/>
      <c r="EK146" s="183"/>
      <c r="EL146" s="183"/>
      <c r="EM146" s="183"/>
      <c r="EN146" s="183"/>
      <c r="EO146" s="183"/>
      <c r="EP146" s="183"/>
      <c r="EQ146" s="183"/>
      <c r="ER146" s="183"/>
      <c r="ES146" s="183"/>
      <c r="ET146" s="183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</row>
    <row r="147" spans="1:258" ht="13.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  <c r="AS147" s="183"/>
      <c r="AT147" s="183"/>
      <c r="AU147" s="183"/>
      <c r="AV147" s="183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L147" s="183"/>
      <c r="BM147" s="183"/>
      <c r="BN147" s="183"/>
      <c r="BO147" s="183"/>
      <c r="BP147" s="183"/>
      <c r="BQ147" s="183"/>
      <c r="BR147" s="183"/>
      <c r="BS147" s="183"/>
      <c r="BT147" s="183"/>
      <c r="BU147" s="183"/>
      <c r="BV147" s="183"/>
      <c r="BW147" s="183"/>
      <c r="BX147" s="183"/>
      <c r="BY147" s="183"/>
      <c r="BZ147" s="183"/>
      <c r="CA147" s="183"/>
      <c r="CB147" s="183"/>
      <c r="CC147" s="183"/>
      <c r="CD147" s="183"/>
      <c r="CE147" s="183"/>
      <c r="CF147" s="183"/>
      <c r="CG147" s="183"/>
      <c r="CH147" s="183"/>
      <c r="CI147" s="183"/>
      <c r="CJ147" s="183"/>
      <c r="CK147" s="183"/>
      <c r="CL147" s="183"/>
      <c r="CM147" s="183"/>
      <c r="CN147" s="183"/>
      <c r="CO147" s="183"/>
      <c r="CP147" s="183"/>
      <c r="CQ147" s="183"/>
      <c r="CR147" s="183"/>
      <c r="CS147" s="183"/>
      <c r="CT147" s="183"/>
      <c r="CU147" s="183"/>
      <c r="CV147" s="183"/>
      <c r="CW147" s="183"/>
      <c r="CX147" s="183"/>
      <c r="CY147" s="183"/>
      <c r="CZ147" s="183"/>
      <c r="DA147" s="183"/>
      <c r="DB147" s="183"/>
      <c r="DC147" s="183"/>
      <c r="DD147" s="183"/>
      <c r="DE147" s="183"/>
      <c r="DF147" s="183"/>
      <c r="DG147" s="183"/>
      <c r="DH147" s="183"/>
      <c r="DI147" s="183"/>
      <c r="DJ147" s="183"/>
      <c r="DK147" s="183"/>
      <c r="DL147" s="183"/>
      <c r="DM147" s="183"/>
      <c r="DN147" s="183"/>
      <c r="DO147" s="183"/>
      <c r="DP147" s="183"/>
      <c r="DQ147" s="183"/>
      <c r="DR147" s="183"/>
      <c r="DS147" s="183"/>
      <c r="DT147" s="183"/>
      <c r="DU147" s="183"/>
      <c r="DV147" s="183"/>
      <c r="DW147" s="183"/>
      <c r="DX147" s="183"/>
      <c r="DY147" s="183"/>
      <c r="DZ147" s="183"/>
      <c r="EA147" s="183"/>
      <c r="EB147" s="183"/>
      <c r="EC147" s="183"/>
      <c r="ED147" s="183"/>
      <c r="EE147" s="183"/>
      <c r="EF147" s="183"/>
      <c r="EG147" s="183"/>
      <c r="EH147" s="183"/>
      <c r="EI147" s="183"/>
      <c r="EJ147" s="183"/>
      <c r="EK147" s="183"/>
      <c r="EL147" s="183"/>
      <c r="EM147" s="183"/>
      <c r="EN147" s="183"/>
      <c r="EO147" s="183"/>
      <c r="EP147" s="183"/>
      <c r="EQ147" s="183"/>
      <c r="ER147" s="183"/>
      <c r="ES147" s="183"/>
      <c r="ET147" s="183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</row>
    <row r="148" spans="1:258" ht="13.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Q148" s="183"/>
      <c r="AR148" s="183"/>
      <c r="AS148" s="183"/>
      <c r="AT148" s="183"/>
      <c r="AU148" s="183"/>
      <c r="AV148" s="183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  <c r="BM148" s="183"/>
      <c r="BN148" s="183"/>
      <c r="BO148" s="183"/>
      <c r="BP148" s="183"/>
      <c r="BQ148" s="183"/>
      <c r="BR148" s="183"/>
      <c r="BS148" s="183"/>
      <c r="BT148" s="183"/>
      <c r="BU148" s="183"/>
      <c r="BV148" s="183"/>
      <c r="BW148" s="183"/>
      <c r="BX148" s="183"/>
      <c r="BY148" s="183"/>
      <c r="BZ148" s="183"/>
      <c r="CA148" s="183"/>
      <c r="CB148" s="183"/>
      <c r="CC148" s="183"/>
      <c r="CD148" s="183"/>
      <c r="CE148" s="183"/>
      <c r="CF148" s="183"/>
      <c r="CG148" s="183"/>
      <c r="CH148" s="183"/>
      <c r="CI148" s="183"/>
      <c r="CJ148" s="183"/>
      <c r="CK148" s="183"/>
      <c r="CL148" s="183"/>
      <c r="CM148" s="183"/>
      <c r="CN148" s="183"/>
      <c r="CO148" s="183"/>
      <c r="CP148" s="183"/>
      <c r="CQ148" s="183"/>
      <c r="CR148" s="183"/>
      <c r="CS148" s="183"/>
      <c r="CT148" s="183"/>
      <c r="CU148" s="183"/>
      <c r="CV148" s="183"/>
      <c r="CW148" s="183"/>
      <c r="CX148" s="183"/>
      <c r="CY148" s="183"/>
      <c r="CZ148" s="183"/>
      <c r="DA148" s="183"/>
      <c r="DB148" s="183"/>
      <c r="DC148" s="183"/>
      <c r="DD148" s="183"/>
      <c r="DE148" s="183"/>
      <c r="DF148" s="183"/>
      <c r="DG148" s="183"/>
      <c r="DH148" s="183"/>
      <c r="DI148" s="183"/>
      <c r="DJ148" s="183"/>
      <c r="DK148" s="183"/>
      <c r="DL148" s="183"/>
      <c r="DM148" s="183"/>
      <c r="DN148" s="183"/>
      <c r="DO148" s="183"/>
      <c r="DP148" s="183"/>
      <c r="DQ148" s="183"/>
      <c r="DR148" s="183"/>
      <c r="DS148" s="183"/>
      <c r="DT148" s="183"/>
      <c r="DU148" s="183"/>
      <c r="DV148" s="183"/>
      <c r="DW148" s="183"/>
      <c r="DX148" s="183"/>
      <c r="DY148" s="183"/>
      <c r="DZ148" s="183"/>
      <c r="EA148" s="183"/>
      <c r="EB148" s="183"/>
      <c r="EC148" s="183"/>
      <c r="ED148" s="183"/>
      <c r="EE148" s="183"/>
      <c r="EF148" s="183"/>
      <c r="EG148" s="183"/>
      <c r="EH148" s="183"/>
      <c r="EI148" s="183"/>
      <c r="EJ148" s="183"/>
      <c r="EK148" s="183"/>
      <c r="EL148" s="183"/>
      <c r="EM148" s="183"/>
      <c r="EN148" s="183"/>
      <c r="EO148" s="183"/>
      <c r="EP148" s="183"/>
      <c r="EQ148" s="183"/>
      <c r="ER148" s="183"/>
      <c r="ES148" s="183"/>
      <c r="ET148" s="183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</row>
    <row r="149" spans="1:258" ht="13.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3"/>
      <c r="AQ149" s="183"/>
      <c r="AR149" s="183"/>
      <c r="AS149" s="183"/>
      <c r="AT149" s="183"/>
      <c r="AU149" s="183"/>
      <c r="AV149" s="183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L149" s="183"/>
      <c r="BM149" s="183"/>
      <c r="BN149" s="183"/>
      <c r="BO149" s="183"/>
      <c r="BP149" s="183"/>
      <c r="BQ149" s="183"/>
      <c r="BR149" s="183"/>
      <c r="BS149" s="183"/>
      <c r="BT149" s="183"/>
      <c r="BU149" s="183"/>
      <c r="BV149" s="183"/>
      <c r="BW149" s="183"/>
      <c r="BX149" s="183"/>
      <c r="BY149" s="183"/>
      <c r="BZ149" s="183"/>
      <c r="CA149" s="183"/>
      <c r="CB149" s="183"/>
      <c r="CC149" s="183"/>
      <c r="CD149" s="183"/>
      <c r="CE149" s="183"/>
      <c r="CF149" s="183"/>
      <c r="CG149" s="183"/>
      <c r="CH149" s="183"/>
      <c r="CI149" s="183"/>
      <c r="CJ149" s="183"/>
      <c r="CK149" s="183"/>
      <c r="CL149" s="183"/>
      <c r="CM149" s="183"/>
      <c r="CN149" s="183"/>
      <c r="CO149" s="183"/>
      <c r="CP149" s="183"/>
      <c r="CQ149" s="183"/>
      <c r="CR149" s="183"/>
      <c r="CS149" s="183"/>
      <c r="CT149" s="183"/>
      <c r="CU149" s="183"/>
      <c r="CV149" s="183"/>
      <c r="CW149" s="183"/>
      <c r="CX149" s="183"/>
      <c r="CY149" s="183"/>
      <c r="CZ149" s="183"/>
      <c r="DA149" s="183"/>
      <c r="DB149" s="183"/>
      <c r="DC149" s="183"/>
      <c r="DD149" s="183"/>
      <c r="DE149" s="183"/>
      <c r="DF149" s="183"/>
      <c r="DG149" s="183"/>
      <c r="DH149" s="183"/>
      <c r="DI149" s="183"/>
      <c r="DJ149" s="183"/>
      <c r="DK149" s="183"/>
      <c r="DL149" s="183"/>
      <c r="DM149" s="183"/>
      <c r="DN149" s="183"/>
      <c r="DO149" s="183"/>
      <c r="DP149" s="183"/>
      <c r="DQ149" s="183"/>
      <c r="DR149" s="183"/>
      <c r="DS149" s="183"/>
      <c r="DT149" s="183"/>
      <c r="DU149" s="183"/>
      <c r="DV149" s="183"/>
      <c r="DW149" s="183"/>
      <c r="DX149" s="183"/>
      <c r="DY149" s="183"/>
      <c r="DZ149" s="183"/>
      <c r="EA149" s="183"/>
      <c r="EB149" s="183"/>
      <c r="EC149" s="183"/>
      <c r="ED149" s="183"/>
      <c r="EE149" s="183"/>
      <c r="EF149" s="183"/>
      <c r="EG149" s="183"/>
      <c r="EH149" s="183"/>
      <c r="EI149" s="183"/>
      <c r="EJ149" s="183"/>
      <c r="EK149" s="183"/>
      <c r="EL149" s="183"/>
      <c r="EM149" s="183"/>
      <c r="EN149" s="183"/>
      <c r="EO149" s="183"/>
      <c r="EP149" s="183"/>
      <c r="EQ149" s="183"/>
      <c r="ER149" s="183"/>
      <c r="ES149" s="183"/>
      <c r="ET149" s="183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</row>
    <row r="150" spans="1:258" ht="13.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Q150" s="183"/>
      <c r="AR150" s="183"/>
      <c r="AS150" s="183"/>
      <c r="AT150" s="183"/>
      <c r="AU150" s="183"/>
      <c r="AV150" s="183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L150" s="183"/>
      <c r="BM150" s="183"/>
      <c r="BN150" s="183"/>
      <c r="BO150" s="183"/>
      <c r="BP150" s="183"/>
      <c r="BQ150" s="183"/>
      <c r="BR150" s="183"/>
      <c r="BS150" s="183"/>
      <c r="BT150" s="183"/>
      <c r="BU150" s="183"/>
      <c r="BV150" s="183"/>
      <c r="BW150" s="183"/>
      <c r="BX150" s="183"/>
      <c r="BY150" s="183"/>
      <c r="BZ150" s="183"/>
      <c r="CA150" s="183"/>
      <c r="CB150" s="183"/>
      <c r="CC150" s="183"/>
      <c r="CD150" s="183"/>
      <c r="CE150" s="183"/>
      <c r="CF150" s="183"/>
      <c r="CG150" s="183"/>
      <c r="CH150" s="183"/>
      <c r="CI150" s="183"/>
      <c r="CJ150" s="183"/>
      <c r="CK150" s="183"/>
      <c r="CL150" s="183"/>
      <c r="CM150" s="183"/>
      <c r="CN150" s="183"/>
      <c r="CO150" s="183"/>
      <c r="CP150" s="183"/>
      <c r="CQ150" s="183"/>
      <c r="CR150" s="183"/>
      <c r="CS150" s="183"/>
      <c r="CT150" s="183"/>
      <c r="CU150" s="183"/>
      <c r="CV150" s="183"/>
      <c r="CW150" s="183"/>
      <c r="CX150" s="183"/>
      <c r="CY150" s="183"/>
      <c r="CZ150" s="183"/>
      <c r="DA150" s="183"/>
      <c r="DB150" s="183"/>
      <c r="DC150" s="183"/>
      <c r="DD150" s="183"/>
      <c r="DE150" s="183"/>
      <c r="DF150" s="183"/>
      <c r="DG150" s="183"/>
      <c r="DH150" s="183"/>
      <c r="DI150" s="183"/>
      <c r="DJ150" s="183"/>
      <c r="DK150" s="183"/>
      <c r="DL150" s="183"/>
      <c r="DM150" s="183"/>
      <c r="DN150" s="183"/>
      <c r="DO150" s="183"/>
      <c r="DP150" s="183"/>
      <c r="DQ150" s="183"/>
      <c r="DR150" s="183"/>
      <c r="DS150" s="183"/>
      <c r="DT150" s="183"/>
      <c r="DU150" s="183"/>
      <c r="DV150" s="183"/>
      <c r="DW150" s="183"/>
      <c r="DX150" s="183"/>
      <c r="DY150" s="183"/>
      <c r="DZ150" s="183"/>
      <c r="EA150" s="183"/>
      <c r="EB150" s="183"/>
      <c r="EC150" s="183"/>
      <c r="ED150" s="183"/>
      <c r="EE150" s="183"/>
      <c r="EF150" s="183"/>
      <c r="EG150" s="183"/>
      <c r="EH150" s="183"/>
      <c r="EI150" s="183"/>
      <c r="EJ150" s="183"/>
      <c r="EK150" s="183"/>
      <c r="EL150" s="183"/>
      <c r="EM150" s="183"/>
      <c r="EN150" s="183"/>
      <c r="EO150" s="183"/>
      <c r="EP150" s="183"/>
      <c r="EQ150" s="183"/>
      <c r="ER150" s="183"/>
      <c r="ES150" s="183"/>
      <c r="ET150" s="183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</row>
    <row r="151" spans="1:258" ht="13.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  <c r="AS151" s="183"/>
      <c r="AT151" s="183"/>
      <c r="AU151" s="183"/>
      <c r="AV151" s="183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L151" s="183"/>
      <c r="BM151" s="183"/>
      <c r="BN151" s="183"/>
      <c r="BO151" s="183"/>
      <c r="BP151" s="183"/>
      <c r="BQ151" s="183"/>
      <c r="BR151" s="183"/>
      <c r="BS151" s="183"/>
      <c r="BT151" s="183"/>
      <c r="BU151" s="183"/>
      <c r="BV151" s="183"/>
      <c r="BW151" s="183"/>
      <c r="BX151" s="183"/>
      <c r="BY151" s="183"/>
      <c r="BZ151" s="183"/>
      <c r="CA151" s="183"/>
      <c r="CB151" s="183"/>
      <c r="CC151" s="183"/>
      <c r="CD151" s="183"/>
      <c r="CE151" s="183"/>
      <c r="CF151" s="183"/>
      <c r="CG151" s="183"/>
      <c r="CH151" s="183"/>
      <c r="CI151" s="183"/>
      <c r="CJ151" s="183"/>
      <c r="CK151" s="183"/>
      <c r="CL151" s="183"/>
      <c r="CM151" s="183"/>
      <c r="CN151" s="183"/>
      <c r="CO151" s="183"/>
      <c r="CP151" s="183"/>
      <c r="CQ151" s="183"/>
      <c r="CR151" s="183"/>
      <c r="CS151" s="183"/>
      <c r="CT151" s="183"/>
      <c r="CU151" s="183"/>
      <c r="CV151" s="183"/>
      <c r="CW151" s="183"/>
      <c r="CX151" s="183"/>
      <c r="CY151" s="183"/>
      <c r="CZ151" s="183"/>
      <c r="DA151" s="183"/>
      <c r="DB151" s="183"/>
      <c r="DC151" s="183"/>
      <c r="DD151" s="183"/>
      <c r="DE151" s="183"/>
      <c r="DF151" s="183"/>
      <c r="DG151" s="183"/>
      <c r="DH151" s="183"/>
      <c r="DI151" s="183"/>
      <c r="DJ151" s="183"/>
      <c r="DK151" s="183"/>
      <c r="DL151" s="183"/>
      <c r="DM151" s="183"/>
      <c r="DN151" s="183"/>
      <c r="DO151" s="183"/>
      <c r="DP151" s="183"/>
      <c r="DQ151" s="183"/>
      <c r="DR151" s="183"/>
      <c r="DS151" s="183"/>
      <c r="DT151" s="183"/>
      <c r="DU151" s="183"/>
      <c r="DV151" s="183"/>
      <c r="DW151" s="183"/>
      <c r="DX151" s="183"/>
      <c r="DY151" s="183"/>
      <c r="DZ151" s="183"/>
      <c r="EA151" s="183"/>
      <c r="EB151" s="183"/>
      <c r="EC151" s="183"/>
      <c r="ED151" s="183"/>
      <c r="EE151" s="183"/>
      <c r="EF151" s="183"/>
      <c r="EG151" s="183"/>
      <c r="EH151" s="183"/>
      <c r="EI151" s="183"/>
      <c r="EJ151" s="183"/>
      <c r="EK151" s="183"/>
      <c r="EL151" s="183"/>
      <c r="EM151" s="183"/>
      <c r="EN151" s="183"/>
      <c r="EO151" s="183"/>
      <c r="EP151" s="183"/>
      <c r="EQ151" s="183"/>
      <c r="ER151" s="183"/>
      <c r="ES151" s="183"/>
      <c r="ET151" s="183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</row>
    <row r="152" spans="1:258" ht="13.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Q152" s="183"/>
      <c r="AR152" s="183"/>
      <c r="AS152" s="183"/>
      <c r="AT152" s="183"/>
      <c r="AU152" s="183"/>
      <c r="AV152" s="183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3"/>
      <c r="BM152" s="183"/>
      <c r="BN152" s="183"/>
      <c r="BO152" s="183"/>
      <c r="BP152" s="183"/>
      <c r="BQ152" s="183"/>
      <c r="BR152" s="183"/>
      <c r="BS152" s="183"/>
      <c r="BT152" s="183"/>
      <c r="BU152" s="183"/>
      <c r="BV152" s="183"/>
      <c r="BW152" s="183"/>
      <c r="BX152" s="183"/>
      <c r="BY152" s="183"/>
      <c r="BZ152" s="183"/>
      <c r="CA152" s="183"/>
      <c r="CB152" s="183"/>
      <c r="CC152" s="183"/>
      <c r="CD152" s="183"/>
      <c r="CE152" s="183"/>
      <c r="CF152" s="183"/>
      <c r="CG152" s="183"/>
      <c r="CH152" s="183"/>
      <c r="CI152" s="183"/>
      <c r="CJ152" s="183"/>
      <c r="CK152" s="183"/>
      <c r="CL152" s="183"/>
      <c r="CM152" s="183"/>
      <c r="CN152" s="183"/>
      <c r="CO152" s="183"/>
      <c r="CP152" s="183"/>
      <c r="CQ152" s="183"/>
      <c r="CR152" s="183"/>
      <c r="CS152" s="183"/>
      <c r="CT152" s="183"/>
      <c r="CU152" s="183"/>
      <c r="CV152" s="183"/>
      <c r="CW152" s="183"/>
      <c r="CX152" s="183"/>
      <c r="CY152" s="183"/>
      <c r="CZ152" s="183"/>
      <c r="DA152" s="183"/>
      <c r="DB152" s="183"/>
      <c r="DC152" s="183"/>
      <c r="DD152" s="183"/>
      <c r="DE152" s="183"/>
      <c r="DF152" s="183"/>
      <c r="DG152" s="183"/>
      <c r="DH152" s="183"/>
      <c r="DI152" s="183"/>
      <c r="DJ152" s="183"/>
      <c r="DK152" s="183"/>
      <c r="DL152" s="183"/>
      <c r="DM152" s="183"/>
      <c r="DN152" s="183"/>
      <c r="DO152" s="183"/>
      <c r="DP152" s="183"/>
      <c r="DQ152" s="183"/>
      <c r="DR152" s="183"/>
      <c r="DS152" s="183"/>
      <c r="DT152" s="183"/>
      <c r="DU152" s="183"/>
      <c r="DV152" s="183"/>
      <c r="DW152" s="183"/>
      <c r="DX152" s="183"/>
      <c r="DY152" s="183"/>
      <c r="DZ152" s="183"/>
      <c r="EA152" s="183"/>
      <c r="EB152" s="183"/>
      <c r="EC152" s="183"/>
      <c r="ED152" s="183"/>
      <c r="EE152" s="183"/>
      <c r="EF152" s="183"/>
      <c r="EG152" s="183"/>
      <c r="EH152" s="183"/>
      <c r="EI152" s="183"/>
      <c r="EJ152" s="183"/>
      <c r="EK152" s="183"/>
      <c r="EL152" s="183"/>
      <c r="EM152" s="183"/>
      <c r="EN152" s="183"/>
      <c r="EO152" s="183"/>
      <c r="EP152" s="183"/>
      <c r="EQ152" s="183"/>
      <c r="ER152" s="183"/>
      <c r="ES152" s="183"/>
      <c r="ET152" s="183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</row>
    <row r="153" spans="1:258" ht="13.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Q153" s="183"/>
      <c r="AR153" s="183"/>
      <c r="AS153" s="183"/>
      <c r="AT153" s="183"/>
      <c r="AU153" s="183"/>
      <c r="AV153" s="183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  <c r="BM153" s="183"/>
      <c r="BN153" s="183"/>
      <c r="BO153" s="183"/>
      <c r="BP153" s="183"/>
      <c r="BQ153" s="183"/>
      <c r="BR153" s="183"/>
      <c r="BS153" s="183"/>
      <c r="BT153" s="183"/>
      <c r="BU153" s="183"/>
      <c r="BV153" s="183"/>
      <c r="BW153" s="183"/>
      <c r="BX153" s="183"/>
      <c r="BY153" s="183"/>
      <c r="BZ153" s="183"/>
      <c r="CA153" s="183"/>
      <c r="CB153" s="183"/>
      <c r="CC153" s="183"/>
      <c r="CD153" s="183"/>
      <c r="CE153" s="183"/>
      <c r="CF153" s="183"/>
      <c r="CG153" s="183"/>
      <c r="CH153" s="183"/>
      <c r="CI153" s="183"/>
      <c r="CJ153" s="183"/>
      <c r="CK153" s="183"/>
      <c r="CL153" s="183"/>
      <c r="CM153" s="183"/>
      <c r="CN153" s="183"/>
      <c r="CO153" s="183"/>
      <c r="CP153" s="183"/>
      <c r="CQ153" s="183"/>
      <c r="CR153" s="183"/>
      <c r="CS153" s="183"/>
      <c r="CT153" s="183"/>
      <c r="CU153" s="183"/>
      <c r="CV153" s="183"/>
      <c r="CW153" s="183"/>
      <c r="CX153" s="183"/>
      <c r="CY153" s="183"/>
      <c r="CZ153" s="183"/>
      <c r="DA153" s="183"/>
      <c r="DB153" s="183"/>
      <c r="DC153" s="183"/>
      <c r="DD153" s="183"/>
      <c r="DE153" s="183"/>
      <c r="DF153" s="183"/>
      <c r="DG153" s="183"/>
      <c r="DH153" s="183"/>
      <c r="DI153" s="183"/>
      <c r="DJ153" s="183"/>
      <c r="DK153" s="183"/>
      <c r="DL153" s="183"/>
      <c r="DM153" s="183"/>
      <c r="DN153" s="183"/>
      <c r="DO153" s="183"/>
      <c r="DP153" s="183"/>
      <c r="DQ153" s="183"/>
      <c r="DR153" s="183"/>
      <c r="DS153" s="183"/>
      <c r="DT153" s="183"/>
      <c r="DU153" s="183"/>
      <c r="DV153" s="183"/>
      <c r="DW153" s="183"/>
      <c r="DX153" s="183"/>
      <c r="DY153" s="183"/>
      <c r="DZ153" s="183"/>
      <c r="EA153" s="183"/>
      <c r="EB153" s="183"/>
      <c r="EC153" s="183"/>
      <c r="ED153" s="183"/>
      <c r="EE153" s="183"/>
      <c r="EF153" s="183"/>
      <c r="EG153" s="183"/>
      <c r="EH153" s="183"/>
      <c r="EI153" s="183"/>
      <c r="EJ153" s="183"/>
      <c r="EK153" s="183"/>
      <c r="EL153" s="183"/>
      <c r="EM153" s="183"/>
      <c r="EN153" s="183"/>
      <c r="EO153" s="183"/>
      <c r="EP153" s="183"/>
      <c r="EQ153" s="183"/>
      <c r="ER153" s="183"/>
      <c r="ES153" s="183"/>
      <c r="ET153" s="183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</row>
    <row r="154" spans="1:258" ht="13.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  <c r="AP154" s="183"/>
      <c r="AQ154" s="183"/>
      <c r="AR154" s="183"/>
      <c r="AS154" s="183"/>
      <c r="AT154" s="183"/>
      <c r="AU154" s="183"/>
      <c r="AV154" s="183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L154" s="183"/>
      <c r="BM154" s="183"/>
      <c r="BN154" s="183"/>
      <c r="BO154" s="183"/>
      <c r="BP154" s="183"/>
      <c r="BQ154" s="183"/>
      <c r="BR154" s="183"/>
      <c r="BS154" s="183"/>
      <c r="BT154" s="183"/>
      <c r="BU154" s="183"/>
      <c r="BV154" s="183"/>
      <c r="BW154" s="183"/>
      <c r="BX154" s="183"/>
      <c r="BY154" s="183"/>
      <c r="BZ154" s="183"/>
      <c r="CA154" s="183"/>
      <c r="CB154" s="183"/>
      <c r="CC154" s="183"/>
      <c r="CD154" s="183"/>
      <c r="CE154" s="183"/>
      <c r="CF154" s="183"/>
      <c r="CG154" s="183"/>
      <c r="CH154" s="183"/>
      <c r="CI154" s="183"/>
      <c r="CJ154" s="183"/>
      <c r="CK154" s="183"/>
      <c r="CL154" s="183"/>
      <c r="CM154" s="183"/>
      <c r="CN154" s="183"/>
      <c r="CO154" s="183"/>
      <c r="CP154" s="183"/>
      <c r="CQ154" s="183"/>
      <c r="CR154" s="183"/>
      <c r="CS154" s="183"/>
      <c r="CT154" s="183"/>
      <c r="CU154" s="183"/>
      <c r="CV154" s="183"/>
      <c r="CW154" s="183"/>
      <c r="CX154" s="183"/>
      <c r="CY154" s="183"/>
      <c r="CZ154" s="183"/>
      <c r="DA154" s="183"/>
      <c r="DB154" s="183"/>
      <c r="DC154" s="183"/>
      <c r="DD154" s="183"/>
      <c r="DE154" s="183"/>
      <c r="DF154" s="183"/>
      <c r="DG154" s="183"/>
      <c r="DH154" s="183"/>
      <c r="DI154" s="183"/>
      <c r="DJ154" s="183"/>
      <c r="DK154" s="183"/>
      <c r="DL154" s="183"/>
      <c r="DM154" s="183"/>
      <c r="DN154" s="183"/>
      <c r="DO154" s="183"/>
      <c r="DP154" s="183"/>
      <c r="DQ154" s="183"/>
      <c r="DR154" s="183"/>
      <c r="DS154" s="183"/>
      <c r="DT154" s="183"/>
      <c r="DU154" s="183"/>
      <c r="DV154" s="183"/>
      <c r="DW154" s="183"/>
      <c r="DX154" s="183"/>
      <c r="DY154" s="183"/>
      <c r="DZ154" s="183"/>
      <c r="EA154" s="183"/>
      <c r="EB154" s="183"/>
      <c r="EC154" s="183"/>
      <c r="ED154" s="183"/>
      <c r="EE154" s="183"/>
      <c r="EF154" s="183"/>
      <c r="EG154" s="183"/>
      <c r="EH154" s="183"/>
      <c r="EI154" s="183"/>
      <c r="EJ154" s="183"/>
      <c r="EK154" s="183"/>
      <c r="EL154" s="183"/>
      <c r="EM154" s="183"/>
      <c r="EN154" s="183"/>
      <c r="EO154" s="183"/>
      <c r="EP154" s="183"/>
      <c r="EQ154" s="183"/>
      <c r="ER154" s="183"/>
      <c r="ES154" s="183"/>
      <c r="ET154" s="183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</row>
    <row r="155" spans="1:258" ht="13.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  <c r="AP155" s="183"/>
      <c r="AQ155" s="183"/>
      <c r="AR155" s="183"/>
      <c r="AS155" s="183"/>
      <c r="AT155" s="183"/>
      <c r="AU155" s="183"/>
      <c r="AV155" s="183"/>
      <c r="AW155" s="183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  <c r="BK155" s="183"/>
      <c r="BL155" s="183"/>
      <c r="BM155" s="183"/>
      <c r="BN155" s="183"/>
      <c r="BO155" s="183"/>
      <c r="BP155" s="183"/>
      <c r="BQ155" s="183"/>
      <c r="BR155" s="183"/>
      <c r="BS155" s="183"/>
      <c r="BT155" s="183"/>
      <c r="BU155" s="183"/>
      <c r="BV155" s="183"/>
      <c r="BW155" s="183"/>
      <c r="BX155" s="183"/>
      <c r="BY155" s="183"/>
      <c r="BZ155" s="183"/>
      <c r="CA155" s="183"/>
      <c r="CB155" s="183"/>
      <c r="CC155" s="183"/>
      <c r="CD155" s="183"/>
      <c r="CE155" s="183"/>
      <c r="CF155" s="183"/>
      <c r="CG155" s="183"/>
      <c r="CH155" s="183"/>
      <c r="CI155" s="183"/>
      <c r="CJ155" s="183"/>
      <c r="CK155" s="183"/>
      <c r="CL155" s="183"/>
      <c r="CM155" s="183"/>
      <c r="CN155" s="183"/>
      <c r="CO155" s="183"/>
      <c r="CP155" s="183"/>
      <c r="CQ155" s="183"/>
      <c r="CR155" s="183"/>
      <c r="CS155" s="183"/>
      <c r="CT155" s="183"/>
      <c r="CU155" s="183"/>
      <c r="CV155" s="183"/>
      <c r="CW155" s="183"/>
      <c r="CX155" s="183"/>
      <c r="CY155" s="183"/>
      <c r="CZ155" s="183"/>
      <c r="DA155" s="183"/>
      <c r="DB155" s="183"/>
      <c r="DC155" s="183"/>
      <c r="DD155" s="183"/>
      <c r="DE155" s="183"/>
      <c r="DF155" s="183"/>
      <c r="DG155" s="183"/>
      <c r="DH155" s="183"/>
      <c r="DI155" s="183"/>
      <c r="DJ155" s="183"/>
      <c r="DK155" s="183"/>
      <c r="DL155" s="183"/>
      <c r="DM155" s="183"/>
      <c r="DN155" s="183"/>
      <c r="DO155" s="183"/>
      <c r="DP155" s="183"/>
      <c r="DQ155" s="183"/>
      <c r="DR155" s="183"/>
      <c r="DS155" s="183"/>
      <c r="DT155" s="183"/>
      <c r="DU155" s="183"/>
      <c r="DV155" s="183"/>
      <c r="DW155" s="183"/>
      <c r="DX155" s="183"/>
      <c r="DY155" s="183"/>
      <c r="DZ155" s="183"/>
      <c r="EA155" s="183"/>
      <c r="EB155" s="183"/>
      <c r="EC155" s="183"/>
      <c r="ED155" s="183"/>
      <c r="EE155" s="183"/>
      <c r="EF155" s="183"/>
      <c r="EG155" s="183"/>
      <c r="EH155" s="183"/>
      <c r="EI155" s="183"/>
      <c r="EJ155" s="183"/>
      <c r="EK155" s="183"/>
      <c r="EL155" s="183"/>
      <c r="EM155" s="183"/>
      <c r="EN155" s="183"/>
      <c r="EO155" s="183"/>
      <c r="EP155" s="183"/>
      <c r="EQ155" s="183"/>
      <c r="ER155" s="183"/>
      <c r="ES155" s="183"/>
      <c r="ET155" s="183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</row>
    <row r="156" spans="1:258" ht="13.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  <c r="AP156" s="183"/>
      <c r="AQ156" s="183"/>
      <c r="AR156" s="183"/>
      <c r="AS156" s="183"/>
      <c r="AT156" s="183"/>
      <c r="AU156" s="183"/>
      <c r="AV156" s="183"/>
      <c r="AW156" s="183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  <c r="BK156" s="183"/>
      <c r="BL156" s="183"/>
      <c r="BM156" s="183"/>
      <c r="BN156" s="183"/>
      <c r="BO156" s="183"/>
      <c r="BP156" s="183"/>
      <c r="BQ156" s="183"/>
      <c r="BR156" s="183"/>
      <c r="BS156" s="183"/>
      <c r="BT156" s="183"/>
      <c r="BU156" s="183"/>
      <c r="BV156" s="183"/>
      <c r="BW156" s="183"/>
      <c r="BX156" s="183"/>
      <c r="BY156" s="183"/>
      <c r="BZ156" s="183"/>
      <c r="CA156" s="183"/>
      <c r="CB156" s="183"/>
      <c r="CC156" s="183"/>
      <c r="CD156" s="183"/>
      <c r="CE156" s="183"/>
      <c r="CF156" s="183"/>
      <c r="CG156" s="183"/>
      <c r="CH156" s="183"/>
      <c r="CI156" s="183"/>
      <c r="CJ156" s="183"/>
      <c r="CK156" s="183"/>
      <c r="CL156" s="183"/>
      <c r="CM156" s="183"/>
      <c r="CN156" s="183"/>
      <c r="CO156" s="183"/>
      <c r="CP156" s="183"/>
      <c r="CQ156" s="183"/>
      <c r="CR156" s="183"/>
      <c r="CS156" s="183"/>
      <c r="CT156" s="183"/>
      <c r="CU156" s="183"/>
      <c r="CV156" s="183"/>
      <c r="CW156" s="183"/>
      <c r="CX156" s="183"/>
      <c r="CY156" s="183"/>
      <c r="CZ156" s="183"/>
      <c r="DA156" s="183"/>
      <c r="DB156" s="183"/>
      <c r="DC156" s="183"/>
      <c r="DD156" s="183"/>
      <c r="DE156" s="183"/>
      <c r="DF156" s="183"/>
      <c r="DG156" s="183"/>
      <c r="DH156" s="183"/>
      <c r="DI156" s="183"/>
      <c r="DJ156" s="183"/>
      <c r="DK156" s="183"/>
      <c r="DL156" s="183"/>
      <c r="DM156" s="183"/>
      <c r="DN156" s="183"/>
      <c r="DO156" s="183"/>
      <c r="DP156" s="183"/>
      <c r="DQ156" s="183"/>
      <c r="DR156" s="183"/>
      <c r="DS156" s="183"/>
      <c r="DT156" s="183"/>
      <c r="DU156" s="183"/>
      <c r="DV156" s="183"/>
      <c r="DW156" s="183"/>
      <c r="DX156" s="183"/>
      <c r="DY156" s="183"/>
      <c r="DZ156" s="183"/>
      <c r="EA156" s="183"/>
      <c r="EB156" s="183"/>
      <c r="EC156" s="183"/>
      <c r="ED156" s="183"/>
      <c r="EE156" s="183"/>
      <c r="EF156" s="183"/>
      <c r="EG156" s="183"/>
      <c r="EH156" s="183"/>
      <c r="EI156" s="183"/>
      <c r="EJ156" s="183"/>
      <c r="EK156" s="183"/>
      <c r="EL156" s="183"/>
      <c r="EM156" s="183"/>
      <c r="EN156" s="183"/>
      <c r="EO156" s="183"/>
      <c r="EP156" s="183"/>
      <c r="EQ156" s="183"/>
      <c r="ER156" s="183"/>
      <c r="ES156" s="183"/>
      <c r="ET156" s="183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</row>
    <row r="157" spans="1:258" ht="13.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  <c r="AP157" s="183"/>
      <c r="AQ157" s="183"/>
      <c r="AR157" s="183"/>
      <c r="AS157" s="183"/>
      <c r="AT157" s="183"/>
      <c r="AU157" s="183"/>
      <c r="AV157" s="183"/>
      <c r="AW157" s="183"/>
      <c r="AX157" s="183"/>
      <c r="AY157" s="183"/>
      <c r="AZ157" s="183"/>
      <c r="BA157" s="183"/>
      <c r="BB157" s="183"/>
      <c r="BC157" s="183"/>
      <c r="BD157" s="183"/>
      <c r="BE157" s="183"/>
      <c r="BF157" s="183"/>
      <c r="BG157" s="183"/>
      <c r="BH157" s="183"/>
      <c r="BI157" s="183"/>
      <c r="BJ157" s="183"/>
      <c r="BK157" s="183"/>
      <c r="BL157" s="183"/>
      <c r="BM157" s="183"/>
      <c r="BN157" s="183"/>
      <c r="BO157" s="183"/>
      <c r="BP157" s="183"/>
      <c r="BQ157" s="183"/>
      <c r="BR157" s="183"/>
      <c r="BS157" s="183"/>
      <c r="BT157" s="183"/>
      <c r="BU157" s="183"/>
      <c r="BV157" s="183"/>
      <c r="BW157" s="183"/>
      <c r="BX157" s="183"/>
      <c r="BY157" s="183"/>
      <c r="BZ157" s="183"/>
      <c r="CA157" s="183"/>
      <c r="CB157" s="183"/>
      <c r="CC157" s="183"/>
      <c r="CD157" s="183"/>
      <c r="CE157" s="183"/>
      <c r="CF157" s="183"/>
      <c r="CG157" s="183"/>
      <c r="CH157" s="183"/>
      <c r="CI157" s="183"/>
      <c r="CJ157" s="183"/>
      <c r="CK157" s="183"/>
      <c r="CL157" s="183"/>
      <c r="CM157" s="183"/>
      <c r="CN157" s="183"/>
      <c r="CO157" s="183"/>
      <c r="CP157" s="183"/>
      <c r="CQ157" s="183"/>
      <c r="CR157" s="183"/>
      <c r="CS157" s="183"/>
      <c r="CT157" s="183"/>
      <c r="CU157" s="183"/>
      <c r="CV157" s="183"/>
      <c r="CW157" s="183"/>
      <c r="CX157" s="183"/>
      <c r="CY157" s="183"/>
      <c r="CZ157" s="183"/>
      <c r="DA157" s="183"/>
      <c r="DB157" s="183"/>
      <c r="DC157" s="183"/>
      <c r="DD157" s="183"/>
      <c r="DE157" s="183"/>
      <c r="DF157" s="183"/>
      <c r="DG157" s="183"/>
      <c r="DH157" s="183"/>
      <c r="DI157" s="183"/>
      <c r="DJ157" s="183"/>
      <c r="DK157" s="183"/>
      <c r="DL157" s="183"/>
      <c r="DM157" s="183"/>
      <c r="DN157" s="183"/>
      <c r="DO157" s="183"/>
      <c r="DP157" s="183"/>
      <c r="DQ157" s="183"/>
      <c r="DR157" s="183"/>
      <c r="DS157" s="183"/>
      <c r="DT157" s="183"/>
      <c r="DU157" s="183"/>
      <c r="DV157" s="183"/>
      <c r="DW157" s="183"/>
      <c r="DX157" s="183"/>
      <c r="DY157" s="183"/>
      <c r="DZ157" s="183"/>
      <c r="EA157" s="183"/>
      <c r="EB157" s="183"/>
      <c r="EC157" s="183"/>
      <c r="ED157" s="183"/>
      <c r="EE157" s="183"/>
      <c r="EF157" s="183"/>
      <c r="EG157" s="183"/>
      <c r="EH157" s="183"/>
      <c r="EI157" s="183"/>
      <c r="EJ157" s="183"/>
      <c r="EK157" s="183"/>
      <c r="EL157" s="183"/>
      <c r="EM157" s="183"/>
      <c r="EN157" s="183"/>
      <c r="EO157" s="183"/>
      <c r="EP157" s="183"/>
      <c r="EQ157" s="183"/>
      <c r="ER157" s="183"/>
      <c r="ES157" s="183"/>
      <c r="ET157" s="183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</row>
    <row r="158" spans="1:258" ht="13.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  <c r="AP158" s="183"/>
      <c r="AQ158" s="183"/>
      <c r="AR158" s="183"/>
      <c r="AS158" s="183"/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3"/>
      <c r="CG158" s="183"/>
      <c r="CH158" s="183"/>
      <c r="CI158" s="183"/>
      <c r="CJ158" s="183"/>
      <c r="CK158" s="183"/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3"/>
      <c r="DY158" s="183"/>
      <c r="DZ158" s="183"/>
      <c r="EA158" s="183"/>
      <c r="EB158" s="183"/>
      <c r="EC158" s="183"/>
      <c r="ED158" s="183"/>
      <c r="EE158" s="183"/>
      <c r="EF158" s="183"/>
      <c r="EG158" s="183"/>
      <c r="EH158" s="183"/>
      <c r="EI158" s="183"/>
      <c r="EJ158" s="183"/>
      <c r="EK158" s="183"/>
      <c r="EL158" s="183"/>
      <c r="EM158" s="183"/>
      <c r="EN158" s="183"/>
      <c r="EO158" s="183"/>
      <c r="EP158" s="183"/>
      <c r="EQ158" s="183"/>
      <c r="ER158" s="183"/>
      <c r="ES158" s="183"/>
      <c r="ET158" s="183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</row>
    <row r="159" spans="1:258" ht="13.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  <c r="BK159" s="183"/>
      <c r="BL159" s="183"/>
      <c r="BM159" s="183"/>
      <c r="BN159" s="183"/>
      <c r="BO159" s="183"/>
      <c r="BP159" s="183"/>
      <c r="BQ159" s="183"/>
      <c r="BR159" s="183"/>
      <c r="BS159" s="183"/>
      <c r="BT159" s="183"/>
      <c r="BU159" s="183"/>
      <c r="BV159" s="183"/>
      <c r="BW159" s="183"/>
      <c r="BX159" s="183"/>
      <c r="BY159" s="183"/>
      <c r="BZ159" s="183"/>
      <c r="CA159" s="183"/>
      <c r="CB159" s="183"/>
      <c r="CC159" s="183"/>
      <c r="CD159" s="183"/>
      <c r="CE159" s="183"/>
      <c r="CF159" s="183"/>
      <c r="CG159" s="183"/>
      <c r="CH159" s="183"/>
      <c r="CI159" s="183"/>
      <c r="CJ159" s="183"/>
      <c r="CK159" s="183"/>
      <c r="CL159" s="183"/>
      <c r="CM159" s="183"/>
      <c r="CN159" s="183"/>
      <c r="CO159" s="183"/>
      <c r="CP159" s="183"/>
      <c r="CQ159" s="183"/>
      <c r="CR159" s="183"/>
      <c r="CS159" s="183"/>
      <c r="CT159" s="183"/>
      <c r="CU159" s="183"/>
      <c r="CV159" s="183"/>
      <c r="CW159" s="183"/>
      <c r="CX159" s="183"/>
      <c r="CY159" s="183"/>
      <c r="CZ159" s="183"/>
      <c r="DA159" s="183"/>
      <c r="DB159" s="183"/>
      <c r="DC159" s="183"/>
      <c r="DD159" s="183"/>
      <c r="DE159" s="183"/>
      <c r="DF159" s="183"/>
      <c r="DG159" s="183"/>
      <c r="DH159" s="183"/>
      <c r="DI159" s="183"/>
      <c r="DJ159" s="183"/>
      <c r="DK159" s="183"/>
      <c r="DL159" s="183"/>
      <c r="DM159" s="183"/>
      <c r="DN159" s="183"/>
      <c r="DO159" s="183"/>
      <c r="DP159" s="183"/>
      <c r="DQ159" s="183"/>
      <c r="DR159" s="183"/>
      <c r="DS159" s="183"/>
      <c r="DT159" s="183"/>
      <c r="DU159" s="183"/>
      <c r="DV159" s="183"/>
      <c r="DW159" s="183"/>
      <c r="DX159" s="183"/>
      <c r="DY159" s="183"/>
      <c r="DZ159" s="183"/>
      <c r="EA159" s="183"/>
      <c r="EB159" s="183"/>
      <c r="EC159" s="183"/>
      <c r="ED159" s="183"/>
      <c r="EE159" s="183"/>
      <c r="EF159" s="183"/>
      <c r="EG159" s="183"/>
      <c r="EH159" s="183"/>
      <c r="EI159" s="183"/>
      <c r="EJ159" s="183"/>
      <c r="EK159" s="183"/>
      <c r="EL159" s="183"/>
      <c r="EM159" s="183"/>
      <c r="EN159" s="183"/>
      <c r="EO159" s="183"/>
      <c r="EP159" s="183"/>
      <c r="EQ159" s="183"/>
      <c r="ER159" s="183"/>
      <c r="ES159" s="183"/>
      <c r="ET159" s="183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</row>
    <row r="160" spans="1:258" ht="13.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  <c r="AP160" s="183"/>
      <c r="AQ160" s="183"/>
      <c r="AR160" s="183"/>
      <c r="AS160" s="183"/>
      <c r="AT160" s="183"/>
      <c r="AU160" s="183"/>
      <c r="AV160" s="183"/>
      <c r="AW160" s="183"/>
      <c r="AX160" s="183"/>
      <c r="AY160" s="183"/>
      <c r="AZ160" s="183"/>
      <c r="BA160" s="183"/>
      <c r="BB160" s="183"/>
      <c r="BC160" s="183"/>
      <c r="BD160" s="183"/>
      <c r="BE160" s="183"/>
      <c r="BF160" s="183"/>
      <c r="BG160" s="183"/>
      <c r="BH160" s="183"/>
      <c r="BI160" s="183"/>
      <c r="BJ160" s="183"/>
      <c r="BK160" s="183"/>
      <c r="BL160" s="183"/>
      <c r="BM160" s="183"/>
      <c r="BN160" s="183"/>
      <c r="BO160" s="183"/>
      <c r="BP160" s="183"/>
      <c r="BQ160" s="183"/>
      <c r="BR160" s="183"/>
      <c r="BS160" s="183"/>
      <c r="BT160" s="183"/>
      <c r="BU160" s="183"/>
      <c r="BV160" s="183"/>
      <c r="BW160" s="183"/>
      <c r="BX160" s="183"/>
      <c r="BY160" s="183"/>
      <c r="BZ160" s="183"/>
      <c r="CA160" s="183"/>
      <c r="CB160" s="183"/>
      <c r="CC160" s="183"/>
      <c r="CD160" s="183"/>
      <c r="CE160" s="183"/>
      <c r="CF160" s="183"/>
      <c r="CG160" s="183"/>
      <c r="CH160" s="183"/>
      <c r="CI160" s="183"/>
      <c r="CJ160" s="183"/>
      <c r="CK160" s="183"/>
      <c r="CL160" s="183"/>
      <c r="CM160" s="183"/>
      <c r="CN160" s="183"/>
      <c r="CO160" s="183"/>
      <c r="CP160" s="183"/>
      <c r="CQ160" s="183"/>
      <c r="CR160" s="183"/>
      <c r="CS160" s="183"/>
      <c r="CT160" s="183"/>
      <c r="CU160" s="183"/>
      <c r="CV160" s="183"/>
      <c r="CW160" s="183"/>
      <c r="CX160" s="183"/>
      <c r="CY160" s="183"/>
      <c r="CZ160" s="183"/>
      <c r="DA160" s="183"/>
      <c r="DB160" s="183"/>
      <c r="DC160" s="183"/>
      <c r="DD160" s="183"/>
      <c r="DE160" s="183"/>
      <c r="DF160" s="183"/>
      <c r="DG160" s="183"/>
      <c r="DH160" s="183"/>
      <c r="DI160" s="183"/>
      <c r="DJ160" s="183"/>
      <c r="DK160" s="183"/>
      <c r="DL160" s="183"/>
      <c r="DM160" s="183"/>
      <c r="DN160" s="183"/>
      <c r="DO160" s="183"/>
      <c r="DP160" s="183"/>
      <c r="DQ160" s="183"/>
      <c r="DR160" s="183"/>
      <c r="DS160" s="183"/>
      <c r="DT160" s="183"/>
      <c r="DU160" s="183"/>
      <c r="DV160" s="183"/>
      <c r="DW160" s="183"/>
      <c r="DX160" s="183"/>
      <c r="DY160" s="183"/>
      <c r="DZ160" s="183"/>
      <c r="EA160" s="183"/>
      <c r="EB160" s="183"/>
      <c r="EC160" s="183"/>
      <c r="ED160" s="183"/>
      <c r="EE160" s="183"/>
      <c r="EF160" s="183"/>
      <c r="EG160" s="183"/>
      <c r="EH160" s="183"/>
      <c r="EI160" s="183"/>
      <c r="EJ160" s="183"/>
      <c r="EK160" s="183"/>
      <c r="EL160" s="183"/>
      <c r="EM160" s="183"/>
      <c r="EN160" s="183"/>
      <c r="EO160" s="183"/>
      <c r="EP160" s="183"/>
      <c r="EQ160" s="183"/>
      <c r="ER160" s="183"/>
      <c r="ES160" s="183"/>
      <c r="ET160" s="183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</row>
    <row r="161" spans="1:258" ht="13.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Q161" s="183"/>
      <c r="AR161" s="183"/>
      <c r="AS161" s="183"/>
      <c r="AT161" s="183"/>
      <c r="AU161" s="183"/>
      <c r="AV161" s="183"/>
      <c r="AW161" s="183"/>
      <c r="AX161" s="183"/>
      <c r="AY161" s="183"/>
      <c r="AZ161" s="183"/>
      <c r="BA161" s="183"/>
      <c r="BB161" s="183"/>
      <c r="BC161" s="183"/>
      <c r="BD161" s="183"/>
      <c r="BE161" s="183"/>
      <c r="BF161" s="183"/>
      <c r="BG161" s="183"/>
      <c r="BH161" s="183"/>
      <c r="BI161" s="183"/>
      <c r="BJ161" s="183"/>
      <c r="BK161" s="183"/>
      <c r="BL161" s="183"/>
      <c r="BM161" s="183"/>
      <c r="BN161" s="183"/>
      <c r="BO161" s="183"/>
      <c r="BP161" s="183"/>
      <c r="BQ161" s="183"/>
      <c r="BR161" s="183"/>
      <c r="BS161" s="183"/>
      <c r="BT161" s="183"/>
      <c r="BU161" s="183"/>
      <c r="BV161" s="183"/>
      <c r="BW161" s="183"/>
      <c r="BX161" s="183"/>
      <c r="BY161" s="183"/>
      <c r="BZ161" s="183"/>
      <c r="CA161" s="183"/>
      <c r="CB161" s="183"/>
      <c r="CC161" s="183"/>
      <c r="CD161" s="183"/>
      <c r="CE161" s="183"/>
      <c r="CF161" s="183"/>
      <c r="CG161" s="183"/>
      <c r="CH161" s="183"/>
      <c r="CI161" s="183"/>
      <c r="CJ161" s="183"/>
      <c r="CK161" s="183"/>
      <c r="CL161" s="183"/>
      <c r="CM161" s="183"/>
      <c r="CN161" s="183"/>
      <c r="CO161" s="183"/>
      <c r="CP161" s="183"/>
      <c r="CQ161" s="183"/>
      <c r="CR161" s="183"/>
      <c r="CS161" s="183"/>
      <c r="CT161" s="183"/>
      <c r="CU161" s="183"/>
      <c r="CV161" s="183"/>
      <c r="CW161" s="183"/>
      <c r="CX161" s="183"/>
      <c r="CY161" s="183"/>
      <c r="CZ161" s="183"/>
      <c r="DA161" s="183"/>
      <c r="DB161" s="183"/>
      <c r="DC161" s="183"/>
      <c r="DD161" s="183"/>
      <c r="DE161" s="183"/>
      <c r="DF161" s="183"/>
      <c r="DG161" s="183"/>
      <c r="DH161" s="183"/>
      <c r="DI161" s="183"/>
      <c r="DJ161" s="183"/>
      <c r="DK161" s="183"/>
      <c r="DL161" s="183"/>
      <c r="DM161" s="183"/>
      <c r="DN161" s="183"/>
      <c r="DO161" s="183"/>
      <c r="DP161" s="183"/>
      <c r="DQ161" s="183"/>
      <c r="DR161" s="183"/>
      <c r="DS161" s="183"/>
      <c r="DT161" s="183"/>
      <c r="DU161" s="183"/>
      <c r="DV161" s="183"/>
      <c r="DW161" s="183"/>
      <c r="DX161" s="183"/>
      <c r="DY161" s="183"/>
      <c r="DZ161" s="183"/>
      <c r="EA161" s="183"/>
      <c r="EB161" s="183"/>
      <c r="EC161" s="183"/>
      <c r="ED161" s="183"/>
      <c r="EE161" s="183"/>
      <c r="EF161" s="183"/>
      <c r="EG161" s="183"/>
      <c r="EH161" s="183"/>
      <c r="EI161" s="183"/>
      <c r="EJ161" s="183"/>
      <c r="EK161" s="183"/>
      <c r="EL161" s="183"/>
      <c r="EM161" s="183"/>
      <c r="EN161" s="183"/>
      <c r="EO161" s="183"/>
      <c r="EP161" s="183"/>
      <c r="EQ161" s="183"/>
      <c r="ER161" s="183"/>
      <c r="ES161" s="183"/>
      <c r="ET161" s="183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</row>
    <row r="162" spans="1:258" ht="13.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  <c r="BA162" s="183"/>
      <c r="BB162" s="183"/>
      <c r="BC162" s="183"/>
      <c r="BD162" s="183"/>
      <c r="BE162" s="183"/>
      <c r="BF162" s="183"/>
      <c r="BG162" s="183"/>
      <c r="BH162" s="183"/>
      <c r="BI162" s="183"/>
      <c r="BJ162" s="183"/>
      <c r="BK162" s="183"/>
      <c r="BL162" s="183"/>
      <c r="BM162" s="183"/>
      <c r="BN162" s="183"/>
      <c r="BO162" s="183"/>
      <c r="BP162" s="183"/>
      <c r="BQ162" s="183"/>
      <c r="BR162" s="183"/>
      <c r="BS162" s="183"/>
      <c r="BT162" s="183"/>
      <c r="BU162" s="183"/>
      <c r="BV162" s="183"/>
      <c r="BW162" s="183"/>
      <c r="BX162" s="183"/>
      <c r="BY162" s="183"/>
      <c r="BZ162" s="183"/>
      <c r="CA162" s="183"/>
      <c r="CB162" s="183"/>
      <c r="CC162" s="183"/>
      <c r="CD162" s="183"/>
      <c r="CE162" s="183"/>
      <c r="CF162" s="183"/>
      <c r="CG162" s="183"/>
      <c r="CH162" s="183"/>
      <c r="CI162" s="183"/>
      <c r="CJ162" s="183"/>
      <c r="CK162" s="183"/>
      <c r="CL162" s="183"/>
      <c r="CM162" s="183"/>
      <c r="CN162" s="183"/>
      <c r="CO162" s="183"/>
      <c r="CP162" s="183"/>
      <c r="CQ162" s="183"/>
      <c r="CR162" s="183"/>
      <c r="CS162" s="183"/>
      <c r="CT162" s="183"/>
      <c r="CU162" s="183"/>
      <c r="CV162" s="183"/>
      <c r="CW162" s="183"/>
      <c r="CX162" s="183"/>
      <c r="CY162" s="183"/>
      <c r="CZ162" s="183"/>
      <c r="DA162" s="183"/>
      <c r="DB162" s="183"/>
      <c r="DC162" s="183"/>
      <c r="DD162" s="183"/>
      <c r="DE162" s="183"/>
      <c r="DF162" s="183"/>
      <c r="DG162" s="183"/>
      <c r="DH162" s="183"/>
      <c r="DI162" s="183"/>
      <c r="DJ162" s="183"/>
      <c r="DK162" s="183"/>
      <c r="DL162" s="183"/>
      <c r="DM162" s="183"/>
      <c r="DN162" s="183"/>
      <c r="DO162" s="183"/>
      <c r="DP162" s="183"/>
      <c r="DQ162" s="183"/>
      <c r="DR162" s="183"/>
      <c r="DS162" s="183"/>
      <c r="DT162" s="183"/>
      <c r="DU162" s="183"/>
      <c r="DV162" s="183"/>
      <c r="DW162" s="183"/>
      <c r="DX162" s="183"/>
      <c r="DY162" s="183"/>
      <c r="DZ162" s="183"/>
      <c r="EA162" s="183"/>
      <c r="EB162" s="183"/>
      <c r="EC162" s="183"/>
      <c r="ED162" s="183"/>
      <c r="EE162" s="183"/>
      <c r="EF162" s="183"/>
      <c r="EG162" s="183"/>
      <c r="EH162" s="183"/>
      <c r="EI162" s="183"/>
      <c r="EJ162" s="183"/>
      <c r="EK162" s="183"/>
      <c r="EL162" s="183"/>
      <c r="EM162" s="183"/>
      <c r="EN162" s="183"/>
      <c r="EO162" s="183"/>
      <c r="EP162" s="183"/>
      <c r="EQ162" s="183"/>
      <c r="ER162" s="183"/>
      <c r="ES162" s="183"/>
      <c r="ET162" s="183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</row>
    <row r="163" spans="1:258" ht="13.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  <c r="BA163" s="183"/>
      <c r="BB163" s="183"/>
      <c r="BC163" s="183"/>
      <c r="BD163" s="183"/>
      <c r="BE163" s="183"/>
      <c r="BF163" s="183"/>
      <c r="BG163" s="183"/>
      <c r="BH163" s="183"/>
      <c r="BI163" s="183"/>
      <c r="BJ163" s="183"/>
      <c r="BK163" s="183"/>
      <c r="BL163" s="183"/>
      <c r="BM163" s="183"/>
      <c r="BN163" s="183"/>
      <c r="BO163" s="183"/>
      <c r="BP163" s="183"/>
      <c r="BQ163" s="183"/>
      <c r="BR163" s="183"/>
      <c r="BS163" s="183"/>
      <c r="BT163" s="183"/>
      <c r="BU163" s="183"/>
      <c r="BV163" s="183"/>
      <c r="BW163" s="183"/>
      <c r="BX163" s="183"/>
      <c r="BY163" s="183"/>
      <c r="BZ163" s="183"/>
      <c r="CA163" s="183"/>
      <c r="CB163" s="183"/>
      <c r="CC163" s="183"/>
      <c r="CD163" s="183"/>
      <c r="CE163" s="183"/>
      <c r="CF163" s="183"/>
      <c r="CG163" s="183"/>
      <c r="CH163" s="183"/>
      <c r="CI163" s="183"/>
      <c r="CJ163" s="183"/>
      <c r="CK163" s="183"/>
      <c r="CL163" s="183"/>
      <c r="CM163" s="183"/>
      <c r="CN163" s="183"/>
      <c r="CO163" s="183"/>
      <c r="CP163" s="183"/>
      <c r="CQ163" s="183"/>
      <c r="CR163" s="183"/>
      <c r="CS163" s="183"/>
      <c r="CT163" s="183"/>
      <c r="CU163" s="183"/>
      <c r="CV163" s="183"/>
      <c r="CW163" s="183"/>
      <c r="CX163" s="183"/>
      <c r="CY163" s="183"/>
      <c r="CZ163" s="183"/>
      <c r="DA163" s="183"/>
      <c r="DB163" s="183"/>
      <c r="DC163" s="183"/>
      <c r="DD163" s="183"/>
      <c r="DE163" s="183"/>
      <c r="DF163" s="183"/>
      <c r="DG163" s="183"/>
      <c r="DH163" s="183"/>
      <c r="DI163" s="183"/>
      <c r="DJ163" s="183"/>
      <c r="DK163" s="183"/>
      <c r="DL163" s="183"/>
      <c r="DM163" s="183"/>
      <c r="DN163" s="183"/>
      <c r="DO163" s="183"/>
      <c r="DP163" s="183"/>
      <c r="DQ163" s="183"/>
      <c r="DR163" s="183"/>
      <c r="DS163" s="183"/>
      <c r="DT163" s="183"/>
      <c r="DU163" s="183"/>
      <c r="DV163" s="183"/>
      <c r="DW163" s="183"/>
      <c r="DX163" s="183"/>
      <c r="DY163" s="183"/>
      <c r="DZ163" s="183"/>
      <c r="EA163" s="183"/>
      <c r="EB163" s="183"/>
      <c r="EC163" s="183"/>
      <c r="ED163" s="183"/>
      <c r="EE163" s="183"/>
      <c r="EF163" s="183"/>
      <c r="EG163" s="183"/>
      <c r="EH163" s="183"/>
      <c r="EI163" s="183"/>
      <c r="EJ163" s="183"/>
      <c r="EK163" s="183"/>
      <c r="EL163" s="183"/>
      <c r="EM163" s="183"/>
      <c r="EN163" s="183"/>
      <c r="EO163" s="183"/>
      <c r="EP163" s="183"/>
      <c r="EQ163" s="183"/>
      <c r="ER163" s="183"/>
      <c r="ES163" s="183"/>
      <c r="ET163" s="183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</row>
    <row r="164" spans="1:258" ht="13.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/>
      <c r="AV164" s="183"/>
      <c r="AW164" s="183"/>
      <c r="AX164" s="183"/>
      <c r="AY164" s="183"/>
      <c r="AZ164" s="183"/>
      <c r="BA164" s="183"/>
      <c r="BB164" s="183"/>
      <c r="BC164" s="183"/>
      <c r="BD164" s="183"/>
      <c r="BE164" s="183"/>
      <c r="BF164" s="183"/>
      <c r="BG164" s="183"/>
      <c r="BH164" s="183"/>
      <c r="BI164" s="183"/>
      <c r="BJ164" s="183"/>
      <c r="BK164" s="183"/>
      <c r="BL164" s="183"/>
      <c r="BM164" s="183"/>
      <c r="BN164" s="183"/>
      <c r="BO164" s="183"/>
      <c r="BP164" s="183"/>
      <c r="BQ164" s="183"/>
      <c r="BR164" s="183"/>
      <c r="BS164" s="183"/>
      <c r="BT164" s="183"/>
      <c r="BU164" s="183"/>
      <c r="BV164" s="183"/>
      <c r="BW164" s="183"/>
      <c r="BX164" s="183"/>
      <c r="BY164" s="183"/>
      <c r="BZ164" s="183"/>
      <c r="CA164" s="183"/>
      <c r="CB164" s="183"/>
      <c r="CC164" s="183"/>
      <c r="CD164" s="183"/>
      <c r="CE164" s="183"/>
      <c r="CF164" s="183"/>
      <c r="CG164" s="183"/>
      <c r="CH164" s="183"/>
      <c r="CI164" s="183"/>
      <c r="CJ164" s="183"/>
      <c r="CK164" s="183"/>
      <c r="CL164" s="183"/>
      <c r="CM164" s="183"/>
      <c r="CN164" s="183"/>
      <c r="CO164" s="183"/>
      <c r="CP164" s="183"/>
      <c r="CQ164" s="183"/>
      <c r="CR164" s="183"/>
      <c r="CS164" s="183"/>
      <c r="CT164" s="183"/>
      <c r="CU164" s="183"/>
      <c r="CV164" s="183"/>
      <c r="CW164" s="183"/>
      <c r="CX164" s="183"/>
      <c r="CY164" s="183"/>
      <c r="CZ164" s="183"/>
      <c r="DA164" s="183"/>
      <c r="DB164" s="183"/>
      <c r="DC164" s="183"/>
      <c r="DD164" s="183"/>
      <c r="DE164" s="183"/>
      <c r="DF164" s="183"/>
      <c r="DG164" s="183"/>
      <c r="DH164" s="183"/>
      <c r="DI164" s="183"/>
      <c r="DJ164" s="183"/>
      <c r="DK164" s="183"/>
      <c r="DL164" s="183"/>
      <c r="DM164" s="183"/>
      <c r="DN164" s="183"/>
      <c r="DO164" s="183"/>
      <c r="DP164" s="183"/>
      <c r="DQ164" s="183"/>
      <c r="DR164" s="183"/>
      <c r="DS164" s="183"/>
      <c r="DT164" s="183"/>
      <c r="DU164" s="183"/>
      <c r="DV164" s="183"/>
      <c r="DW164" s="183"/>
      <c r="DX164" s="183"/>
      <c r="DY164" s="183"/>
      <c r="DZ164" s="183"/>
      <c r="EA164" s="183"/>
      <c r="EB164" s="183"/>
      <c r="EC164" s="183"/>
      <c r="ED164" s="183"/>
      <c r="EE164" s="183"/>
      <c r="EF164" s="183"/>
      <c r="EG164" s="183"/>
      <c r="EH164" s="183"/>
      <c r="EI164" s="183"/>
      <c r="EJ164" s="183"/>
      <c r="EK164" s="183"/>
      <c r="EL164" s="183"/>
      <c r="EM164" s="183"/>
      <c r="EN164" s="183"/>
      <c r="EO164" s="183"/>
      <c r="EP164" s="183"/>
      <c r="EQ164" s="183"/>
      <c r="ER164" s="183"/>
      <c r="ES164" s="183"/>
      <c r="ET164" s="183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</row>
    <row r="165" spans="1:258" ht="13.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/>
      <c r="AX165" s="183"/>
      <c r="AY165" s="183"/>
      <c r="AZ165" s="183"/>
      <c r="BA165" s="183"/>
      <c r="BB165" s="183"/>
      <c r="BC165" s="183"/>
      <c r="BD165" s="183"/>
      <c r="BE165" s="183"/>
      <c r="BF165" s="183"/>
      <c r="BG165" s="183"/>
      <c r="BH165" s="183"/>
      <c r="BI165" s="183"/>
      <c r="BJ165" s="183"/>
      <c r="BK165" s="183"/>
      <c r="BL165" s="183"/>
      <c r="BM165" s="183"/>
      <c r="BN165" s="183"/>
      <c r="BO165" s="183"/>
      <c r="BP165" s="183"/>
      <c r="BQ165" s="183"/>
      <c r="BR165" s="183"/>
      <c r="BS165" s="183"/>
      <c r="BT165" s="183"/>
      <c r="BU165" s="183"/>
      <c r="BV165" s="183"/>
      <c r="BW165" s="183"/>
      <c r="BX165" s="183"/>
      <c r="BY165" s="183"/>
      <c r="BZ165" s="183"/>
      <c r="CA165" s="183"/>
      <c r="CB165" s="183"/>
      <c r="CC165" s="183"/>
      <c r="CD165" s="183"/>
      <c r="CE165" s="183"/>
      <c r="CF165" s="183"/>
      <c r="CG165" s="183"/>
      <c r="CH165" s="183"/>
      <c r="CI165" s="183"/>
      <c r="CJ165" s="183"/>
      <c r="CK165" s="183"/>
      <c r="CL165" s="183"/>
      <c r="CM165" s="183"/>
      <c r="CN165" s="183"/>
      <c r="CO165" s="183"/>
      <c r="CP165" s="183"/>
      <c r="CQ165" s="183"/>
      <c r="CR165" s="183"/>
      <c r="CS165" s="183"/>
      <c r="CT165" s="183"/>
      <c r="CU165" s="183"/>
      <c r="CV165" s="183"/>
      <c r="CW165" s="183"/>
      <c r="CX165" s="183"/>
      <c r="CY165" s="183"/>
      <c r="CZ165" s="183"/>
      <c r="DA165" s="183"/>
      <c r="DB165" s="183"/>
      <c r="DC165" s="183"/>
      <c r="DD165" s="183"/>
      <c r="DE165" s="183"/>
      <c r="DF165" s="183"/>
      <c r="DG165" s="183"/>
      <c r="DH165" s="183"/>
      <c r="DI165" s="183"/>
      <c r="DJ165" s="183"/>
      <c r="DK165" s="183"/>
      <c r="DL165" s="183"/>
      <c r="DM165" s="183"/>
      <c r="DN165" s="183"/>
      <c r="DO165" s="183"/>
      <c r="DP165" s="183"/>
      <c r="DQ165" s="183"/>
      <c r="DR165" s="183"/>
      <c r="DS165" s="183"/>
      <c r="DT165" s="183"/>
      <c r="DU165" s="183"/>
      <c r="DV165" s="183"/>
      <c r="DW165" s="183"/>
      <c r="DX165" s="183"/>
      <c r="DY165" s="183"/>
      <c r="DZ165" s="183"/>
      <c r="EA165" s="183"/>
      <c r="EB165" s="183"/>
      <c r="EC165" s="183"/>
      <c r="ED165" s="183"/>
      <c r="EE165" s="183"/>
      <c r="EF165" s="183"/>
      <c r="EG165" s="183"/>
      <c r="EH165" s="183"/>
      <c r="EI165" s="183"/>
      <c r="EJ165" s="183"/>
      <c r="EK165" s="183"/>
      <c r="EL165" s="183"/>
      <c r="EM165" s="183"/>
      <c r="EN165" s="183"/>
      <c r="EO165" s="183"/>
      <c r="EP165" s="183"/>
      <c r="EQ165" s="183"/>
      <c r="ER165" s="183"/>
      <c r="ES165" s="183"/>
      <c r="ET165" s="183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</row>
    <row r="166" spans="1:258" ht="13.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  <c r="AP166" s="183"/>
      <c r="AQ166" s="183"/>
      <c r="AR166" s="183"/>
      <c r="AS166" s="183"/>
      <c r="AT166" s="183"/>
      <c r="AU166" s="183"/>
      <c r="AV166" s="183"/>
      <c r="AW166" s="183"/>
      <c r="AX166" s="183"/>
      <c r="AY166" s="183"/>
      <c r="AZ166" s="183"/>
      <c r="BA166" s="183"/>
      <c r="BB166" s="183"/>
      <c r="BC166" s="183"/>
      <c r="BD166" s="183"/>
      <c r="BE166" s="183"/>
      <c r="BF166" s="183"/>
      <c r="BG166" s="183"/>
      <c r="BH166" s="183"/>
      <c r="BI166" s="183"/>
      <c r="BJ166" s="183"/>
      <c r="BK166" s="183"/>
      <c r="BL166" s="183"/>
      <c r="BM166" s="183"/>
      <c r="BN166" s="183"/>
      <c r="BO166" s="183"/>
      <c r="BP166" s="183"/>
      <c r="BQ166" s="183"/>
      <c r="BR166" s="183"/>
      <c r="BS166" s="183"/>
      <c r="BT166" s="183"/>
      <c r="BU166" s="183"/>
      <c r="BV166" s="183"/>
      <c r="BW166" s="183"/>
      <c r="BX166" s="183"/>
      <c r="BY166" s="183"/>
      <c r="BZ166" s="183"/>
      <c r="CA166" s="183"/>
      <c r="CB166" s="183"/>
      <c r="CC166" s="183"/>
      <c r="CD166" s="183"/>
      <c r="CE166" s="183"/>
      <c r="CF166" s="183"/>
      <c r="CG166" s="183"/>
      <c r="CH166" s="183"/>
      <c r="CI166" s="183"/>
      <c r="CJ166" s="183"/>
      <c r="CK166" s="183"/>
      <c r="CL166" s="183"/>
      <c r="CM166" s="183"/>
      <c r="CN166" s="183"/>
      <c r="CO166" s="183"/>
      <c r="CP166" s="183"/>
      <c r="CQ166" s="183"/>
      <c r="CR166" s="183"/>
      <c r="CS166" s="183"/>
      <c r="CT166" s="183"/>
      <c r="CU166" s="183"/>
      <c r="CV166" s="183"/>
      <c r="CW166" s="183"/>
      <c r="CX166" s="183"/>
      <c r="CY166" s="183"/>
      <c r="CZ166" s="183"/>
      <c r="DA166" s="183"/>
      <c r="DB166" s="183"/>
      <c r="DC166" s="183"/>
      <c r="DD166" s="183"/>
      <c r="DE166" s="183"/>
      <c r="DF166" s="183"/>
      <c r="DG166" s="183"/>
      <c r="DH166" s="183"/>
      <c r="DI166" s="183"/>
      <c r="DJ166" s="183"/>
      <c r="DK166" s="183"/>
      <c r="DL166" s="183"/>
      <c r="DM166" s="183"/>
      <c r="DN166" s="183"/>
      <c r="DO166" s="183"/>
      <c r="DP166" s="183"/>
      <c r="DQ166" s="183"/>
      <c r="DR166" s="183"/>
      <c r="DS166" s="183"/>
      <c r="DT166" s="183"/>
      <c r="DU166" s="183"/>
      <c r="DV166" s="183"/>
      <c r="DW166" s="183"/>
      <c r="DX166" s="183"/>
      <c r="DY166" s="183"/>
      <c r="DZ166" s="183"/>
      <c r="EA166" s="183"/>
      <c r="EB166" s="183"/>
      <c r="EC166" s="183"/>
      <c r="ED166" s="183"/>
      <c r="EE166" s="183"/>
      <c r="EF166" s="183"/>
      <c r="EG166" s="183"/>
      <c r="EH166" s="183"/>
      <c r="EI166" s="183"/>
      <c r="EJ166" s="183"/>
      <c r="EK166" s="183"/>
      <c r="EL166" s="183"/>
      <c r="EM166" s="183"/>
      <c r="EN166" s="183"/>
      <c r="EO166" s="183"/>
      <c r="EP166" s="183"/>
      <c r="EQ166" s="183"/>
      <c r="ER166" s="183"/>
      <c r="ES166" s="183"/>
      <c r="ET166" s="183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</row>
    <row r="167" spans="1:258" ht="13.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3"/>
      <c r="AQ167" s="183"/>
      <c r="AR167" s="183"/>
      <c r="AS167" s="183"/>
      <c r="AT167" s="183"/>
      <c r="AU167" s="183"/>
      <c r="AV167" s="183"/>
      <c r="AW167" s="183"/>
      <c r="AX167" s="183"/>
      <c r="AY167" s="183"/>
      <c r="AZ167" s="183"/>
      <c r="BA167" s="183"/>
      <c r="BB167" s="183"/>
      <c r="BC167" s="183"/>
      <c r="BD167" s="183"/>
      <c r="BE167" s="183"/>
      <c r="BF167" s="183"/>
      <c r="BG167" s="183"/>
      <c r="BH167" s="183"/>
      <c r="BI167" s="183"/>
      <c r="BJ167" s="183"/>
      <c r="BK167" s="183"/>
      <c r="BL167" s="183"/>
      <c r="BM167" s="183"/>
      <c r="BN167" s="183"/>
      <c r="BO167" s="183"/>
      <c r="BP167" s="183"/>
      <c r="BQ167" s="183"/>
      <c r="BR167" s="183"/>
      <c r="BS167" s="183"/>
      <c r="BT167" s="183"/>
      <c r="BU167" s="183"/>
      <c r="BV167" s="183"/>
      <c r="BW167" s="183"/>
      <c r="BX167" s="183"/>
      <c r="BY167" s="183"/>
      <c r="BZ167" s="183"/>
      <c r="CA167" s="183"/>
      <c r="CB167" s="183"/>
      <c r="CC167" s="183"/>
      <c r="CD167" s="183"/>
      <c r="CE167" s="183"/>
      <c r="CF167" s="183"/>
      <c r="CG167" s="183"/>
      <c r="CH167" s="183"/>
      <c r="CI167" s="183"/>
      <c r="CJ167" s="183"/>
      <c r="CK167" s="183"/>
      <c r="CL167" s="183"/>
      <c r="CM167" s="183"/>
      <c r="CN167" s="183"/>
      <c r="CO167" s="183"/>
      <c r="CP167" s="183"/>
      <c r="CQ167" s="183"/>
      <c r="CR167" s="183"/>
      <c r="CS167" s="183"/>
      <c r="CT167" s="183"/>
      <c r="CU167" s="183"/>
      <c r="CV167" s="183"/>
      <c r="CW167" s="183"/>
      <c r="CX167" s="183"/>
      <c r="CY167" s="183"/>
      <c r="CZ167" s="183"/>
      <c r="DA167" s="183"/>
      <c r="DB167" s="183"/>
      <c r="DC167" s="183"/>
      <c r="DD167" s="183"/>
      <c r="DE167" s="183"/>
      <c r="DF167" s="183"/>
      <c r="DG167" s="183"/>
      <c r="DH167" s="183"/>
      <c r="DI167" s="183"/>
      <c r="DJ167" s="183"/>
      <c r="DK167" s="183"/>
      <c r="DL167" s="183"/>
      <c r="DM167" s="183"/>
      <c r="DN167" s="183"/>
      <c r="DO167" s="183"/>
      <c r="DP167" s="183"/>
      <c r="DQ167" s="183"/>
      <c r="DR167" s="183"/>
      <c r="DS167" s="183"/>
      <c r="DT167" s="183"/>
      <c r="DU167" s="183"/>
      <c r="DV167" s="183"/>
      <c r="DW167" s="183"/>
      <c r="DX167" s="183"/>
      <c r="DY167" s="183"/>
      <c r="DZ167" s="183"/>
      <c r="EA167" s="183"/>
      <c r="EB167" s="183"/>
      <c r="EC167" s="183"/>
      <c r="ED167" s="183"/>
      <c r="EE167" s="183"/>
      <c r="EF167" s="183"/>
      <c r="EG167" s="183"/>
      <c r="EH167" s="183"/>
      <c r="EI167" s="183"/>
      <c r="EJ167" s="183"/>
      <c r="EK167" s="183"/>
      <c r="EL167" s="183"/>
      <c r="EM167" s="183"/>
      <c r="EN167" s="183"/>
      <c r="EO167" s="183"/>
      <c r="EP167" s="183"/>
      <c r="EQ167" s="183"/>
      <c r="ER167" s="183"/>
      <c r="ES167" s="183"/>
      <c r="ET167" s="183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</row>
    <row r="168" spans="1:258" ht="13.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  <c r="AP168" s="183"/>
      <c r="AQ168" s="183"/>
      <c r="AR168" s="183"/>
      <c r="AS168" s="183"/>
      <c r="AT168" s="183"/>
      <c r="AU168" s="183"/>
      <c r="AV168" s="183"/>
      <c r="AW168" s="183"/>
      <c r="AX168" s="183"/>
      <c r="AY168" s="183"/>
      <c r="AZ168" s="183"/>
      <c r="BA168" s="183"/>
      <c r="BB168" s="183"/>
      <c r="BC168" s="183"/>
      <c r="BD168" s="183"/>
      <c r="BE168" s="183"/>
      <c r="BF168" s="183"/>
      <c r="BG168" s="183"/>
      <c r="BH168" s="183"/>
      <c r="BI168" s="183"/>
      <c r="BJ168" s="183"/>
      <c r="BK168" s="183"/>
      <c r="BL168" s="183"/>
      <c r="BM168" s="183"/>
      <c r="BN168" s="183"/>
      <c r="BO168" s="183"/>
      <c r="BP168" s="183"/>
      <c r="BQ168" s="183"/>
      <c r="BR168" s="183"/>
      <c r="BS168" s="183"/>
      <c r="BT168" s="183"/>
      <c r="BU168" s="183"/>
      <c r="BV168" s="183"/>
      <c r="BW168" s="183"/>
      <c r="BX168" s="183"/>
      <c r="BY168" s="183"/>
      <c r="BZ168" s="183"/>
      <c r="CA168" s="183"/>
      <c r="CB168" s="183"/>
      <c r="CC168" s="183"/>
      <c r="CD168" s="183"/>
      <c r="CE168" s="183"/>
      <c r="CF168" s="183"/>
      <c r="CG168" s="183"/>
      <c r="CH168" s="183"/>
      <c r="CI168" s="183"/>
      <c r="CJ168" s="183"/>
      <c r="CK168" s="183"/>
      <c r="CL168" s="183"/>
      <c r="CM168" s="183"/>
      <c r="CN168" s="183"/>
      <c r="CO168" s="183"/>
      <c r="CP168" s="183"/>
      <c r="CQ168" s="183"/>
      <c r="CR168" s="183"/>
      <c r="CS168" s="183"/>
      <c r="CT168" s="183"/>
      <c r="CU168" s="183"/>
      <c r="CV168" s="183"/>
      <c r="CW168" s="183"/>
      <c r="CX168" s="183"/>
      <c r="CY168" s="183"/>
      <c r="CZ168" s="183"/>
      <c r="DA168" s="183"/>
      <c r="DB168" s="183"/>
      <c r="DC168" s="183"/>
      <c r="DD168" s="183"/>
      <c r="DE168" s="183"/>
      <c r="DF168" s="183"/>
      <c r="DG168" s="183"/>
      <c r="DH168" s="183"/>
      <c r="DI168" s="183"/>
      <c r="DJ168" s="183"/>
      <c r="DK168" s="183"/>
      <c r="DL168" s="183"/>
      <c r="DM168" s="183"/>
      <c r="DN168" s="183"/>
      <c r="DO168" s="183"/>
      <c r="DP168" s="183"/>
      <c r="DQ168" s="183"/>
      <c r="DR168" s="183"/>
      <c r="DS168" s="183"/>
      <c r="DT168" s="183"/>
      <c r="DU168" s="183"/>
      <c r="DV168" s="183"/>
      <c r="DW168" s="183"/>
      <c r="DX168" s="183"/>
      <c r="DY168" s="183"/>
      <c r="DZ168" s="183"/>
      <c r="EA168" s="183"/>
      <c r="EB168" s="183"/>
      <c r="EC168" s="183"/>
      <c r="ED168" s="183"/>
      <c r="EE168" s="183"/>
      <c r="EF168" s="183"/>
      <c r="EG168" s="183"/>
      <c r="EH168" s="183"/>
      <c r="EI168" s="183"/>
      <c r="EJ168" s="183"/>
      <c r="EK168" s="183"/>
      <c r="EL168" s="183"/>
      <c r="EM168" s="183"/>
      <c r="EN168" s="183"/>
      <c r="EO168" s="183"/>
      <c r="EP168" s="183"/>
      <c r="EQ168" s="183"/>
      <c r="ER168" s="183"/>
      <c r="ES168" s="183"/>
      <c r="ET168" s="183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</row>
    <row r="169" spans="1:258" ht="13.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  <c r="AS169" s="183"/>
      <c r="AT169" s="183"/>
      <c r="AU169" s="183"/>
      <c r="AV169" s="183"/>
      <c r="AW169" s="183"/>
      <c r="AX169" s="183"/>
      <c r="AY169" s="183"/>
      <c r="AZ169" s="183"/>
      <c r="BA169" s="183"/>
      <c r="BB169" s="183"/>
      <c r="BC169" s="183"/>
      <c r="BD169" s="183"/>
      <c r="BE169" s="183"/>
      <c r="BF169" s="183"/>
      <c r="BG169" s="183"/>
      <c r="BH169" s="183"/>
      <c r="BI169" s="183"/>
      <c r="BJ169" s="183"/>
      <c r="BK169" s="183"/>
      <c r="BL169" s="183"/>
      <c r="BM169" s="183"/>
      <c r="BN169" s="183"/>
      <c r="BO169" s="183"/>
      <c r="BP169" s="183"/>
      <c r="BQ169" s="183"/>
      <c r="BR169" s="183"/>
      <c r="BS169" s="183"/>
      <c r="BT169" s="183"/>
      <c r="BU169" s="183"/>
      <c r="BV169" s="183"/>
      <c r="BW169" s="183"/>
      <c r="BX169" s="183"/>
      <c r="BY169" s="183"/>
      <c r="BZ169" s="183"/>
      <c r="CA169" s="183"/>
      <c r="CB169" s="183"/>
      <c r="CC169" s="183"/>
      <c r="CD169" s="183"/>
      <c r="CE169" s="183"/>
      <c r="CF169" s="183"/>
      <c r="CG169" s="183"/>
      <c r="CH169" s="183"/>
      <c r="CI169" s="183"/>
      <c r="CJ169" s="183"/>
      <c r="CK169" s="183"/>
      <c r="CL169" s="183"/>
      <c r="CM169" s="183"/>
      <c r="CN169" s="183"/>
      <c r="CO169" s="183"/>
      <c r="CP169" s="183"/>
      <c r="CQ169" s="183"/>
      <c r="CR169" s="183"/>
      <c r="CS169" s="183"/>
      <c r="CT169" s="183"/>
      <c r="CU169" s="183"/>
      <c r="CV169" s="183"/>
      <c r="CW169" s="183"/>
      <c r="CX169" s="183"/>
      <c r="CY169" s="183"/>
      <c r="CZ169" s="183"/>
      <c r="DA169" s="183"/>
      <c r="DB169" s="183"/>
      <c r="DC169" s="183"/>
      <c r="DD169" s="183"/>
      <c r="DE169" s="183"/>
      <c r="DF169" s="183"/>
      <c r="DG169" s="183"/>
      <c r="DH169" s="183"/>
      <c r="DI169" s="183"/>
      <c r="DJ169" s="183"/>
      <c r="DK169" s="183"/>
      <c r="DL169" s="183"/>
      <c r="DM169" s="183"/>
      <c r="DN169" s="183"/>
      <c r="DO169" s="183"/>
      <c r="DP169" s="183"/>
      <c r="DQ169" s="183"/>
      <c r="DR169" s="183"/>
      <c r="DS169" s="183"/>
      <c r="DT169" s="183"/>
      <c r="DU169" s="183"/>
      <c r="DV169" s="183"/>
      <c r="DW169" s="183"/>
      <c r="DX169" s="183"/>
      <c r="DY169" s="183"/>
      <c r="DZ169" s="183"/>
      <c r="EA169" s="183"/>
      <c r="EB169" s="183"/>
      <c r="EC169" s="183"/>
      <c r="ED169" s="183"/>
      <c r="EE169" s="183"/>
      <c r="EF169" s="183"/>
      <c r="EG169" s="183"/>
      <c r="EH169" s="183"/>
      <c r="EI169" s="183"/>
      <c r="EJ169" s="183"/>
      <c r="EK169" s="183"/>
      <c r="EL169" s="183"/>
      <c r="EM169" s="183"/>
      <c r="EN169" s="183"/>
      <c r="EO169" s="183"/>
      <c r="EP169" s="183"/>
      <c r="EQ169" s="183"/>
      <c r="ER169" s="183"/>
      <c r="ES169" s="183"/>
      <c r="ET169" s="183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</row>
    <row r="170" spans="1:258" ht="13.5" customHeight="1">
      <c r="A170" s="49"/>
      <c r="B170" s="2"/>
      <c r="C170" s="2"/>
      <c r="D170" s="2"/>
      <c r="E170" s="2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  <c r="AP170" s="183"/>
      <c r="AQ170" s="183"/>
      <c r="AR170" s="183"/>
      <c r="AS170" s="183"/>
      <c r="AT170" s="183"/>
      <c r="AU170" s="183"/>
      <c r="AV170" s="183"/>
      <c r="AW170" s="183"/>
      <c r="AX170" s="183"/>
      <c r="AY170" s="183"/>
      <c r="AZ170" s="183"/>
      <c r="BA170" s="183"/>
      <c r="BB170" s="183"/>
      <c r="BC170" s="183"/>
      <c r="BD170" s="183"/>
      <c r="BE170" s="183"/>
      <c r="BF170" s="183"/>
      <c r="BG170" s="183"/>
      <c r="BH170" s="183"/>
      <c r="BI170" s="183"/>
      <c r="BJ170" s="183"/>
      <c r="BK170" s="183"/>
      <c r="BL170" s="183"/>
      <c r="BM170" s="183"/>
      <c r="BN170" s="183"/>
      <c r="BO170" s="183"/>
      <c r="BP170" s="183"/>
      <c r="BQ170" s="183"/>
      <c r="BR170" s="183"/>
      <c r="BS170" s="183"/>
      <c r="BT170" s="183"/>
      <c r="BU170" s="183"/>
      <c r="BV170" s="183"/>
      <c r="BW170" s="183"/>
      <c r="BX170" s="183"/>
      <c r="BY170" s="183"/>
      <c r="BZ170" s="183"/>
      <c r="CA170" s="183"/>
      <c r="CB170" s="183"/>
      <c r="CC170" s="183"/>
      <c r="CD170" s="183"/>
      <c r="CE170" s="183"/>
      <c r="CF170" s="183"/>
      <c r="CG170" s="183"/>
      <c r="CH170" s="183"/>
      <c r="CI170" s="183"/>
      <c r="CJ170" s="183"/>
      <c r="CK170" s="183"/>
      <c r="CL170" s="183"/>
      <c r="CM170" s="183"/>
      <c r="CN170" s="183"/>
      <c r="CO170" s="183"/>
      <c r="CP170" s="183"/>
      <c r="CQ170" s="183"/>
      <c r="CR170" s="183"/>
      <c r="CS170" s="183"/>
      <c r="CT170" s="183"/>
      <c r="CU170" s="183"/>
      <c r="CV170" s="183"/>
      <c r="CW170" s="183"/>
      <c r="CX170" s="183"/>
      <c r="CY170" s="183"/>
      <c r="CZ170" s="183"/>
      <c r="DA170" s="183"/>
      <c r="DB170" s="183"/>
      <c r="DC170" s="183"/>
      <c r="DD170" s="183"/>
      <c r="DE170" s="183"/>
      <c r="DF170" s="183"/>
      <c r="DG170" s="183"/>
      <c r="DH170" s="183"/>
      <c r="DI170" s="183"/>
      <c r="DJ170" s="183"/>
      <c r="DK170" s="183"/>
      <c r="DL170" s="183"/>
      <c r="DM170" s="183"/>
      <c r="DN170" s="183"/>
      <c r="DO170" s="183"/>
      <c r="DP170" s="183"/>
      <c r="DQ170" s="183"/>
      <c r="DR170" s="183"/>
      <c r="DS170" s="183"/>
      <c r="DT170" s="183"/>
      <c r="DU170" s="183"/>
      <c r="DV170" s="183"/>
      <c r="DW170" s="183"/>
      <c r="DX170" s="183"/>
      <c r="DY170" s="183"/>
      <c r="DZ170" s="183"/>
      <c r="EA170" s="183"/>
      <c r="EB170" s="183"/>
      <c r="EC170" s="183"/>
      <c r="ED170" s="183"/>
      <c r="EE170" s="183"/>
      <c r="EF170" s="183"/>
      <c r="EG170" s="183"/>
      <c r="EH170" s="183"/>
      <c r="EI170" s="183"/>
      <c r="EJ170" s="183"/>
      <c r="EK170" s="183"/>
      <c r="EL170" s="183"/>
      <c r="EM170" s="183"/>
      <c r="EN170" s="183"/>
      <c r="EO170" s="183"/>
      <c r="EP170" s="183"/>
      <c r="EQ170" s="183"/>
      <c r="ER170" s="183"/>
      <c r="ES170" s="183"/>
      <c r="ET170" s="183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</row>
    <row r="171" spans="1:258" ht="13.5" customHeight="1">
      <c r="A171" s="49"/>
      <c r="B171" s="2"/>
      <c r="C171" s="2"/>
      <c r="D171" s="2"/>
      <c r="E171" s="2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  <c r="AP171" s="183"/>
      <c r="AQ171" s="183"/>
      <c r="AR171" s="183"/>
      <c r="AS171" s="183"/>
      <c r="AT171" s="183"/>
      <c r="AU171" s="183"/>
      <c r="AV171" s="183"/>
      <c r="AW171" s="183"/>
      <c r="AX171" s="183"/>
      <c r="AY171" s="183"/>
      <c r="AZ171" s="183"/>
      <c r="BA171" s="183"/>
      <c r="BB171" s="183"/>
      <c r="BC171" s="183"/>
      <c r="BD171" s="183"/>
      <c r="BE171" s="183"/>
      <c r="BF171" s="183"/>
      <c r="BG171" s="183"/>
      <c r="BH171" s="183"/>
      <c r="BI171" s="183"/>
      <c r="BJ171" s="183"/>
      <c r="BK171" s="183"/>
      <c r="BL171" s="183"/>
      <c r="BM171" s="183"/>
      <c r="BN171" s="183"/>
      <c r="BO171" s="183"/>
      <c r="BP171" s="183"/>
      <c r="BQ171" s="183"/>
      <c r="BR171" s="183"/>
      <c r="BS171" s="183"/>
      <c r="BT171" s="183"/>
      <c r="BU171" s="183"/>
      <c r="BV171" s="183"/>
      <c r="BW171" s="183"/>
      <c r="BX171" s="183"/>
      <c r="BY171" s="183"/>
      <c r="BZ171" s="183"/>
      <c r="CA171" s="183"/>
      <c r="CB171" s="183"/>
      <c r="CC171" s="183"/>
      <c r="CD171" s="183"/>
      <c r="CE171" s="183"/>
      <c r="CF171" s="183"/>
      <c r="CG171" s="183"/>
      <c r="CH171" s="183"/>
      <c r="CI171" s="183"/>
      <c r="CJ171" s="183"/>
      <c r="CK171" s="183"/>
      <c r="CL171" s="183"/>
      <c r="CM171" s="183"/>
      <c r="CN171" s="183"/>
      <c r="CO171" s="183"/>
      <c r="CP171" s="183"/>
      <c r="CQ171" s="183"/>
      <c r="CR171" s="183"/>
      <c r="CS171" s="183"/>
      <c r="CT171" s="183"/>
      <c r="CU171" s="183"/>
      <c r="CV171" s="183"/>
      <c r="CW171" s="183"/>
      <c r="CX171" s="183"/>
      <c r="CY171" s="183"/>
      <c r="CZ171" s="183"/>
      <c r="DA171" s="183"/>
      <c r="DB171" s="183"/>
      <c r="DC171" s="183"/>
      <c r="DD171" s="183"/>
      <c r="DE171" s="183"/>
      <c r="DF171" s="183"/>
      <c r="DG171" s="183"/>
      <c r="DH171" s="183"/>
      <c r="DI171" s="183"/>
      <c r="DJ171" s="183"/>
      <c r="DK171" s="183"/>
      <c r="DL171" s="183"/>
      <c r="DM171" s="183"/>
      <c r="DN171" s="183"/>
      <c r="DO171" s="183"/>
      <c r="DP171" s="183"/>
      <c r="DQ171" s="183"/>
      <c r="DR171" s="183"/>
      <c r="DS171" s="183"/>
      <c r="DT171" s="183"/>
      <c r="DU171" s="183"/>
      <c r="DV171" s="183"/>
      <c r="DW171" s="183"/>
      <c r="DX171" s="183"/>
      <c r="DY171" s="183"/>
      <c r="DZ171" s="183"/>
      <c r="EA171" s="183"/>
      <c r="EB171" s="183"/>
      <c r="EC171" s="183"/>
      <c r="ED171" s="183"/>
      <c r="EE171" s="183"/>
      <c r="EF171" s="183"/>
      <c r="EG171" s="183"/>
      <c r="EH171" s="183"/>
      <c r="EI171" s="183"/>
      <c r="EJ171" s="183"/>
      <c r="EK171" s="183"/>
      <c r="EL171" s="183"/>
      <c r="EM171" s="183"/>
      <c r="EN171" s="183"/>
      <c r="EO171" s="183"/>
      <c r="EP171" s="183"/>
      <c r="EQ171" s="183"/>
      <c r="ER171" s="183"/>
      <c r="ES171" s="183"/>
      <c r="ET171" s="183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</row>
    <row r="172" spans="1:258" ht="13.5" customHeight="1">
      <c r="A172" s="49"/>
      <c r="B172" s="2"/>
      <c r="C172" s="2"/>
      <c r="D172" s="2"/>
      <c r="E172" s="2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  <c r="AP172" s="183"/>
      <c r="AQ172" s="183"/>
      <c r="AR172" s="183"/>
      <c r="AS172" s="183"/>
      <c r="AT172" s="183"/>
      <c r="AU172" s="183"/>
      <c r="AV172" s="183"/>
      <c r="AW172" s="183"/>
      <c r="AX172" s="183"/>
      <c r="AY172" s="183"/>
      <c r="AZ172" s="183"/>
      <c r="BA172" s="183"/>
      <c r="BB172" s="183"/>
      <c r="BC172" s="183"/>
      <c r="BD172" s="183"/>
      <c r="BE172" s="183"/>
      <c r="BF172" s="183"/>
      <c r="BG172" s="183"/>
      <c r="BH172" s="183"/>
      <c r="BI172" s="183"/>
      <c r="BJ172" s="183"/>
      <c r="BK172" s="183"/>
      <c r="BL172" s="183"/>
      <c r="BM172" s="183"/>
      <c r="BN172" s="183"/>
      <c r="BO172" s="183"/>
      <c r="BP172" s="183"/>
      <c r="BQ172" s="183"/>
      <c r="BR172" s="183"/>
      <c r="BS172" s="183"/>
      <c r="BT172" s="183"/>
      <c r="BU172" s="183"/>
      <c r="BV172" s="183"/>
      <c r="BW172" s="183"/>
      <c r="BX172" s="183"/>
      <c r="BY172" s="183"/>
      <c r="BZ172" s="183"/>
      <c r="CA172" s="183"/>
      <c r="CB172" s="183"/>
      <c r="CC172" s="183"/>
      <c r="CD172" s="183"/>
      <c r="CE172" s="183"/>
      <c r="CF172" s="183"/>
      <c r="CG172" s="183"/>
      <c r="CH172" s="183"/>
      <c r="CI172" s="183"/>
      <c r="CJ172" s="183"/>
      <c r="CK172" s="183"/>
      <c r="CL172" s="183"/>
      <c r="CM172" s="183"/>
      <c r="CN172" s="183"/>
      <c r="CO172" s="183"/>
      <c r="CP172" s="183"/>
      <c r="CQ172" s="183"/>
      <c r="CR172" s="183"/>
      <c r="CS172" s="183"/>
      <c r="CT172" s="183"/>
      <c r="CU172" s="183"/>
      <c r="CV172" s="183"/>
      <c r="CW172" s="183"/>
      <c r="CX172" s="183"/>
      <c r="CY172" s="183"/>
      <c r="CZ172" s="183"/>
      <c r="DA172" s="183"/>
      <c r="DB172" s="183"/>
      <c r="DC172" s="183"/>
      <c r="DD172" s="183"/>
      <c r="DE172" s="183"/>
      <c r="DF172" s="183"/>
      <c r="DG172" s="183"/>
      <c r="DH172" s="183"/>
      <c r="DI172" s="183"/>
      <c r="DJ172" s="183"/>
      <c r="DK172" s="183"/>
      <c r="DL172" s="183"/>
      <c r="DM172" s="183"/>
      <c r="DN172" s="183"/>
      <c r="DO172" s="183"/>
      <c r="DP172" s="183"/>
      <c r="DQ172" s="183"/>
      <c r="DR172" s="183"/>
      <c r="DS172" s="183"/>
      <c r="DT172" s="183"/>
      <c r="DU172" s="183"/>
      <c r="DV172" s="183"/>
      <c r="DW172" s="183"/>
      <c r="DX172" s="183"/>
      <c r="DY172" s="183"/>
      <c r="DZ172" s="183"/>
      <c r="EA172" s="183"/>
      <c r="EB172" s="183"/>
      <c r="EC172" s="183"/>
      <c r="ED172" s="183"/>
      <c r="EE172" s="183"/>
      <c r="EF172" s="183"/>
      <c r="EG172" s="183"/>
      <c r="EH172" s="183"/>
      <c r="EI172" s="183"/>
      <c r="EJ172" s="183"/>
      <c r="EK172" s="183"/>
      <c r="EL172" s="183"/>
      <c r="EM172" s="183"/>
      <c r="EN172" s="183"/>
      <c r="EO172" s="183"/>
      <c r="EP172" s="183"/>
      <c r="EQ172" s="183"/>
      <c r="ER172" s="183"/>
      <c r="ES172" s="183"/>
      <c r="ET172" s="183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</row>
    <row r="173" spans="1:258" ht="13.5" customHeight="1">
      <c r="A173" s="49"/>
      <c r="B173" s="2"/>
      <c r="C173" s="2"/>
      <c r="D173" s="2"/>
      <c r="E173" s="2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  <c r="AP173" s="183"/>
      <c r="AQ173" s="183"/>
      <c r="AR173" s="183"/>
      <c r="AS173" s="183"/>
      <c r="AT173" s="183"/>
      <c r="AU173" s="183"/>
      <c r="AV173" s="183"/>
      <c r="AW173" s="183"/>
      <c r="AX173" s="183"/>
      <c r="AY173" s="183"/>
      <c r="AZ173" s="183"/>
      <c r="BA173" s="183"/>
      <c r="BB173" s="183"/>
      <c r="BC173" s="183"/>
      <c r="BD173" s="183"/>
      <c r="BE173" s="183"/>
      <c r="BF173" s="183"/>
      <c r="BG173" s="183"/>
      <c r="BH173" s="183"/>
      <c r="BI173" s="183"/>
      <c r="BJ173" s="183"/>
      <c r="BK173" s="183"/>
      <c r="BL173" s="183"/>
      <c r="BM173" s="183"/>
      <c r="BN173" s="183"/>
      <c r="BO173" s="183"/>
      <c r="BP173" s="183"/>
      <c r="BQ173" s="183"/>
      <c r="BR173" s="183"/>
      <c r="BS173" s="183"/>
      <c r="BT173" s="183"/>
      <c r="BU173" s="183"/>
      <c r="BV173" s="183"/>
      <c r="BW173" s="183"/>
      <c r="BX173" s="183"/>
      <c r="BY173" s="183"/>
      <c r="BZ173" s="183"/>
      <c r="CA173" s="183"/>
      <c r="CB173" s="183"/>
      <c r="CC173" s="183"/>
      <c r="CD173" s="183"/>
      <c r="CE173" s="183"/>
      <c r="CF173" s="183"/>
      <c r="CG173" s="183"/>
      <c r="CH173" s="183"/>
      <c r="CI173" s="183"/>
      <c r="CJ173" s="183"/>
      <c r="CK173" s="183"/>
      <c r="CL173" s="183"/>
      <c r="CM173" s="183"/>
      <c r="CN173" s="183"/>
      <c r="CO173" s="183"/>
      <c r="CP173" s="183"/>
      <c r="CQ173" s="183"/>
      <c r="CR173" s="183"/>
      <c r="CS173" s="183"/>
      <c r="CT173" s="183"/>
      <c r="CU173" s="183"/>
      <c r="CV173" s="183"/>
      <c r="CW173" s="183"/>
      <c r="CX173" s="183"/>
      <c r="CY173" s="183"/>
      <c r="CZ173" s="183"/>
      <c r="DA173" s="183"/>
      <c r="DB173" s="183"/>
      <c r="DC173" s="183"/>
      <c r="DD173" s="183"/>
      <c r="DE173" s="183"/>
      <c r="DF173" s="183"/>
      <c r="DG173" s="183"/>
      <c r="DH173" s="183"/>
      <c r="DI173" s="183"/>
      <c r="DJ173" s="183"/>
      <c r="DK173" s="183"/>
      <c r="DL173" s="183"/>
      <c r="DM173" s="183"/>
      <c r="DN173" s="183"/>
      <c r="DO173" s="183"/>
      <c r="DP173" s="183"/>
      <c r="DQ173" s="183"/>
      <c r="DR173" s="183"/>
      <c r="DS173" s="183"/>
      <c r="DT173" s="183"/>
      <c r="DU173" s="183"/>
      <c r="DV173" s="183"/>
      <c r="DW173" s="183"/>
      <c r="DX173" s="183"/>
      <c r="DY173" s="183"/>
      <c r="DZ173" s="183"/>
      <c r="EA173" s="183"/>
      <c r="EB173" s="183"/>
      <c r="EC173" s="183"/>
      <c r="ED173" s="183"/>
      <c r="EE173" s="183"/>
      <c r="EF173" s="183"/>
      <c r="EG173" s="183"/>
      <c r="EH173" s="183"/>
      <c r="EI173" s="183"/>
      <c r="EJ173" s="183"/>
      <c r="EK173" s="183"/>
      <c r="EL173" s="183"/>
      <c r="EM173" s="183"/>
      <c r="EN173" s="183"/>
      <c r="EO173" s="183"/>
      <c r="EP173" s="183"/>
      <c r="EQ173" s="183"/>
      <c r="ER173" s="183"/>
      <c r="ES173" s="183"/>
      <c r="ET173" s="183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</row>
    <row r="174" spans="1:258" ht="13.5" customHeight="1">
      <c r="A174" s="49"/>
      <c r="B174" s="2"/>
      <c r="C174" s="2"/>
      <c r="D174" s="2"/>
      <c r="E174" s="2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3"/>
      <c r="BA174" s="183"/>
      <c r="BB174" s="183"/>
      <c r="BC174" s="183"/>
      <c r="BD174" s="183"/>
      <c r="BE174" s="183"/>
      <c r="BF174" s="183"/>
      <c r="BG174" s="183"/>
      <c r="BH174" s="183"/>
      <c r="BI174" s="183"/>
      <c r="BJ174" s="183"/>
      <c r="BK174" s="183"/>
      <c r="BL174" s="183"/>
      <c r="BM174" s="183"/>
      <c r="BN174" s="183"/>
      <c r="BO174" s="183"/>
      <c r="BP174" s="183"/>
      <c r="BQ174" s="183"/>
      <c r="BR174" s="183"/>
      <c r="BS174" s="183"/>
      <c r="BT174" s="183"/>
      <c r="BU174" s="183"/>
      <c r="BV174" s="183"/>
      <c r="BW174" s="183"/>
      <c r="BX174" s="183"/>
      <c r="BY174" s="183"/>
      <c r="BZ174" s="183"/>
      <c r="CA174" s="183"/>
      <c r="CB174" s="183"/>
      <c r="CC174" s="183"/>
      <c r="CD174" s="183"/>
      <c r="CE174" s="183"/>
      <c r="CF174" s="183"/>
      <c r="CG174" s="183"/>
      <c r="CH174" s="183"/>
      <c r="CI174" s="183"/>
      <c r="CJ174" s="183"/>
      <c r="CK174" s="183"/>
      <c r="CL174" s="183"/>
      <c r="CM174" s="183"/>
      <c r="CN174" s="183"/>
      <c r="CO174" s="183"/>
      <c r="CP174" s="183"/>
      <c r="CQ174" s="183"/>
      <c r="CR174" s="183"/>
      <c r="CS174" s="183"/>
      <c r="CT174" s="183"/>
      <c r="CU174" s="183"/>
      <c r="CV174" s="183"/>
      <c r="CW174" s="183"/>
      <c r="CX174" s="183"/>
      <c r="CY174" s="183"/>
      <c r="CZ174" s="183"/>
      <c r="DA174" s="183"/>
      <c r="DB174" s="183"/>
      <c r="DC174" s="183"/>
      <c r="DD174" s="183"/>
      <c r="DE174" s="183"/>
      <c r="DF174" s="183"/>
      <c r="DG174" s="183"/>
      <c r="DH174" s="183"/>
      <c r="DI174" s="183"/>
      <c r="DJ174" s="183"/>
      <c r="DK174" s="183"/>
      <c r="DL174" s="183"/>
      <c r="DM174" s="183"/>
      <c r="DN174" s="183"/>
      <c r="DO174" s="183"/>
      <c r="DP174" s="183"/>
      <c r="DQ174" s="183"/>
      <c r="DR174" s="183"/>
      <c r="DS174" s="183"/>
      <c r="DT174" s="183"/>
      <c r="DU174" s="183"/>
      <c r="DV174" s="183"/>
      <c r="DW174" s="183"/>
      <c r="DX174" s="183"/>
      <c r="DY174" s="183"/>
      <c r="DZ174" s="183"/>
      <c r="EA174" s="183"/>
      <c r="EB174" s="183"/>
      <c r="EC174" s="183"/>
      <c r="ED174" s="183"/>
      <c r="EE174" s="183"/>
      <c r="EF174" s="183"/>
      <c r="EG174" s="183"/>
      <c r="EH174" s="183"/>
      <c r="EI174" s="183"/>
      <c r="EJ174" s="183"/>
      <c r="EK174" s="183"/>
      <c r="EL174" s="183"/>
      <c r="EM174" s="183"/>
      <c r="EN174" s="183"/>
      <c r="EO174" s="183"/>
      <c r="EP174" s="183"/>
      <c r="EQ174" s="183"/>
      <c r="ER174" s="183"/>
      <c r="ES174" s="183"/>
      <c r="ET174" s="183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</row>
    <row r="175" spans="1:258" ht="13.5" customHeight="1">
      <c r="A175" s="49"/>
      <c r="B175" s="2"/>
      <c r="C175" s="2"/>
      <c r="D175" s="2"/>
      <c r="E175" s="2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  <c r="BK175" s="183"/>
      <c r="BL175" s="183"/>
      <c r="BM175" s="183"/>
      <c r="BN175" s="183"/>
      <c r="BO175" s="183"/>
      <c r="BP175" s="183"/>
      <c r="BQ175" s="183"/>
      <c r="BR175" s="183"/>
      <c r="BS175" s="183"/>
      <c r="BT175" s="183"/>
      <c r="BU175" s="183"/>
      <c r="BV175" s="183"/>
      <c r="BW175" s="183"/>
      <c r="BX175" s="183"/>
      <c r="BY175" s="183"/>
      <c r="BZ175" s="183"/>
      <c r="CA175" s="183"/>
      <c r="CB175" s="183"/>
      <c r="CC175" s="183"/>
      <c r="CD175" s="183"/>
      <c r="CE175" s="183"/>
      <c r="CF175" s="183"/>
      <c r="CG175" s="183"/>
      <c r="CH175" s="183"/>
      <c r="CI175" s="183"/>
      <c r="CJ175" s="183"/>
      <c r="CK175" s="183"/>
      <c r="CL175" s="183"/>
      <c r="CM175" s="183"/>
      <c r="CN175" s="183"/>
      <c r="CO175" s="183"/>
      <c r="CP175" s="183"/>
      <c r="CQ175" s="183"/>
      <c r="CR175" s="183"/>
      <c r="CS175" s="183"/>
      <c r="CT175" s="183"/>
      <c r="CU175" s="183"/>
      <c r="CV175" s="183"/>
      <c r="CW175" s="183"/>
      <c r="CX175" s="183"/>
      <c r="CY175" s="183"/>
      <c r="CZ175" s="183"/>
      <c r="DA175" s="183"/>
      <c r="DB175" s="183"/>
      <c r="DC175" s="183"/>
      <c r="DD175" s="183"/>
      <c r="DE175" s="183"/>
      <c r="DF175" s="183"/>
      <c r="DG175" s="183"/>
      <c r="DH175" s="183"/>
      <c r="DI175" s="183"/>
      <c r="DJ175" s="183"/>
      <c r="DK175" s="183"/>
      <c r="DL175" s="183"/>
      <c r="DM175" s="183"/>
      <c r="DN175" s="183"/>
      <c r="DO175" s="183"/>
      <c r="DP175" s="183"/>
      <c r="DQ175" s="183"/>
      <c r="DR175" s="183"/>
      <c r="DS175" s="183"/>
      <c r="DT175" s="183"/>
      <c r="DU175" s="183"/>
      <c r="DV175" s="183"/>
      <c r="DW175" s="183"/>
      <c r="DX175" s="183"/>
      <c r="DY175" s="183"/>
      <c r="DZ175" s="183"/>
      <c r="EA175" s="183"/>
      <c r="EB175" s="183"/>
      <c r="EC175" s="183"/>
      <c r="ED175" s="183"/>
      <c r="EE175" s="183"/>
      <c r="EF175" s="183"/>
      <c r="EG175" s="183"/>
      <c r="EH175" s="183"/>
      <c r="EI175" s="183"/>
      <c r="EJ175" s="183"/>
      <c r="EK175" s="183"/>
      <c r="EL175" s="183"/>
      <c r="EM175" s="183"/>
      <c r="EN175" s="183"/>
      <c r="EO175" s="183"/>
      <c r="EP175" s="183"/>
      <c r="EQ175" s="183"/>
      <c r="ER175" s="183"/>
      <c r="ES175" s="183"/>
      <c r="ET175" s="183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</row>
    <row r="176" spans="1:258" ht="13.5" customHeight="1">
      <c r="A176" s="49"/>
      <c r="B176" s="2"/>
      <c r="C176" s="2"/>
      <c r="D176" s="2"/>
      <c r="E176" s="2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  <c r="AP176" s="183"/>
      <c r="AQ176" s="183"/>
      <c r="AR176" s="183"/>
      <c r="AS176" s="183"/>
      <c r="AT176" s="183"/>
      <c r="AU176" s="183"/>
      <c r="AV176" s="183"/>
      <c r="AW176" s="183"/>
      <c r="AX176" s="183"/>
      <c r="AY176" s="183"/>
      <c r="AZ176" s="183"/>
      <c r="BA176" s="183"/>
      <c r="BB176" s="183"/>
      <c r="BC176" s="183"/>
      <c r="BD176" s="183"/>
      <c r="BE176" s="183"/>
      <c r="BF176" s="183"/>
      <c r="BG176" s="183"/>
      <c r="BH176" s="183"/>
      <c r="BI176" s="183"/>
      <c r="BJ176" s="183"/>
      <c r="BK176" s="183"/>
      <c r="BL176" s="183"/>
      <c r="BM176" s="183"/>
      <c r="BN176" s="183"/>
      <c r="BO176" s="183"/>
      <c r="BP176" s="183"/>
      <c r="BQ176" s="183"/>
      <c r="BR176" s="183"/>
      <c r="BS176" s="183"/>
      <c r="BT176" s="183"/>
      <c r="BU176" s="183"/>
      <c r="BV176" s="183"/>
      <c r="BW176" s="183"/>
      <c r="BX176" s="183"/>
      <c r="BY176" s="183"/>
      <c r="BZ176" s="183"/>
      <c r="CA176" s="183"/>
      <c r="CB176" s="183"/>
      <c r="CC176" s="183"/>
      <c r="CD176" s="183"/>
      <c r="CE176" s="183"/>
      <c r="CF176" s="183"/>
      <c r="CG176" s="183"/>
      <c r="CH176" s="183"/>
      <c r="CI176" s="183"/>
      <c r="CJ176" s="183"/>
      <c r="CK176" s="183"/>
      <c r="CL176" s="183"/>
      <c r="CM176" s="183"/>
      <c r="CN176" s="183"/>
      <c r="CO176" s="183"/>
      <c r="CP176" s="183"/>
      <c r="CQ176" s="183"/>
      <c r="CR176" s="183"/>
      <c r="CS176" s="183"/>
      <c r="CT176" s="183"/>
      <c r="CU176" s="183"/>
      <c r="CV176" s="183"/>
      <c r="CW176" s="183"/>
      <c r="CX176" s="183"/>
      <c r="CY176" s="183"/>
      <c r="CZ176" s="183"/>
      <c r="DA176" s="183"/>
      <c r="DB176" s="183"/>
      <c r="DC176" s="183"/>
      <c r="DD176" s="183"/>
      <c r="DE176" s="183"/>
      <c r="DF176" s="183"/>
      <c r="DG176" s="183"/>
      <c r="DH176" s="183"/>
      <c r="DI176" s="183"/>
      <c r="DJ176" s="183"/>
      <c r="DK176" s="183"/>
      <c r="DL176" s="183"/>
      <c r="DM176" s="183"/>
      <c r="DN176" s="183"/>
      <c r="DO176" s="183"/>
      <c r="DP176" s="183"/>
      <c r="DQ176" s="183"/>
      <c r="DR176" s="183"/>
      <c r="DS176" s="183"/>
      <c r="DT176" s="183"/>
      <c r="DU176" s="183"/>
      <c r="DV176" s="183"/>
      <c r="DW176" s="183"/>
      <c r="DX176" s="183"/>
      <c r="DY176" s="183"/>
      <c r="DZ176" s="183"/>
      <c r="EA176" s="183"/>
      <c r="EB176" s="183"/>
      <c r="EC176" s="183"/>
      <c r="ED176" s="183"/>
      <c r="EE176" s="183"/>
      <c r="EF176" s="183"/>
      <c r="EG176" s="183"/>
      <c r="EH176" s="183"/>
      <c r="EI176" s="183"/>
      <c r="EJ176" s="183"/>
      <c r="EK176" s="183"/>
      <c r="EL176" s="183"/>
      <c r="EM176" s="183"/>
      <c r="EN176" s="183"/>
      <c r="EO176" s="183"/>
      <c r="EP176" s="183"/>
      <c r="EQ176" s="183"/>
      <c r="ER176" s="183"/>
      <c r="ES176" s="183"/>
      <c r="ET176" s="183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</row>
    <row r="177" spans="1:258" ht="13.5" customHeight="1">
      <c r="A177" s="49"/>
      <c r="B177" s="2"/>
      <c r="C177" s="2"/>
      <c r="D177" s="2"/>
      <c r="E177" s="2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83"/>
      <c r="AY177" s="183"/>
      <c r="AZ177" s="183"/>
      <c r="BA177" s="183"/>
      <c r="BB177" s="183"/>
      <c r="BC177" s="183"/>
      <c r="BD177" s="183"/>
      <c r="BE177" s="183"/>
      <c r="BF177" s="183"/>
      <c r="BG177" s="183"/>
      <c r="BH177" s="183"/>
      <c r="BI177" s="183"/>
      <c r="BJ177" s="183"/>
      <c r="BK177" s="183"/>
      <c r="BL177" s="183"/>
      <c r="BM177" s="183"/>
      <c r="BN177" s="183"/>
      <c r="BO177" s="183"/>
      <c r="BP177" s="183"/>
      <c r="BQ177" s="183"/>
      <c r="BR177" s="183"/>
      <c r="BS177" s="183"/>
      <c r="BT177" s="183"/>
      <c r="BU177" s="183"/>
      <c r="BV177" s="183"/>
      <c r="BW177" s="183"/>
      <c r="BX177" s="183"/>
      <c r="BY177" s="183"/>
      <c r="BZ177" s="183"/>
      <c r="CA177" s="183"/>
      <c r="CB177" s="183"/>
      <c r="CC177" s="183"/>
      <c r="CD177" s="183"/>
      <c r="CE177" s="183"/>
      <c r="CF177" s="183"/>
      <c r="CG177" s="183"/>
      <c r="CH177" s="183"/>
      <c r="CI177" s="183"/>
      <c r="CJ177" s="183"/>
      <c r="CK177" s="183"/>
      <c r="CL177" s="183"/>
      <c r="CM177" s="183"/>
      <c r="CN177" s="183"/>
      <c r="CO177" s="183"/>
      <c r="CP177" s="183"/>
      <c r="CQ177" s="183"/>
      <c r="CR177" s="183"/>
      <c r="CS177" s="183"/>
      <c r="CT177" s="183"/>
      <c r="CU177" s="183"/>
      <c r="CV177" s="183"/>
      <c r="CW177" s="183"/>
      <c r="CX177" s="183"/>
      <c r="CY177" s="183"/>
      <c r="CZ177" s="183"/>
      <c r="DA177" s="183"/>
      <c r="DB177" s="183"/>
      <c r="DC177" s="183"/>
      <c r="DD177" s="183"/>
      <c r="DE177" s="183"/>
      <c r="DF177" s="183"/>
      <c r="DG177" s="183"/>
      <c r="DH177" s="183"/>
      <c r="DI177" s="183"/>
      <c r="DJ177" s="183"/>
      <c r="DK177" s="183"/>
      <c r="DL177" s="183"/>
      <c r="DM177" s="183"/>
      <c r="DN177" s="183"/>
      <c r="DO177" s="183"/>
      <c r="DP177" s="183"/>
      <c r="DQ177" s="183"/>
      <c r="DR177" s="183"/>
      <c r="DS177" s="183"/>
      <c r="DT177" s="183"/>
      <c r="DU177" s="183"/>
      <c r="DV177" s="183"/>
      <c r="DW177" s="183"/>
      <c r="DX177" s="183"/>
      <c r="DY177" s="183"/>
      <c r="DZ177" s="183"/>
      <c r="EA177" s="183"/>
      <c r="EB177" s="183"/>
      <c r="EC177" s="183"/>
      <c r="ED177" s="183"/>
      <c r="EE177" s="183"/>
      <c r="EF177" s="183"/>
      <c r="EG177" s="183"/>
      <c r="EH177" s="183"/>
      <c r="EI177" s="183"/>
      <c r="EJ177" s="183"/>
      <c r="EK177" s="183"/>
      <c r="EL177" s="183"/>
      <c r="EM177" s="183"/>
      <c r="EN177" s="183"/>
      <c r="EO177" s="183"/>
      <c r="EP177" s="183"/>
      <c r="EQ177" s="183"/>
      <c r="ER177" s="183"/>
      <c r="ES177" s="183"/>
      <c r="ET177" s="183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</row>
    <row r="178" spans="1:258" ht="13.5" customHeight="1">
      <c r="A178" s="49"/>
      <c r="B178" s="2"/>
      <c r="C178" s="2"/>
      <c r="D178" s="2"/>
      <c r="E178" s="2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  <c r="AP178" s="183"/>
      <c r="AQ178" s="183"/>
      <c r="AR178" s="183"/>
      <c r="AS178" s="183"/>
      <c r="AT178" s="183"/>
      <c r="AU178" s="183"/>
      <c r="AV178" s="183"/>
      <c r="AW178" s="183"/>
      <c r="AX178" s="183"/>
      <c r="AY178" s="183"/>
      <c r="AZ178" s="183"/>
      <c r="BA178" s="183"/>
      <c r="BB178" s="183"/>
      <c r="BC178" s="183"/>
      <c r="BD178" s="183"/>
      <c r="BE178" s="183"/>
      <c r="BF178" s="183"/>
      <c r="BG178" s="183"/>
      <c r="BH178" s="183"/>
      <c r="BI178" s="183"/>
      <c r="BJ178" s="183"/>
      <c r="BK178" s="183"/>
      <c r="BL178" s="183"/>
      <c r="BM178" s="183"/>
      <c r="BN178" s="183"/>
      <c r="BO178" s="183"/>
      <c r="BP178" s="183"/>
      <c r="BQ178" s="183"/>
      <c r="BR178" s="183"/>
      <c r="BS178" s="183"/>
      <c r="BT178" s="183"/>
      <c r="BU178" s="183"/>
      <c r="BV178" s="183"/>
      <c r="BW178" s="183"/>
      <c r="BX178" s="183"/>
      <c r="BY178" s="183"/>
      <c r="BZ178" s="183"/>
      <c r="CA178" s="183"/>
      <c r="CB178" s="183"/>
      <c r="CC178" s="183"/>
      <c r="CD178" s="183"/>
      <c r="CE178" s="183"/>
      <c r="CF178" s="183"/>
      <c r="CG178" s="183"/>
      <c r="CH178" s="183"/>
      <c r="CI178" s="183"/>
      <c r="CJ178" s="183"/>
      <c r="CK178" s="183"/>
      <c r="CL178" s="183"/>
      <c r="CM178" s="183"/>
      <c r="CN178" s="183"/>
      <c r="CO178" s="183"/>
      <c r="CP178" s="183"/>
      <c r="CQ178" s="183"/>
      <c r="CR178" s="183"/>
      <c r="CS178" s="183"/>
      <c r="CT178" s="183"/>
      <c r="CU178" s="183"/>
      <c r="CV178" s="183"/>
      <c r="CW178" s="183"/>
      <c r="CX178" s="183"/>
      <c r="CY178" s="183"/>
      <c r="CZ178" s="183"/>
      <c r="DA178" s="183"/>
      <c r="DB178" s="183"/>
      <c r="DC178" s="183"/>
      <c r="DD178" s="183"/>
      <c r="DE178" s="183"/>
      <c r="DF178" s="183"/>
      <c r="DG178" s="183"/>
      <c r="DH178" s="183"/>
      <c r="DI178" s="183"/>
      <c r="DJ178" s="183"/>
      <c r="DK178" s="183"/>
      <c r="DL178" s="183"/>
      <c r="DM178" s="183"/>
      <c r="DN178" s="183"/>
      <c r="DO178" s="183"/>
      <c r="DP178" s="183"/>
      <c r="DQ178" s="183"/>
      <c r="DR178" s="183"/>
      <c r="DS178" s="183"/>
      <c r="DT178" s="183"/>
      <c r="DU178" s="183"/>
      <c r="DV178" s="183"/>
      <c r="DW178" s="183"/>
      <c r="DX178" s="183"/>
      <c r="DY178" s="183"/>
      <c r="DZ178" s="183"/>
      <c r="EA178" s="183"/>
      <c r="EB178" s="183"/>
      <c r="EC178" s="183"/>
      <c r="ED178" s="183"/>
      <c r="EE178" s="183"/>
      <c r="EF178" s="183"/>
      <c r="EG178" s="183"/>
      <c r="EH178" s="183"/>
      <c r="EI178" s="183"/>
      <c r="EJ178" s="183"/>
      <c r="EK178" s="183"/>
      <c r="EL178" s="183"/>
      <c r="EM178" s="183"/>
      <c r="EN178" s="183"/>
      <c r="EO178" s="183"/>
      <c r="EP178" s="183"/>
      <c r="EQ178" s="183"/>
      <c r="ER178" s="183"/>
      <c r="ES178" s="183"/>
      <c r="ET178" s="183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</row>
    <row r="179" spans="1:258" ht="13.5" customHeight="1">
      <c r="A179" s="49"/>
      <c r="B179" s="2"/>
      <c r="C179" s="2"/>
      <c r="D179" s="2"/>
      <c r="E179" s="2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  <c r="AP179" s="183"/>
      <c r="AQ179" s="183"/>
      <c r="AR179" s="183"/>
      <c r="AS179" s="183"/>
      <c r="AT179" s="183"/>
      <c r="AU179" s="183"/>
      <c r="AV179" s="183"/>
      <c r="AW179" s="183"/>
      <c r="AX179" s="183"/>
      <c r="AY179" s="183"/>
      <c r="AZ179" s="183"/>
      <c r="BA179" s="183"/>
      <c r="BB179" s="183"/>
      <c r="BC179" s="183"/>
      <c r="BD179" s="183"/>
      <c r="BE179" s="183"/>
      <c r="BF179" s="183"/>
      <c r="BG179" s="183"/>
      <c r="BH179" s="183"/>
      <c r="BI179" s="183"/>
      <c r="BJ179" s="183"/>
      <c r="BK179" s="183"/>
      <c r="BL179" s="183"/>
      <c r="BM179" s="183"/>
      <c r="BN179" s="183"/>
      <c r="BO179" s="183"/>
      <c r="BP179" s="183"/>
      <c r="BQ179" s="183"/>
      <c r="BR179" s="183"/>
      <c r="BS179" s="183"/>
      <c r="BT179" s="183"/>
      <c r="BU179" s="183"/>
      <c r="BV179" s="183"/>
      <c r="BW179" s="183"/>
      <c r="BX179" s="183"/>
      <c r="BY179" s="183"/>
      <c r="BZ179" s="183"/>
      <c r="CA179" s="183"/>
      <c r="CB179" s="183"/>
      <c r="CC179" s="183"/>
      <c r="CD179" s="183"/>
      <c r="CE179" s="183"/>
      <c r="CF179" s="183"/>
      <c r="CG179" s="183"/>
      <c r="CH179" s="183"/>
      <c r="CI179" s="183"/>
      <c r="CJ179" s="183"/>
      <c r="CK179" s="183"/>
      <c r="CL179" s="183"/>
      <c r="CM179" s="183"/>
      <c r="CN179" s="183"/>
      <c r="CO179" s="183"/>
      <c r="CP179" s="183"/>
      <c r="CQ179" s="183"/>
      <c r="CR179" s="183"/>
      <c r="CS179" s="183"/>
      <c r="CT179" s="183"/>
      <c r="CU179" s="183"/>
      <c r="CV179" s="183"/>
      <c r="CW179" s="183"/>
      <c r="CX179" s="183"/>
      <c r="CY179" s="183"/>
      <c r="CZ179" s="183"/>
      <c r="DA179" s="183"/>
      <c r="DB179" s="183"/>
      <c r="DC179" s="183"/>
      <c r="DD179" s="183"/>
      <c r="DE179" s="183"/>
      <c r="DF179" s="183"/>
      <c r="DG179" s="183"/>
      <c r="DH179" s="183"/>
      <c r="DI179" s="183"/>
      <c r="DJ179" s="183"/>
      <c r="DK179" s="183"/>
      <c r="DL179" s="183"/>
      <c r="DM179" s="183"/>
      <c r="DN179" s="183"/>
      <c r="DO179" s="183"/>
      <c r="DP179" s="183"/>
      <c r="DQ179" s="183"/>
      <c r="DR179" s="183"/>
      <c r="DS179" s="183"/>
      <c r="DT179" s="183"/>
      <c r="DU179" s="183"/>
      <c r="DV179" s="183"/>
      <c r="DW179" s="183"/>
      <c r="DX179" s="183"/>
      <c r="DY179" s="183"/>
      <c r="DZ179" s="183"/>
      <c r="EA179" s="183"/>
      <c r="EB179" s="183"/>
      <c r="EC179" s="183"/>
      <c r="ED179" s="183"/>
      <c r="EE179" s="183"/>
      <c r="EF179" s="183"/>
      <c r="EG179" s="183"/>
      <c r="EH179" s="183"/>
      <c r="EI179" s="183"/>
      <c r="EJ179" s="183"/>
      <c r="EK179" s="183"/>
      <c r="EL179" s="183"/>
      <c r="EM179" s="183"/>
      <c r="EN179" s="183"/>
      <c r="EO179" s="183"/>
      <c r="EP179" s="183"/>
      <c r="EQ179" s="183"/>
      <c r="ER179" s="183"/>
      <c r="ES179" s="183"/>
      <c r="ET179" s="183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</row>
    <row r="180" spans="1:258" ht="13.5" customHeight="1">
      <c r="A180" s="49"/>
      <c r="B180" s="2"/>
      <c r="C180" s="2"/>
      <c r="D180" s="2"/>
      <c r="E180" s="2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83"/>
      <c r="AO180" s="183"/>
      <c r="AP180" s="183"/>
      <c r="AQ180" s="183"/>
      <c r="AR180" s="183"/>
      <c r="AS180" s="183"/>
      <c r="AT180" s="183"/>
      <c r="AU180" s="183"/>
      <c r="AV180" s="183"/>
      <c r="AW180" s="183"/>
      <c r="AX180" s="183"/>
      <c r="AY180" s="183"/>
      <c r="AZ180" s="183"/>
      <c r="BA180" s="183"/>
      <c r="BB180" s="183"/>
      <c r="BC180" s="183"/>
      <c r="BD180" s="183"/>
      <c r="BE180" s="183"/>
      <c r="BF180" s="183"/>
      <c r="BG180" s="183"/>
      <c r="BH180" s="183"/>
      <c r="BI180" s="183"/>
      <c r="BJ180" s="183"/>
      <c r="BK180" s="183"/>
      <c r="BL180" s="183"/>
      <c r="BM180" s="183"/>
      <c r="BN180" s="183"/>
      <c r="BO180" s="183"/>
      <c r="BP180" s="183"/>
      <c r="BQ180" s="183"/>
      <c r="BR180" s="183"/>
      <c r="BS180" s="183"/>
      <c r="BT180" s="183"/>
      <c r="BU180" s="183"/>
      <c r="BV180" s="183"/>
      <c r="BW180" s="183"/>
      <c r="BX180" s="183"/>
      <c r="BY180" s="183"/>
      <c r="BZ180" s="183"/>
      <c r="CA180" s="183"/>
      <c r="CB180" s="183"/>
      <c r="CC180" s="183"/>
      <c r="CD180" s="183"/>
      <c r="CE180" s="183"/>
      <c r="CF180" s="183"/>
      <c r="CG180" s="183"/>
      <c r="CH180" s="183"/>
      <c r="CI180" s="183"/>
      <c r="CJ180" s="183"/>
      <c r="CK180" s="183"/>
      <c r="CL180" s="183"/>
      <c r="CM180" s="183"/>
      <c r="CN180" s="183"/>
      <c r="CO180" s="183"/>
      <c r="CP180" s="183"/>
      <c r="CQ180" s="183"/>
      <c r="CR180" s="183"/>
      <c r="CS180" s="183"/>
      <c r="CT180" s="183"/>
      <c r="CU180" s="183"/>
      <c r="CV180" s="183"/>
      <c r="CW180" s="183"/>
      <c r="CX180" s="183"/>
      <c r="CY180" s="183"/>
      <c r="CZ180" s="183"/>
      <c r="DA180" s="183"/>
      <c r="DB180" s="183"/>
      <c r="DC180" s="183"/>
      <c r="DD180" s="183"/>
      <c r="DE180" s="183"/>
      <c r="DF180" s="183"/>
      <c r="DG180" s="183"/>
      <c r="DH180" s="183"/>
      <c r="DI180" s="183"/>
      <c r="DJ180" s="183"/>
      <c r="DK180" s="183"/>
      <c r="DL180" s="183"/>
      <c r="DM180" s="183"/>
      <c r="DN180" s="183"/>
      <c r="DO180" s="183"/>
      <c r="DP180" s="183"/>
      <c r="DQ180" s="183"/>
      <c r="DR180" s="183"/>
      <c r="DS180" s="183"/>
      <c r="DT180" s="183"/>
      <c r="DU180" s="183"/>
      <c r="DV180" s="183"/>
      <c r="DW180" s="183"/>
      <c r="DX180" s="183"/>
      <c r="DY180" s="183"/>
      <c r="DZ180" s="183"/>
      <c r="EA180" s="183"/>
      <c r="EB180" s="183"/>
      <c r="EC180" s="183"/>
      <c r="ED180" s="183"/>
      <c r="EE180" s="183"/>
      <c r="EF180" s="183"/>
      <c r="EG180" s="183"/>
      <c r="EH180" s="183"/>
      <c r="EI180" s="183"/>
      <c r="EJ180" s="183"/>
      <c r="EK180" s="183"/>
      <c r="EL180" s="183"/>
      <c r="EM180" s="183"/>
      <c r="EN180" s="183"/>
      <c r="EO180" s="183"/>
      <c r="EP180" s="183"/>
      <c r="EQ180" s="183"/>
      <c r="ER180" s="183"/>
      <c r="ES180" s="183"/>
      <c r="ET180" s="183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</row>
    <row r="181" spans="1:258" ht="13.5" customHeight="1">
      <c r="A181" s="49"/>
      <c r="B181" s="2"/>
      <c r="C181" s="2"/>
      <c r="D181" s="2"/>
      <c r="E181" s="2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83"/>
      <c r="AM181" s="183"/>
      <c r="AN181" s="183"/>
      <c r="AO181" s="183"/>
      <c r="AP181" s="183"/>
      <c r="AQ181" s="183"/>
      <c r="AR181" s="183"/>
      <c r="AS181" s="183"/>
      <c r="AT181" s="183"/>
      <c r="AU181" s="183"/>
      <c r="AV181" s="183"/>
      <c r="AW181" s="183"/>
      <c r="AX181" s="183"/>
      <c r="AY181" s="183"/>
      <c r="AZ181" s="183"/>
      <c r="BA181" s="183"/>
      <c r="BB181" s="183"/>
      <c r="BC181" s="183"/>
      <c r="BD181" s="183"/>
      <c r="BE181" s="183"/>
      <c r="BF181" s="183"/>
      <c r="BG181" s="183"/>
      <c r="BH181" s="183"/>
      <c r="BI181" s="183"/>
      <c r="BJ181" s="183"/>
      <c r="BK181" s="183"/>
      <c r="BL181" s="183"/>
      <c r="BM181" s="183"/>
      <c r="BN181" s="183"/>
      <c r="BO181" s="183"/>
      <c r="BP181" s="183"/>
      <c r="BQ181" s="183"/>
      <c r="BR181" s="183"/>
      <c r="BS181" s="183"/>
      <c r="BT181" s="183"/>
      <c r="BU181" s="183"/>
      <c r="BV181" s="183"/>
      <c r="BW181" s="183"/>
      <c r="BX181" s="183"/>
      <c r="BY181" s="183"/>
      <c r="BZ181" s="183"/>
      <c r="CA181" s="183"/>
      <c r="CB181" s="183"/>
      <c r="CC181" s="183"/>
      <c r="CD181" s="183"/>
      <c r="CE181" s="183"/>
      <c r="CF181" s="183"/>
      <c r="CG181" s="183"/>
      <c r="CH181" s="183"/>
      <c r="CI181" s="183"/>
      <c r="CJ181" s="183"/>
      <c r="CK181" s="183"/>
      <c r="CL181" s="183"/>
      <c r="CM181" s="183"/>
      <c r="CN181" s="183"/>
      <c r="CO181" s="183"/>
      <c r="CP181" s="183"/>
      <c r="CQ181" s="183"/>
      <c r="CR181" s="183"/>
      <c r="CS181" s="183"/>
      <c r="CT181" s="183"/>
      <c r="CU181" s="183"/>
      <c r="CV181" s="183"/>
      <c r="CW181" s="183"/>
      <c r="CX181" s="183"/>
      <c r="CY181" s="183"/>
      <c r="CZ181" s="183"/>
      <c r="DA181" s="183"/>
      <c r="DB181" s="183"/>
      <c r="DC181" s="183"/>
      <c r="DD181" s="183"/>
      <c r="DE181" s="183"/>
      <c r="DF181" s="183"/>
      <c r="DG181" s="183"/>
      <c r="DH181" s="183"/>
      <c r="DI181" s="183"/>
      <c r="DJ181" s="183"/>
      <c r="DK181" s="183"/>
      <c r="DL181" s="183"/>
      <c r="DM181" s="183"/>
      <c r="DN181" s="183"/>
      <c r="DO181" s="183"/>
      <c r="DP181" s="183"/>
      <c r="DQ181" s="183"/>
      <c r="DR181" s="183"/>
      <c r="DS181" s="183"/>
      <c r="DT181" s="183"/>
      <c r="DU181" s="183"/>
      <c r="DV181" s="183"/>
      <c r="DW181" s="183"/>
      <c r="DX181" s="183"/>
      <c r="DY181" s="183"/>
      <c r="DZ181" s="183"/>
      <c r="EA181" s="183"/>
      <c r="EB181" s="183"/>
      <c r="EC181" s="183"/>
      <c r="ED181" s="183"/>
      <c r="EE181" s="183"/>
      <c r="EF181" s="183"/>
      <c r="EG181" s="183"/>
      <c r="EH181" s="183"/>
      <c r="EI181" s="183"/>
      <c r="EJ181" s="183"/>
      <c r="EK181" s="183"/>
      <c r="EL181" s="183"/>
      <c r="EM181" s="183"/>
      <c r="EN181" s="183"/>
      <c r="EO181" s="183"/>
      <c r="EP181" s="183"/>
      <c r="EQ181" s="183"/>
      <c r="ER181" s="183"/>
      <c r="ES181" s="183"/>
      <c r="ET181" s="183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</row>
    <row r="182" spans="1:258" ht="13.5" customHeight="1">
      <c r="A182" s="49"/>
      <c r="B182" s="2"/>
      <c r="C182" s="2"/>
      <c r="D182" s="2"/>
      <c r="E182" s="2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183"/>
      <c r="AJ182" s="183"/>
      <c r="AK182" s="183"/>
      <c r="AL182" s="183"/>
      <c r="AM182" s="183"/>
      <c r="AN182" s="183"/>
      <c r="AO182" s="183"/>
      <c r="AP182" s="183"/>
      <c r="AQ182" s="183"/>
      <c r="AR182" s="183"/>
      <c r="AS182" s="183"/>
      <c r="AT182" s="183"/>
      <c r="AU182" s="183"/>
      <c r="AV182" s="183"/>
      <c r="AW182" s="183"/>
      <c r="AX182" s="183"/>
      <c r="AY182" s="183"/>
      <c r="AZ182" s="183"/>
      <c r="BA182" s="183"/>
      <c r="BB182" s="183"/>
      <c r="BC182" s="183"/>
      <c r="BD182" s="183"/>
      <c r="BE182" s="183"/>
      <c r="BF182" s="183"/>
      <c r="BG182" s="183"/>
      <c r="BH182" s="183"/>
      <c r="BI182" s="183"/>
      <c r="BJ182" s="183"/>
      <c r="BK182" s="183"/>
      <c r="BL182" s="183"/>
      <c r="BM182" s="183"/>
      <c r="BN182" s="183"/>
      <c r="BO182" s="183"/>
      <c r="BP182" s="183"/>
      <c r="BQ182" s="183"/>
      <c r="BR182" s="183"/>
      <c r="BS182" s="183"/>
      <c r="BT182" s="183"/>
      <c r="BU182" s="183"/>
      <c r="BV182" s="183"/>
      <c r="BW182" s="183"/>
      <c r="BX182" s="183"/>
      <c r="BY182" s="183"/>
      <c r="BZ182" s="183"/>
      <c r="CA182" s="183"/>
      <c r="CB182" s="183"/>
      <c r="CC182" s="183"/>
      <c r="CD182" s="183"/>
      <c r="CE182" s="183"/>
      <c r="CF182" s="183"/>
      <c r="CG182" s="183"/>
      <c r="CH182" s="183"/>
      <c r="CI182" s="183"/>
      <c r="CJ182" s="183"/>
      <c r="CK182" s="183"/>
      <c r="CL182" s="183"/>
      <c r="CM182" s="183"/>
      <c r="CN182" s="183"/>
      <c r="CO182" s="183"/>
      <c r="CP182" s="183"/>
      <c r="CQ182" s="183"/>
      <c r="CR182" s="183"/>
      <c r="CS182" s="183"/>
      <c r="CT182" s="183"/>
      <c r="CU182" s="183"/>
      <c r="CV182" s="183"/>
      <c r="CW182" s="183"/>
      <c r="CX182" s="183"/>
      <c r="CY182" s="183"/>
      <c r="CZ182" s="183"/>
      <c r="DA182" s="183"/>
      <c r="DB182" s="183"/>
      <c r="DC182" s="183"/>
      <c r="DD182" s="183"/>
      <c r="DE182" s="183"/>
      <c r="DF182" s="183"/>
      <c r="DG182" s="183"/>
      <c r="DH182" s="183"/>
      <c r="DI182" s="183"/>
      <c r="DJ182" s="183"/>
      <c r="DK182" s="183"/>
      <c r="DL182" s="183"/>
      <c r="DM182" s="183"/>
      <c r="DN182" s="183"/>
      <c r="DO182" s="183"/>
      <c r="DP182" s="183"/>
      <c r="DQ182" s="183"/>
      <c r="DR182" s="183"/>
      <c r="DS182" s="183"/>
      <c r="DT182" s="183"/>
      <c r="DU182" s="183"/>
      <c r="DV182" s="183"/>
      <c r="DW182" s="183"/>
      <c r="DX182" s="183"/>
      <c r="DY182" s="183"/>
      <c r="DZ182" s="183"/>
      <c r="EA182" s="183"/>
      <c r="EB182" s="183"/>
      <c r="EC182" s="183"/>
      <c r="ED182" s="183"/>
      <c r="EE182" s="183"/>
      <c r="EF182" s="183"/>
      <c r="EG182" s="183"/>
      <c r="EH182" s="183"/>
      <c r="EI182" s="183"/>
      <c r="EJ182" s="183"/>
      <c r="EK182" s="183"/>
      <c r="EL182" s="183"/>
      <c r="EM182" s="183"/>
      <c r="EN182" s="183"/>
      <c r="EO182" s="183"/>
      <c r="EP182" s="183"/>
      <c r="EQ182" s="183"/>
      <c r="ER182" s="183"/>
      <c r="ES182" s="183"/>
      <c r="ET182" s="183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</row>
    <row r="183" spans="1:258" ht="13.5" customHeight="1">
      <c r="A183" s="49"/>
      <c r="B183" s="2"/>
      <c r="C183" s="2"/>
      <c r="D183" s="2"/>
      <c r="E183" s="2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  <c r="AL183" s="183"/>
      <c r="AM183" s="183"/>
      <c r="AN183" s="183"/>
      <c r="AO183" s="183"/>
      <c r="AP183" s="183"/>
      <c r="AQ183" s="183"/>
      <c r="AR183" s="183"/>
      <c r="AS183" s="183"/>
      <c r="AT183" s="183"/>
      <c r="AU183" s="183"/>
      <c r="AV183" s="183"/>
      <c r="AW183" s="183"/>
      <c r="AX183" s="183"/>
      <c r="AY183" s="183"/>
      <c r="AZ183" s="183"/>
      <c r="BA183" s="183"/>
      <c r="BB183" s="183"/>
      <c r="BC183" s="183"/>
      <c r="BD183" s="183"/>
      <c r="BE183" s="183"/>
      <c r="BF183" s="183"/>
      <c r="BG183" s="183"/>
      <c r="BH183" s="183"/>
      <c r="BI183" s="183"/>
      <c r="BJ183" s="183"/>
      <c r="BK183" s="183"/>
      <c r="BL183" s="183"/>
      <c r="BM183" s="183"/>
      <c r="BN183" s="183"/>
      <c r="BO183" s="183"/>
      <c r="BP183" s="183"/>
      <c r="BQ183" s="183"/>
      <c r="BR183" s="183"/>
      <c r="BS183" s="183"/>
      <c r="BT183" s="183"/>
      <c r="BU183" s="183"/>
      <c r="BV183" s="183"/>
      <c r="BW183" s="183"/>
      <c r="BX183" s="183"/>
      <c r="BY183" s="183"/>
      <c r="BZ183" s="183"/>
      <c r="CA183" s="183"/>
      <c r="CB183" s="183"/>
      <c r="CC183" s="183"/>
      <c r="CD183" s="183"/>
      <c r="CE183" s="183"/>
      <c r="CF183" s="183"/>
      <c r="CG183" s="183"/>
      <c r="CH183" s="183"/>
      <c r="CI183" s="183"/>
      <c r="CJ183" s="183"/>
      <c r="CK183" s="183"/>
      <c r="CL183" s="183"/>
      <c r="CM183" s="183"/>
      <c r="CN183" s="183"/>
      <c r="CO183" s="183"/>
      <c r="CP183" s="183"/>
      <c r="CQ183" s="183"/>
      <c r="CR183" s="183"/>
      <c r="CS183" s="183"/>
      <c r="CT183" s="183"/>
      <c r="CU183" s="183"/>
      <c r="CV183" s="183"/>
      <c r="CW183" s="183"/>
      <c r="CX183" s="183"/>
      <c r="CY183" s="183"/>
      <c r="CZ183" s="183"/>
      <c r="DA183" s="183"/>
      <c r="DB183" s="183"/>
      <c r="DC183" s="183"/>
      <c r="DD183" s="183"/>
      <c r="DE183" s="183"/>
      <c r="DF183" s="183"/>
      <c r="DG183" s="183"/>
      <c r="DH183" s="183"/>
      <c r="DI183" s="183"/>
      <c r="DJ183" s="183"/>
      <c r="DK183" s="183"/>
      <c r="DL183" s="183"/>
      <c r="DM183" s="183"/>
      <c r="DN183" s="183"/>
      <c r="DO183" s="183"/>
      <c r="DP183" s="183"/>
      <c r="DQ183" s="183"/>
      <c r="DR183" s="183"/>
      <c r="DS183" s="183"/>
      <c r="DT183" s="183"/>
      <c r="DU183" s="183"/>
      <c r="DV183" s="183"/>
      <c r="DW183" s="183"/>
      <c r="DX183" s="183"/>
      <c r="DY183" s="183"/>
      <c r="DZ183" s="183"/>
      <c r="EA183" s="183"/>
      <c r="EB183" s="183"/>
      <c r="EC183" s="183"/>
      <c r="ED183" s="183"/>
      <c r="EE183" s="183"/>
      <c r="EF183" s="183"/>
      <c r="EG183" s="183"/>
      <c r="EH183" s="183"/>
      <c r="EI183" s="183"/>
      <c r="EJ183" s="183"/>
      <c r="EK183" s="183"/>
      <c r="EL183" s="183"/>
      <c r="EM183" s="183"/>
      <c r="EN183" s="183"/>
      <c r="EO183" s="183"/>
      <c r="EP183" s="183"/>
      <c r="EQ183" s="183"/>
      <c r="ER183" s="183"/>
      <c r="ES183" s="183"/>
      <c r="ET183" s="183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</row>
    <row r="184" spans="1:258" ht="13.5" customHeight="1">
      <c r="A184" s="49"/>
      <c r="B184" s="2"/>
      <c r="C184" s="2"/>
      <c r="D184" s="2"/>
      <c r="E184" s="2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83"/>
      <c r="AM184" s="183"/>
      <c r="AN184" s="183"/>
      <c r="AO184" s="183"/>
      <c r="AP184" s="183"/>
      <c r="AQ184" s="183"/>
      <c r="AR184" s="183"/>
      <c r="AS184" s="183"/>
      <c r="AT184" s="183"/>
      <c r="AU184" s="183"/>
      <c r="AV184" s="183"/>
      <c r="AW184" s="183"/>
      <c r="AX184" s="183"/>
      <c r="AY184" s="183"/>
      <c r="AZ184" s="183"/>
      <c r="BA184" s="183"/>
      <c r="BB184" s="183"/>
      <c r="BC184" s="183"/>
      <c r="BD184" s="183"/>
      <c r="BE184" s="183"/>
      <c r="BF184" s="183"/>
      <c r="BG184" s="183"/>
      <c r="BH184" s="183"/>
      <c r="BI184" s="183"/>
      <c r="BJ184" s="183"/>
      <c r="BK184" s="183"/>
      <c r="BL184" s="183"/>
      <c r="BM184" s="183"/>
      <c r="BN184" s="183"/>
      <c r="BO184" s="183"/>
      <c r="BP184" s="183"/>
      <c r="BQ184" s="183"/>
      <c r="BR184" s="183"/>
      <c r="BS184" s="183"/>
      <c r="BT184" s="183"/>
      <c r="BU184" s="183"/>
      <c r="BV184" s="183"/>
      <c r="BW184" s="183"/>
      <c r="BX184" s="183"/>
      <c r="BY184" s="183"/>
      <c r="BZ184" s="183"/>
      <c r="CA184" s="183"/>
      <c r="CB184" s="183"/>
      <c r="CC184" s="183"/>
      <c r="CD184" s="183"/>
      <c r="CE184" s="183"/>
      <c r="CF184" s="183"/>
      <c r="CG184" s="183"/>
      <c r="CH184" s="183"/>
      <c r="CI184" s="183"/>
      <c r="CJ184" s="183"/>
      <c r="CK184" s="183"/>
      <c r="CL184" s="183"/>
      <c r="CM184" s="183"/>
      <c r="CN184" s="183"/>
      <c r="CO184" s="183"/>
      <c r="CP184" s="183"/>
      <c r="CQ184" s="183"/>
      <c r="CR184" s="183"/>
      <c r="CS184" s="183"/>
      <c r="CT184" s="183"/>
      <c r="CU184" s="183"/>
      <c r="CV184" s="183"/>
      <c r="CW184" s="183"/>
      <c r="CX184" s="183"/>
      <c r="CY184" s="183"/>
      <c r="CZ184" s="183"/>
      <c r="DA184" s="183"/>
      <c r="DB184" s="183"/>
      <c r="DC184" s="183"/>
      <c r="DD184" s="183"/>
      <c r="DE184" s="183"/>
      <c r="DF184" s="183"/>
      <c r="DG184" s="183"/>
      <c r="DH184" s="183"/>
      <c r="DI184" s="183"/>
      <c r="DJ184" s="183"/>
      <c r="DK184" s="183"/>
      <c r="DL184" s="183"/>
      <c r="DM184" s="183"/>
      <c r="DN184" s="183"/>
      <c r="DO184" s="183"/>
      <c r="DP184" s="183"/>
      <c r="DQ184" s="183"/>
      <c r="DR184" s="183"/>
      <c r="DS184" s="183"/>
      <c r="DT184" s="183"/>
      <c r="DU184" s="183"/>
      <c r="DV184" s="183"/>
      <c r="DW184" s="183"/>
      <c r="DX184" s="183"/>
      <c r="DY184" s="183"/>
      <c r="DZ184" s="183"/>
      <c r="EA184" s="183"/>
      <c r="EB184" s="183"/>
      <c r="EC184" s="183"/>
      <c r="ED184" s="183"/>
      <c r="EE184" s="183"/>
      <c r="EF184" s="183"/>
      <c r="EG184" s="183"/>
      <c r="EH184" s="183"/>
      <c r="EI184" s="183"/>
      <c r="EJ184" s="183"/>
      <c r="EK184" s="183"/>
      <c r="EL184" s="183"/>
      <c r="EM184" s="183"/>
      <c r="EN184" s="183"/>
      <c r="EO184" s="183"/>
      <c r="EP184" s="183"/>
      <c r="EQ184" s="183"/>
      <c r="ER184" s="183"/>
      <c r="ES184" s="183"/>
      <c r="ET184" s="183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</row>
    <row r="185" spans="1:258" ht="13.5" customHeight="1">
      <c r="A185" s="49"/>
      <c r="B185" s="2"/>
      <c r="C185" s="2"/>
      <c r="D185" s="2"/>
      <c r="E185" s="2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83"/>
      <c r="AM185" s="183"/>
      <c r="AN185" s="183"/>
      <c r="AO185" s="183"/>
      <c r="AP185" s="183"/>
      <c r="AQ185" s="183"/>
      <c r="AR185" s="183"/>
      <c r="AS185" s="183"/>
      <c r="AT185" s="183"/>
      <c r="AU185" s="183"/>
      <c r="AV185" s="183"/>
      <c r="AW185" s="183"/>
      <c r="AX185" s="183"/>
      <c r="AY185" s="183"/>
      <c r="AZ185" s="183"/>
      <c r="BA185" s="183"/>
      <c r="BB185" s="183"/>
      <c r="BC185" s="183"/>
      <c r="BD185" s="183"/>
      <c r="BE185" s="183"/>
      <c r="BF185" s="183"/>
      <c r="BG185" s="183"/>
      <c r="BH185" s="183"/>
      <c r="BI185" s="183"/>
      <c r="BJ185" s="183"/>
      <c r="BK185" s="183"/>
      <c r="BL185" s="183"/>
      <c r="BM185" s="183"/>
      <c r="BN185" s="183"/>
      <c r="BO185" s="183"/>
      <c r="BP185" s="183"/>
      <c r="BQ185" s="183"/>
      <c r="BR185" s="183"/>
      <c r="BS185" s="183"/>
      <c r="BT185" s="183"/>
      <c r="BU185" s="183"/>
      <c r="BV185" s="183"/>
      <c r="BW185" s="183"/>
      <c r="BX185" s="183"/>
      <c r="BY185" s="183"/>
      <c r="BZ185" s="183"/>
      <c r="CA185" s="183"/>
      <c r="CB185" s="183"/>
      <c r="CC185" s="183"/>
      <c r="CD185" s="183"/>
      <c r="CE185" s="183"/>
      <c r="CF185" s="183"/>
      <c r="CG185" s="183"/>
      <c r="CH185" s="183"/>
      <c r="CI185" s="183"/>
      <c r="CJ185" s="183"/>
      <c r="CK185" s="183"/>
      <c r="CL185" s="183"/>
      <c r="CM185" s="183"/>
      <c r="CN185" s="183"/>
      <c r="CO185" s="183"/>
      <c r="CP185" s="183"/>
      <c r="CQ185" s="183"/>
      <c r="CR185" s="183"/>
      <c r="CS185" s="183"/>
      <c r="CT185" s="183"/>
      <c r="CU185" s="183"/>
      <c r="CV185" s="183"/>
      <c r="CW185" s="183"/>
      <c r="CX185" s="183"/>
      <c r="CY185" s="183"/>
      <c r="CZ185" s="183"/>
      <c r="DA185" s="183"/>
      <c r="DB185" s="183"/>
      <c r="DC185" s="183"/>
      <c r="DD185" s="183"/>
      <c r="DE185" s="183"/>
      <c r="DF185" s="183"/>
      <c r="DG185" s="183"/>
      <c r="DH185" s="183"/>
      <c r="DI185" s="183"/>
      <c r="DJ185" s="183"/>
      <c r="DK185" s="183"/>
      <c r="DL185" s="183"/>
      <c r="DM185" s="183"/>
      <c r="DN185" s="183"/>
      <c r="DO185" s="183"/>
      <c r="DP185" s="183"/>
      <c r="DQ185" s="183"/>
      <c r="DR185" s="183"/>
      <c r="DS185" s="183"/>
      <c r="DT185" s="183"/>
      <c r="DU185" s="183"/>
      <c r="DV185" s="183"/>
      <c r="DW185" s="183"/>
      <c r="DX185" s="183"/>
      <c r="DY185" s="183"/>
      <c r="DZ185" s="183"/>
      <c r="EA185" s="183"/>
      <c r="EB185" s="183"/>
      <c r="EC185" s="183"/>
      <c r="ED185" s="183"/>
      <c r="EE185" s="183"/>
      <c r="EF185" s="183"/>
      <c r="EG185" s="183"/>
      <c r="EH185" s="183"/>
      <c r="EI185" s="183"/>
      <c r="EJ185" s="183"/>
      <c r="EK185" s="183"/>
      <c r="EL185" s="183"/>
      <c r="EM185" s="183"/>
      <c r="EN185" s="183"/>
      <c r="EO185" s="183"/>
      <c r="EP185" s="183"/>
      <c r="EQ185" s="183"/>
      <c r="ER185" s="183"/>
      <c r="ES185" s="183"/>
      <c r="ET185" s="183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</row>
    <row r="186" spans="1:258" ht="13.5" customHeight="1">
      <c r="A186" s="49"/>
      <c r="B186" s="2"/>
      <c r="C186" s="2"/>
      <c r="D186" s="2"/>
      <c r="E186" s="2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83"/>
      <c r="AM186" s="183"/>
      <c r="AN186" s="183"/>
      <c r="AO186" s="183"/>
      <c r="AP186" s="183"/>
      <c r="AQ186" s="183"/>
      <c r="AR186" s="183"/>
      <c r="AS186" s="183"/>
      <c r="AT186" s="183"/>
      <c r="AU186" s="183"/>
      <c r="AV186" s="183"/>
      <c r="AW186" s="183"/>
      <c r="AX186" s="183"/>
      <c r="AY186" s="183"/>
      <c r="AZ186" s="183"/>
      <c r="BA186" s="183"/>
      <c r="BB186" s="183"/>
      <c r="BC186" s="183"/>
      <c r="BD186" s="183"/>
      <c r="BE186" s="183"/>
      <c r="BF186" s="183"/>
      <c r="BG186" s="183"/>
      <c r="BH186" s="183"/>
      <c r="BI186" s="183"/>
      <c r="BJ186" s="183"/>
      <c r="BK186" s="183"/>
      <c r="BL186" s="183"/>
      <c r="BM186" s="183"/>
      <c r="BN186" s="183"/>
      <c r="BO186" s="183"/>
      <c r="BP186" s="183"/>
      <c r="BQ186" s="183"/>
      <c r="BR186" s="183"/>
      <c r="BS186" s="183"/>
      <c r="BT186" s="183"/>
      <c r="BU186" s="183"/>
      <c r="BV186" s="183"/>
      <c r="BW186" s="183"/>
      <c r="BX186" s="183"/>
      <c r="BY186" s="183"/>
      <c r="BZ186" s="183"/>
      <c r="CA186" s="183"/>
      <c r="CB186" s="183"/>
      <c r="CC186" s="183"/>
      <c r="CD186" s="183"/>
      <c r="CE186" s="183"/>
      <c r="CF186" s="183"/>
      <c r="CG186" s="183"/>
      <c r="CH186" s="183"/>
      <c r="CI186" s="183"/>
      <c r="CJ186" s="183"/>
      <c r="CK186" s="183"/>
      <c r="CL186" s="183"/>
      <c r="CM186" s="183"/>
      <c r="CN186" s="183"/>
      <c r="CO186" s="183"/>
      <c r="CP186" s="183"/>
      <c r="CQ186" s="183"/>
      <c r="CR186" s="183"/>
      <c r="CS186" s="183"/>
      <c r="CT186" s="183"/>
      <c r="CU186" s="183"/>
      <c r="CV186" s="183"/>
      <c r="CW186" s="183"/>
      <c r="CX186" s="183"/>
      <c r="CY186" s="183"/>
      <c r="CZ186" s="183"/>
      <c r="DA186" s="183"/>
      <c r="DB186" s="183"/>
      <c r="DC186" s="183"/>
      <c r="DD186" s="183"/>
      <c r="DE186" s="183"/>
      <c r="DF186" s="183"/>
      <c r="DG186" s="183"/>
      <c r="DH186" s="183"/>
      <c r="DI186" s="183"/>
      <c r="DJ186" s="183"/>
      <c r="DK186" s="183"/>
      <c r="DL186" s="183"/>
      <c r="DM186" s="183"/>
      <c r="DN186" s="183"/>
      <c r="DO186" s="183"/>
      <c r="DP186" s="183"/>
      <c r="DQ186" s="183"/>
      <c r="DR186" s="183"/>
      <c r="DS186" s="183"/>
      <c r="DT186" s="183"/>
      <c r="DU186" s="183"/>
      <c r="DV186" s="183"/>
      <c r="DW186" s="183"/>
      <c r="DX186" s="183"/>
      <c r="DY186" s="183"/>
      <c r="DZ186" s="183"/>
      <c r="EA186" s="183"/>
      <c r="EB186" s="183"/>
      <c r="EC186" s="183"/>
      <c r="ED186" s="183"/>
      <c r="EE186" s="183"/>
      <c r="EF186" s="183"/>
      <c r="EG186" s="183"/>
      <c r="EH186" s="183"/>
      <c r="EI186" s="183"/>
      <c r="EJ186" s="183"/>
      <c r="EK186" s="183"/>
      <c r="EL186" s="183"/>
      <c r="EM186" s="183"/>
      <c r="EN186" s="183"/>
      <c r="EO186" s="183"/>
      <c r="EP186" s="183"/>
      <c r="EQ186" s="183"/>
      <c r="ER186" s="183"/>
      <c r="ES186" s="183"/>
      <c r="ET186" s="183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</row>
    <row r="187" spans="1:258" ht="13.5" customHeight="1">
      <c r="A187" s="49"/>
      <c r="B187" s="2"/>
      <c r="C187" s="2"/>
      <c r="D187" s="2"/>
      <c r="E187" s="2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83"/>
      <c r="AO187" s="183"/>
      <c r="AP187" s="183"/>
      <c r="AQ187" s="183"/>
      <c r="AR187" s="183"/>
      <c r="AS187" s="183"/>
      <c r="AT187" s="183"/>
      <c r="AU187" s="183"/>
      <c r="AV187" s="183"/>
      <c r="AW187" s="183"/>
      <c r="AX187" s="183"/>
      <c r="AY187" s="183"/>
      <c r="AZ187" s="183"/>
      <c r="BA187" s="183"/>
      <c r="BB187" s="183"/>
      <c r="BC187" s="183"/>
      <c r="BD187" s="183"/>
      <c r="BE187" s="183"/>
      <c r="BF187" s="183"/>
      <c r="BG187" s="183"/>
      <c r="BH187" s="183"/>
      <c r="BI187" s="183"/>
      <c r="BJ187" s="183"/>
      <c r="BK187" s="183"/>
      <c r="BL187" s="183"/>
      <c r="BM187" s="183"/>
      <c r="BN187" s="183"/>
      <c r="BO187" s="183"/>
      <c r="BP187" s="183"/>
      <c r="BQ187" s="183"/>
      <c r="BR187" s="183"/>
      <c r="BS187" s="183"/>
      <c r="BT187" s="183"/>
      <c r="BU187" s="183"/>
      <c r="BV187" s="183"/>
      <c r="BW187" s="183"/>
      <c r="BX187" s="183"/>
      <c r="BY187" s="183"/>
      <c r="BZ187" s="183"/>
      <c r="CA187" s="183"/>
      <c r="CB187" s="183"/>
      <c r="CC187" s="183"/>
      <c r="CD187" s="183"/>
      <c r="CE187" s="183"/>
      <c r="CF187" s="183"/>
      <c r="CG187" s="183"/>
      <c r="CH187" s="183"/>
      <c r="CI187" s="183"/>
      <c r="CJ187" s="183"/>
      <c r="CK187" s="183"/>
      <c r="CL187" s="183"/>
      <c r="CM187" s="183"/>
      <c r="CN187" s="183"/>
      <c r="CO187" s="183"/>
      <c r="CP187" s="183"/>
      <c r="CQ187" s="183"/>
      <c r="CR187" s="183"/>
      <c r="CS187" s="183"/>
      <c r="CT187" s="183"/>
      <c r="CU187" s="183"/>
      <c r="CV187" s="183"/>
      <c r="CW187" s="183"/>
      <c r="CX187" s="183"/>
      <c r="CY187" s="183"/>
      <c r="CZ187" s="183"/>
      <c r="DA187" s="183"/>
      <c r="DB187" s="183"/>
      <c r="DC187" s="183"/>
      <c r="DD187" s="183"/>
      <c r="DE187" s="183"/>
      <c r="DF187" s="183"/>
      <c r="DG187" s="183"/>
      <c r="DH187" s="183"/>
      <c r="DI187" s="183"/>
      <c r="DJ187" s="183"/>
      <c r="DK187" s="183"/>
      <c r="DL187" s="183"/>
      <c r="DM187" s="183"/>
      <c r="DN187" s="183"/>
      <c r="DO187" s="183"/>
      <c r="DP187" s="183"/>
      <c r="DQ187" s="183"/>
      <c r="DR187" s="183"/>
      <c r="DS187" s="183"/>
      <c r="DT187" s="183"/>
      <c r="DU187" s="183"/>
      <c r="DV187" s="183"/>
      <c r="DW187" s="183"/>
      <c r="DX187" s="183"/>
      <c r="DY187" s="183"/>
      <c r="DZ187" s="183"/>
      <c r="EA187" s="183"/>
      <c r="EB187" s="183"/>
      <c r="EC187" s="183"/>
      <c r="ED187" s="183"/>
      <c r="EE187" s="183"/>
      <c r="EF187" s="183"/>
      <c r="EG187" s="183"/>
      <c r="EH187" s="183"/>
      <c r="EI187" s="183"/>
      <c r="EJ187" s="183"/>
      <c r="EK187" s="183"/>
      <c r="EL187" s="183"/>
      <c r="EM187" s="183"/>
      <c r="EN187" s="183"/>
      <c r="EO187" s="183"/>
      <c r="EP187" s="183"/>
      <c r="EQ187" s="183"/>
      <c r="ER187" s="183"/>
      <c r="ES187" s="183"/>
      <c r="ET187" s="183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</row>
    <row r="188" spans="1:258" ht="13.5" customHeight="1">
      <c r="A188" s="49"/>
      <c r="B188" s="2"/>
      <c r="C188" s="2"/>
      <c r="D188" s="2"/>
      <c r="E188" s="2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N188" s="183"/>
      <c r="AO188" s="183"/>
      <c r="AP188" s="183"/>
      <c r="AQ188" s="183"/>
      <c r="AR188" s="183"/>
      <c r="AS188" s="183"/>
      <c r="AT188" s="183"/>
      <c r="AU188" s="183"/>
      <c r="AV188" s="183"/>
      <c r="AW188" s="183"/>
      <c r="AX188" s="183"/>
      <c r="AY188" s="183"/>
      <c r="AZ188" s="183"/>
      <c r="BA188" s="183"/>
      <c r="BB188" s="183"/>
      <c r="BC188" s="183"/>
      <c r="BD188" s="183"/>
      <c r="BE188" s="183"/>
      <c r="BF188" s="183"/>
      <c r="BG188" s="183"/>
      <c r="BH188" s="183"/>
      <c r="BI188" s="183"/>
      <c r="BJ188" s="183"/>
      <c r="BK188" s="183"/>
      <c r="BL188" s="183"/>
      <c r="BM188" s="183"/>
      <c r="BN188" s="183"/>
      <c r="BO188" s="183"/>
      <c r="BP188" s="183"/>
      <c r="BQ188" s="183"/>
      <c r="BR188" s="183"/>
      <c r="BS188" s="183"/>
      <c r="BT188" s="183"/>
      <c r="BU188" s="183"/>
      <c r="BV188" s="183"/>
      <c r="BW188" s="183"/>
      <c r="BX188" s="183"/>
      <c r="BY188" s="183"/>
      <c r="BZ188" s="183"/>
      <c r="CA188" s="183"/>
      <c r="CB188" s="183"/>
      <c r="CC188" s="183"/>
      <c r="CD188" s="183"/>
      <c r="CE188" s="183"/>
      <c r="CF188" s="183"/>
      <c r="CG188" s="183"/>
      <c r="CH188" s="183"/>
      <c r="CI188" s="183"/>
      <c r="CJ188" s="183"/>
      <c r="CK188" s="183"/>
      <c r="CL188" s="183"/>
      <c r="CM188" s="183"/>
      <c r="CN188" s="183"/>
      <c r="CO188" s="183"/>
      <c r="CP188" s="183"/>
      <c r="CQ188" s="183"/>
      <c r="CR188" s="183"/>
      <c r="CS188" s="183"/>
      <c r="CT188" s="183"/>
      <c r="CU188" s="183"/>
      <c r="CV188" s="183"/>
      <c r="CW188" s="183"/>
      <c r="CX188" s="183"/>
      <c r="CY188" s="183"/>
      <c r="CZ188" s="183"/>
      <c r="DA188" s="183"/>
      <c r="DB188" s="183"/>
      <c r="DC188" s="183"/>
      <c r="DD188" s="183"/>
      <c r="DE188" s="183"/>
      <c r="DF188" s="183"/>
      <c r="DG188" s="183"/>
      <c r="DH188" s="183"/>
      <c r="DI188" s="183"/>
      <c r="DJ188" s="183"/>
      <c r="DK188" s="183"/>
      <c r="DL188" s="183"/>
      <c r="DM188" s="183"/>
      <c r="DN188" s="183"/>
      <c r="DO188" s="183"/>
      <c r="DP188" s="183"/>
      <c r="DQ188" s="183"/>
      <c r="DR188" s="183"/>
      <c r="DS188" s="183"/>
      <c r="DT188" s="183"/>
      <c r="DU188" s="183"/>
      <c r="DV188" s="183"/>
      <c r="DW188" s="183"/>
      <c r="DX188" s="183"/>
      <c r="DY188" s="183"/>
      <c r="DZ188" s="183"/>
      <c r="EA188" s="183"/>
      <c r="EB188" s="183"/>
      <c r="EC188" s="183"/>
      <c r="ED188" s="183"/>
      <c r="EE188" s="183"/>
      <c r="EF188" s="183"/>
      <c r="EG188" s="183"/>
      <c r="EH188" s="183"/>
      <c r="EI188" s="183"/>
      <c r="EJ188" s="183"/>
      <c r="EK188" s="183"/>
      <c r="EL188" s="183"/>
      <c r="EM188" s="183"/>
      <c r="EN188" s="183"/>
      <c r="EO188" s="183"/>
      <c r="EP188" s="183"/>
      <c r="EQ188" s="183"/>
      <c r="ER188" s="183"/>
      <c r="ES188" s="183"/>
      <c r="ET188" s="183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</row>
    <row r="189" spans="1:258" ht="13.5" customHeight="1">
      <c r="A189" s="49"/>
      <c r="B189" s="2"/>
      <c r="C189" s="2"/>
      <c r="D189" s="2"/>
      <c r="E189" s="2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83"/>
      <c r="AM189" s="183"/>
      <c r="AN189" s="183"/>
      <c r="AO189" s="183"/>
      <c r="AP189" s="183"/>
      <c r="AQ189" s="183"/>
      <c r="AR189" s="183"/>
      <c r="AS189" s="183"/>
      <c r="AT189" s="183"/>
      <c r="AU189" s="183"/>
      <c r="AV189" s="183"/>
      <c r="AW189" s="183"/>
      <c r="AX189" s="183"/>
      <c r="AY189" s="183"/>
      <c r="AZ189" s="183"/>
      <c r="BA189" s="183"/>
      <c r="BB189" s="183"/>
      <c r="BC189" s="183"/>
      <c r="BD189" s="183"/>
      <c r="BE189" s="183"/>
      <c r="BF189" s="183"/>
      <c r="BG189" s="183"/>
      <c r="BH189" s="183"/>
      <c r="BI189" s="183"/>
      <c r="BJ189" s="183"/>
      <c r="BK189" s="183"/>
      <c r="BL189" s="183"/>
      <c r="BM189" s="183"/>
      <c r="BN189" s="183"/>
      <c r="BO189" s="183"/>
      <c r="BP189" s="183"/>
      <c r="BQ189" s="183"/>
      <c r="BR189" s="183"/>
      <c r="BS189" s="183"/>
      <c r="BT189" s="183"/>
      <c r="BU189" s="183"/>
      <c r="BV189" s="183"/>
      <c r="BW189" s="183"/>
      <c r="BX189" s="183"/>
      <c r="BY189" s="183"/>
      <c r="BZ189" s="183"/>
      <c r="CA189" s="183"/>
      <c r="CB189" s="183"/>
      <c r="CC189" s="183"/>
      <c r="CD189" s="183"/>
      <c r="CE189" s="183"/>
      <c r="CF189" s="183"/>
      <c r="CG189" s="183"/>
      <c r="CH189" s="183"/>
      <c r="CI189" s="183"/>
      <c r="CJ189" s="183"/>
      <c r="CK189" s="183"/>
      <c r="CL189" s="183"/>
      <c r="CM189" s="183"/>
      <c r="CN189" s="183"/>
      <c r="CO189" s="183"/>
      <c r="CP189" s="183"/>
      <c r="CQ189" s="183"/>
      <c r="CR189" s="183"/>
      <c r="CS189" s="183"/>
      <c r="CT189" s="183"/>
      <c r="CU189" s="183"/>
      <c r="CV189" s="183"/>
      <c r="CW189" s="183"/>
      <c r="CX189" s="183"/>
      <c r="CY189" s="183"/>
      <c r="CZ189" s="183"/>
      <c r="DA189" s="183"/>
      <c r="DB189" s="183"/>
      <c r="DC189" s="183"/>
      <c r="DD189" s="183"/>
      <c r="DE189" s="183"/>
      <c r="DF189" s="183"/>
      <c r="DG189" s="183"/>
      <c r="DH189" s="183"/>
      <c r="DI189" s="183"/>
      <c r="DJ189" s="183"/>
      <c r="DK189" s="183"/>
      <c r="DL189" s="183"/>
      <c r="DM189" s="183"/>
      <c r="DN189" s="183"/>
      <c r="DO189" s="183"/>
      <c r="DP189" s="183"/>
      <c r="DQ189" s="183"/>
      <c r="DR189" s="183"/>
      <c r="DS189" s="183"/>
      <c r="DT189" s="183"/>
      <c r="DU189" s="183"/>
      <c r="DV189" s="183"/>
      <c r="DW189" s="183"/>
      <c r="DX189" s="183"/>
      <c r="DY189" s="183"/>
      <c r="DZ189" s="183"/>
      <c r="EA189" s="183"/>
      <c r="EB189" s="183"/>
      <c r="EC189" s="183"/>
      <c r="ED189" s="183"/>
      <c r="EE189" s="183"/>
      <c r="EF189" s="183"/>
      <c r="EG189" s="183"/>
      <c r="EH189" s="183"/>
      <c r="EI189" s="183"/>
      <c r="EJ189" s="183"/>
      <c r="EK189" s="183"/>
      <c r="EL189" s="183"/>
      <c r="EM189" s="183"/>
      <c r="EN189" s="183"/>
      <c r="EO189" s="183"/>
      <c r="EP189" s="183"/>
      <c r="EQ189" s="183"/>
      <c r="ER189" s="183"/>
      <c r="ES189" s="183"/>
      <c r="ET189" s="183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</row>
    <row r="190" spans="1:258" ht="13.5" customHeight="1">
      <c r="A190" s="49"/>
      <c r="B190" s="2"/>
      <c r="C190" s="2"/>
      <c r="D190" s="2"/>
      <c r="E190" s="2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83"/>
      <c r="AO190" s="183"/>
      <c r="AP190" s="183"/>
      <c r="AQ190" s="183"/>
      <c r="AR190" s="183"/>
      <c r="AS190" s="183"/>
      <c r="AT190" s="183"/>
      <c r="AU190" s="183"/>
      <c r="AV190" s="183"/>
      <c r="AW190" s="183"/>
      <c r="AX190" s="183"/>
      <c r="AY190" s="183"/>
      <c r="AZ190" s="183"/>
      <c r="BA190" s="183"/>
      <c r="BB190" s="183"/>
      <c r="BC190" s="183"/>
      <c r="BD190" s="183"/>
      <c r="BE190" s="183"/>
      <c r="BF190" s="183"/>
      <c r="BG190" s="183"/>
      <c r="BH190" s="183"/>
      <c r="BI190" s="183"/>
      <c r="BJ190" s="183"/>
      <c r="BK190" s="183"/>
      <c r="BL190" s="183"/>
      <c r="BM190" s="183"/>
      <c r="BN190" s="183"/>
      <c r="BO190" s="183"/>
      <c r="BP190" s="183"/>
      <c r="BQ190" s="183"/>
      <c r="BR190" s="183"/>
      <c r="BS190" s="183"/>
      <c r="BT190" s="183"/>
      <c r="BU190" s="183"/>
      <c r="BV190" s="183"/>
      <c r="BW190" s="183"/>
      <c r="BX190" s="183"/>
      <c r="BY190" s="183"/>
      <c r="BZ190" s="183"/>
      <c r="CA190" s="183"/>
      <c r="CB190" s="183"/>
      <c r="CC190" s="183"/>
      <c r="CD190" s="183"/>
      <c r="CE190" s="183"/>
      <c r="CF190" s="183"/>
      <c r="CG190" s="183"/>
      <c r="CH190" s="183"/>
      <c r="CI190" s="183"/>
      <c r="CJ190" s="183"/>
      <c r="CK190" s="183"/>
      <c r="CL190" s="183"/>
      <c r="CM190" s="183"/>
      <c r="CN190" s="183"/>
      <c r="CO190" s="183"/>
      <c r="CP190" s="183"/>
      <c r="CQ190" s="183"/>
      <c r="CR190" s="183"/>
      <c r="CS190" s="183"/>
      <c r="CT190" s="183"/>
      <c r="CU190" s="183"/>
      <c r="CV190" s="183"/>
      <c r="CW190" s="183"/>
      <c r="CX190" s="183"/>
      <c r="CY190" s="183"/>
      <c r="CZ190" s="183"/>
      <c r="DA190" s="183"/>
      <c r="DB190" s="183"/>
      <c r="DC190" s="183"/>
      <c r="DD190" s="183"/>
      <c r="DE190" s="183"/>
      <c r="DF190" s="183"/>
      <c r="DG190" s="183"/>
      <c r="DH190" s="183"/>
      <c r="DI190" s="183"/>
      <c r="DJ190" s="183"/>
      <c r="DK190" s="183"/>
      <c r="DL190" s="183"/>
      <c r="DM190" s="183"/>
      <c r="DN190" s="183"/>
      <c r="DO190" s="183"/>
      <c r="DP190" s="183"/>
      <c r="DQ190" s="183"/>
      <c r="DR190" s="183"/>
      <c r="DS190" s="183"/>
      <c r="DT190" s="183"/>
      <c r="DU190" s="183"/>
      <c r="DV190" s="183"/>
      <c r="DW190" s="183"/>
      <c r="DX190" s="183"/>
      <c r="DY190" s="183"/>
      <c r="DZ190" s="183"/>
      <c r="EA190" s="183"/>
      <c r="EB190" s="183"/>
      <c r="EC190" s="183"/>
      <c r="ED190" s="183"/>
      <c r="EE190" s="183"/>
      <c r="EF190" s="183"/>
      <c r="EG190" s="183"/>
      <c r="EH190" s="183"/>
      <c r="EI190" s="183"/>
      <c r="EJ190" s="183"/>
      <c r="EK190" s="183"/>
      <c r="EL190" s="183"/>
      <c r="EM190" s="183"/>
      <c r="EN190" s="183"/>
      <c r="EO190" s="183"/>
      <c r="EP190" s="183"/>
      <c r="EQ190" s="183"/>
      <c r="ER190" s="183"/>
      <c r="ES190" s="183"/>
      <c r="ET190" s="183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</row>
    <row r="191" spans="1:258" ht="13.5" customHeight="1">
      <c r="A191" s="49"/>
      <c r="B191" s="2"/>
      <c r="C191" s="2"/>
      <c r="D191" s="2"/>
      <c r="E191" s="2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  <c r="AP191" s="183"/>
      <c r="AQ191" s="183"/>
      <c r="AR191" s="183"/>
      <c r="AS191" s="183"/>
      <c r="AT191" s="183"/>
      <c r="AU191" s="183"/>
      <c r="AV191" s="183"/>
      <c r="AW191" s="183"/>
      <c r="AX191" s="183"/>
      <c r="AY191" s="183"/>
      <c r="AZ191" s="183"/>
      <c r="BA191" s="183"/>
      <c r="BB191" s="183"/>
      <c r="BC191" s="183"/>
      <c r="BD191" s="183"/>
      <c r="BE191" s="183"/>
      <c r="BF191" s="183"/>
      <c r="BG191" s="183"/>
      <c r="BH191" s="183"/>
      <c r="BI191" s="183"/>
      <c r="BJ191" s="183"/>
      <c r="BK191" s="183"/>
      <c r="BL191" s="183"/>
      <c r="BM191" s="183"/>
      <c r="BN191" s="183"/>
      <c r="BO191" s="183"/>
      <c r="BP191" s="183"/>
      <c r="BQ191" s="183"/>
      <c r="BR191" s="183"/>
      <c r="BS191" s="183"/>
      <c r="BT191" s="183"/>
      <c r="BU191" s="183"/>
      <c r="BV191" s="183"/>
      <c r="BW191" s="183"/>
      <c r="BX191" s="183"/>
      <c r="BY191" s="183"/>
      <c r="BZ191" s="183"/>
      <c r="CA191" s="183"/>
      <c r="CB191" s="183"/>
      <c r="CC191" s="183"/>
      <c r="CD191" s="183"/>
      <c r="CE191" s="183"/>
      <c r="CF191" s="183"/>
      <c r="CG191" s="183"/>
      <c r="CH191" s="183"/>
      <c r="CI191" s="183"/>
      <c r="CJ191" s="183"/>
      <c r="CK191" s="183"/>
      <c r="CL191" s="183"/>
      <c r="CM191" s="183"/>
      <c r="CN191" s="183"/>
      <c r="CO191" s="183"/>
      <c r="CP191" s="183"/>
      <c r="CQ191" s="183"/>
      <c r="CR191" s="183"/>
      <c r="CS191" s="183"/>
      <c r="CT191" s="183"/>
      <c r="CU191" s="183"/>
      <c r="CV191" s="183"/>
      <c r="CW191" s="183"/>
      <c r="CX191" s="183"/>
      <c r="CY191" s="183"/>
      <c r="CZ191" s="183"/>
      <c r="DA191" s="183"/>
      <c r="DB191" s="183"/>
      <c r="DC191" s="183"/>
      <c r="DD191" s="183"/>
      <c r="DE191" s="183"/>
      <c r="DF191" s="183"/>
      <c r="DG191" s="183"/>
      <c r="DH191" s="183"/>
      <c r="DI191" s="183"/>
      <c r="DJ191" s="183"/>
      <c r="DK191" s="183"/>
      <c r="DL191" s="183"/>
      <c r="DM191" s="183"/>
      <c r="DN191" s="183"/>
      <c r="DO191" s="183"/>
      <c r="DP191" s="183"/>
      <c r="DQ191" s="183"/>
      <c r="DR191" s="183"/>
      <c r="DS191" s="183"/>
      <c r="DT191" s="183"/>
      <c r="DU191" s="183"/>
      <c r="DV191" s="183"/>
      <c r="DW191" s="183"/>
      <c r="DX191" s="183"/>
      <c r="DY191" s="183"/>
      <c r="DZ191" s="183"/>
      <c r="EA191" s="183"/>
      <c r="EB191" s="183"/>
      <c r="EC191" s="183"/>
      <c r="ED191" s="183"/>
      <c r="EE191" s="183"/>
      <c r="EF191" s="183"/>
      <c r="EG191" s="183"/>
      <c r="EH191" s="183"/>
      <c r="EI191" s="183"/>
      <c r="EJ191" s="183"/>
      <c r="EK191" s="183"/>
      <c r="EL191" s="183"/>
      <c r="EM191" s="183"/>
      <c r="EN191" s="183"/>
      <c r="EO191" s="183"/>
      <c r="EP191" s="183"/>
      <c r="EQ191" s="183"/>
      <c r="ER191" s="183"/>
      <c r="ES191" s="183"/>
      <c r="ET191" s="183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</row>
    <row r="192" spans="1:258" ht="13.5" customHeight="1">
      <c r="A192" s="49"/>
      <c r="B192" s="2"/>
      <c r="C192" s="2"/>
      <c r="D192" s="2"/>
      <c r="E192" s="2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  <c r="AP192" s="183"/>
      <c r="AQ192" s="183"/>
      <c r="AR192" s="183"/>
      <c r="AS192" s="183"/>
      <c r="AT192" s="183"/>
      <c r="AU192" s="183"/>
      <c r="AV192" s="183"/>
      <c r="AW192" s="183"/>
      <c r="AX192" s="183"/>
      <c r="AY192" s="183"/>
      <c r="AZ192" s="183"/>
      <c r="BA192" s="183"/>
      <c r="BB192" s="183"/>
      <c r="BC192" s="183"/>
      <c r="BD192" s="183"/>
      <c r="BE192" s="183"/>
      <c r="BF192" s="183"/>
      <c r="BG192" s="183"/>
      <c r="BH192" s="183"/>
      <c r="BI192" s="183"/>
      <c r="BJ192" s="183"/>
      <c r="BK192" s="183"/>
      <c r="BL192" s="183"/>
      <c r="BM192" s="183"/>
      <c r="BN192" s="183"/>
      <c r="BO192" s="183"/>
      <c r="BP192" s="183"/>
      <c r="BQ192" s="183"/>
      <c r="BR192" s="183"/>
      <c r="BS192" s="183"/>
      <c r="BT192" s="183"/>
      <c r="BU192" s="183"/>
      <c r="BV192" s="183"/>
      <c r="BW192" s="183"/>
      <c r="BX192" s="183"/>
      <c r="BY192" s="183"/>
      <c r="BZ192" s="183"/>
      <c r="CA192" s="183"/>
      <c r="CB192" s="183"/>
      <c r="CC192" s="183"/>
      <c r="CD192" s="183"/>
      <c r="CE192" s="183"/>
      <c r="CF192" s="183"/>
      <c r="CG192" s="183"/>
      <c r="CH192" s="183"/>
      <c r="CI192" s="183"/>
      <c r="CJ192" s="183"/>
      <c r="CK192" s="183"/>
      <c r="CL192" s="183"/>
      <c r="CM192" s="183"/>
      <c r="CN192" s="183"/>
      <c r="CO192" s="183"/>
      <c r="CP192" s="183"/>
      <c r="CQ192" s="183"/>
      <c r="CR192" s="183"/>
      <c r="CS192" s="183"/>
      <c r="CT192" s="183"/>
      <c r="CU192" s="183"/>
      <c r="CV192" s="183"/>
      <c r="CW192" s="183"/>
      <c r="CX192" s="183"/>
      <c r="CY192" s="183"/>
      <c r="CZ192" s="183"/>
      <c r="DA192" s="183"/>
      <c r="DB192" s="183"/>
      <c r="DC192" s="183"/>
      <c r="DD192" s="183"/>
      <c r="DE192" s="183"/>
      <c r="DF192" s="183"/>
      <c r="DG192" s="183"/>
      <c r="DH192" s="183"/>
      <c r="DI192" s="183"/>
      <c r="DJ192" s="183"/>
      <c r="DK192" s="183"/>
      <c r="DL192" s="183"/>
      <c r="DM192" s="183"/>
      <c r="DN192" s="183"/>
      <c r="DO192" s="183"/>
      <c r="DP192" s="183"/>
      <c r="DQ192" s="183"/>
      <c r="DR192" s="183"/>
      <c r="DS192" s="183"/>
      <c r="DT192" s="183"/>
      <c r="DU192" s="183"/>
      <c r="DV192" s="183"/>
      <c r="DW192" s="183"/>
      <c r="DX192" s="183"/>
      <c r="DY192" s="183"/>
      <c r="DZ192" s="183"/>
      <c r="EA192" s="183"/>
      <c r="EB192" s="183"/>
      <c r="EC192" s="183"/>
      <c r="ED192" s="183"/>
      <c r="EE192" s="183"/>
      <c r="EF192" s="183"/>
      <c r="EG192" s="183"/>
      <c r="EH192" s="183"/>
      <c r="EI192" s="183"/>
      <c r="EJ192" s="183"/>
      <c r="EK192" s="183"/>
      <c r="EL192" s="183"/>
      <c r="EM192" s="183"/>
      <c r="EN192" s="183"/>
      <c r="EO192" s="183"/>
      <c r="EP192" s="183"/>
      <c r="EQ192" s="183"/>
      <c r="ER192" s="183"/>
      <c r="ES192" s="183"/>
      <c r="ET192" s="183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</row>
    <row r="193" spans="1:258" ht="13.5" customHeight="1">
      <c r="A193" s="49"/>
      <c r="B193" s="2"/>
      <c r="C193" s="2"/>
      <c r="D193" s="2"/>
      <c r="E193" s="2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N193" s="183"/>
      <c r="AO193" s="183"/>
      <c r="AP193" s="183"/>
      <c r="AQ193" s="183"/>
      <c r="AR193" s="183"/>
      <c r="AS193" s="183"/>
      <c r="AT193" s="183"/>
      <c r="AU193" s="183"/>
      <c r="AV193" s="183"/>
      <c r="AW193" s="183"/>
      <c r="AX193" s="183"/>
      <c r="AY193" s="183"/>
      <c r="AZ193" s="183"/>
      <c r="BA193" s="183"/>
      <c r="BB193" s="183"/>
      <c r="BC193" s="183"/>
      <c r="BD193" s="183"/>
      <c r="BE193" s="183"/>
      <c r="BF193" s="183"/>
      <c r="BG193" s="183"/>
      <c r="BH193" s="183"/>
      <c r="BI193" s="183"/>
      <c r="BJ193" s="183"/>
      <c r="BK193" s="183"/>
      <c r="BL193" s="183"/>
      <c r="BM193" s="183"/>
      <c r="BN193" s="183"/>
      <c r="BO193" s="183"/>
      <c r="BP193" s="183"/>
      <c r="BQ193" s="183"/>
      <c r="BR193" s="183"/>
      <c r="BS193" s="183"/>
      <c r="BT193" s="183"/>
      <c r="BU193" s="183"/>
      <c r="BV193" s="183"/>
      <c r="BW193" s="183"/>
      <c r="BX193" s="183"/>
      <c r="BY193" s="183"/>
      <c r="BZ193" s="183"/>
      <c r="CA193" s="183"/>
      <c r="CB193" s="183"/>
      <c r="CC193" s="183"/>
      <c r="CD193" s="183"/>
      <c r="CE193" s="183"/>
      <c r="CF193" s="183"/>
      <c r="CG193" s="183"/>
      <c r="CH193" s="183"/>
      <c r="CI193" s="183"/>
      <c r="CJ193" s="183"/>
      <c r="CK193" s="183"/>
      <c r="CL193" s="183"/>
      <c r="CM193" s="183"/>
      <c r="CN193" s="183"/>
      <c r="CO193" s="183"/>
      <c r="CP193" s="183"/>
      <c r="CQ193" s="183"/>
      <c r="CR193" s="183"/>
      <c r="CS193" s="183"/>
      <c r="CT193" s="183"/>
      <c r="CU193" s="183"/>
      <c r="CV193" s="183"/>
      <c r="CW193" s="183"/>
      <c r="CX193" s="183"/>
      <c r="CY193" s="183"/>
      <c r="CZ193" s="183"/>
      <c r="DA193" s="183"/>
      <c r="DB193" s="183"/>
      <c r="DC193" s="183"/>
      <c r="DD193" s="183"/>
      <c r="DE193" s="183"/>
      <c r="DF193" s="183"/>
      <c r="DG193" s="183"/>
      <c r="DH193" s="183"/>
      <c r="DI193" s="183"/>
      <c r="DJ193" s="183"/>
      <c r="DK193" s="183"/>
      <c r="DL193" s="183"/>
      <c r="DM193" s="183"/>
      <c r="DN193" s="183"/>
      <c r="DO193" s="183"/>
      <c r="DP193" s="183"/>
      <c r="DQ193" s="183"/>
      <c r="DR193" s="183"/>
      <c r="DS193" s="183"/>
      <c r="DT193" s="183"/>
      <c r="DU193" s="183"/>
      <c r="DV193" s="183"/>
      <c r="DW193" s="183"/>
      <c r="DX193" s="183"/>
      <c r="DY193" s="183"/>
      <c r="DZ193" s="183"/>
      <c r="EA193" s="183"/>
      <c r="EB193" s="183"/>
      <c r="EC193" s="183"/>
      <c r="ED193" s="183"/>
      <c r="EE193" s="183"/>
      <c r="EF193" s="183"/>
      <c r="EG193" s="183"/>
      <c r="EH193" s="183"/>
      <c r="EI193" s="183"/>
      <c r="EJ193" s="183"/>
      <c r="EK193" s="183"/>
      <c r="EL193" s="183"/>
      <c r="EM193" s="183"/>
      <c r="EN193" s="183"/>
      <c r="EO193" s="183"/>
      <c r="EP193" s="183"/>
      <c r="EQ193" s="183"/>
      <c r="ER193" s="183"/>
      <c r="ES193" s="183"/>
      <c r="ET193" s="183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</row>
    <row r="194" spans="1:258" ht="13.5" customHeight="1">
      <c r="A194" s="49"/>
      <c r="B194" s="2"/>
      <c r="C194" s="2"/>
      <c r="D194" s="2"/>
      <c r="E194" s="2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183"/>
      <c r="AO194" s="183"/>
      <c r="AP194" s="183"/>
      <c r="AQ194" s="183"/>
      <c r="AR194" s="183"/>
      <c r="AS194" s="183"/>
      <c r="AT194" s="183"/>
      <c r="AU194" s="183"/>
      <c r="AV194" s="183"/>
      <c r="AW194" s="183"/>
      <c r="AX194" s="183"/>
      <c r="AY194" s="183"/>
      <c r="AZ194" s="183"/>
      <c r="BA194" s="183"/>
      <c r="BB194" s="183"/>
      <c r="BC194" s="183"/>
      <c r="BD194" s="183"/>
      <c r="BE194" s="183"/>
      <c r="BF194" s="183"/>
      <c r="BG194" s="183"/>
      <c r="BH194" s="183"/>
      <c r="BI194" s="183"/>
      <c r="BJ194" s="183"/>
      <c r="BK194" s="183"/>
      <c r="BL194" s="183"/>
      <c r="BM194" s="183"/>
      <c r="BN194" s="183"/>
      <c r="BO194" s="183"/>
      <c r="BP194" s="183"/>
      <c r="BQ194" s="183"/>
      <c r="BR194" s="183"/>
      <c r="BS194" s="183"/>
      <c r="BT194" s="183"/>
      <c r="BU194" s="183"/>
      <c r="BV194" s="183"/>
      <c r="BW194" s="183"/>
      <c r="BX194" s="183"/>
      <c r="BY194" s="183"/>
      <c r="BZ194" s="183"/>
      <c r="CA194" s="183"/>
      <c r="CB194" s="183"/>
      <c r="CC194" s="183"/>
      <c r="CD194" s="183"/>
      <c r="CE194" s="183"/>
      <c r="CF194" s="183"/>
      <c r="CG194" s="183"/>
      <c r="CH194" s="183"/>
      <c r="CI194" s="183"/>
      <c r="CJ194" s="183"/>
      <c r="CK194" s="183"/>
      <c r="CL194" s="183"/>
      <c r="CM194" s="183"/>
      <c r="CN194" s="183"/>
      <c r="CO194" s="183"/>
      <c r="CP194" s="183"/>
      <c r="CQ194" s="183"/>
      <c r="CR194" s="183"/>
      <c r="CS194" s="183"/>
      <c r="CT194" s="183"/>
      <c r="CU194" s="183"/>
      <c r="CV194" s="183"/>
      <c r="CW194" s="183"/>
      <c r="CX194" s="183"/>
      <c r="CY194" s="183"/>
      <c r="CZ194" s="183"/>
      <c r="DA194" s="183"/>
      <c r="DB194" s="183"/>
      <c r="DC194" s="183"/>
      <c r="DD194" s="183"/>
      <c r="DE194" s="183"/>
      <c r="DF194" s="183"/>
      <c r="DG194" s="183"/>
      <c r="DH194" s="183"/>
      <c r="DI194" s="183"/>
      <c r="DJ194" s="183"/>
      <c r="DK194" s="183"/>
      <c r="DL194" s="183"/>
      <c r="DM194" s="183"/>
      <c r="DN194" s="183"/>
      <c r="DO194" s="183"/>
      <c r="DP194" s="183"/>
      <c r="DQ194" s="183"/>
      <c r="DR194" s="183"/>
      <c r="DS194" s="183"/>
      <c r="DT194" s="183"/>
      <c r="DU194" s="183"/>
      <c r="DV194" s="183"/>
      <c r="DW194" s="183"/>
      <c r="DX194" s="183"/>
      <c r="DY194" s="183"/>
      <c r="DZ194" s="183"/>
      <c r="EA194" s="183"/>
      <c r="EB194" s="183"/>
      <c r="EC194" s="183"/>
      <c r="ED194" s="183"/>
      <c r="EE194" s="183"/>
      <c r="EF194" s="183"/>
      <c r="EG194" s="183"/>
      <c r="EH194" s="183"/>
      <c r="EI194" s="183"/>
      <c r="EJ194" s="183"/>
      <c r="EK194" s="183"/>
      <c r="EL194" s="183"/>
      <c r="EM194" s="183"/>
      <c r="EN194" s="183"/>
      <c r="EO194" s="183"/>
      <c r="EP194" s="183"/>
      <c r="EQ194" s="183"/>
      <c r="ER194" s="183"/>
      <c r="ES194" s="183"/>
      <c r="ET194" s="183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</row>
    <row r="195" spans="1:258" ht="13.5" customHeight="1">
      <c r="A195" s="49"/>
      <c r="B195" s="2"/>
      <c r="C195" s="2"/>
      <c r="D195" s="2"/>
      <c r="E195" s="2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  <c r="AL195" s="183"/>
      <c r="AM195" s="183"/>
      <c r="AN195" s="183"/>
      <c r="AO195" s="183"/>
      <c r="AP195" s="183"/>
      <c r="AQ195" s="183"/>
      <c r="AR195" s="183"/>
      <c r="AS195" s="183"/>
      <c r="AT195" s="183"/>
      <c r="AU195" s="183"/>
      <c r="AV195" s="183"/>
      <c r="AW195" s="183"/>
      <c r="AX195" s="183"/>
      <c r="AY195" s="183"/>
      <c r="AZ195" s="183"/>
      <c r="BA195" s="183"/>
      <c r="BB195" s="183"/>
      <c r="BC195" s="183"/>
      <c r="BD195" s="183"/>
      <c r="BE195" s="183"/>
      <c r="BF195" s="183"/>
      <c r="BG195" s="183"/>
      <c r="BH195" s="183"/>
      <c r="BI195" s="183"/>
      <c r="BJ195" s="183"/>
      <c r="BK195" s="183"/>
      <c r="BL195" s="183"/>
      <c r="BM195" s="183"/>
      <c r="BN195" s="183"/>
      <c r="BO195" s="183"/>
      <c r="BP195" s="183"/>
      <c r="BQ195" s="183"/>
      <c r="BR195" s="183"/>
      <c r="BS195" s="183"/>
      <c r="BT195" s="183"/>
      <c r="BU195" s="183"/>
      <c r="BV195" s="183"/>
      <c r="BW195" s="183"/>
      <c r="BX195" s="183"/>
      <c r="BY195" s="183"/>
      <c r="BZ195" s="183"/>
      <c r="CA195" s="183"/>
      <c r="CB195" s="183"/>
      <c r="CC195" s="183"/>
      <c r="CD195" s="183"/>
      <c r="CE195" s="183"/>
      <c r="CF195" s="183"/>
      <c r="CG195" s="183"/>
      <c r="CH195" s="183"/>
      <c r="CI195" s="183"/>
      <c r="CJ195" s="183"/>
      <c r="CK195" s="183"/>
      <c r="CL195" s="183"/>
      <c r="CM195" s="183"/>
      <c r="CN195" s="183"/>
      <c r="CO195" s="183"/>
      <c r="CP195" s="183"/>
      <c r="CQ195" s="183"/>
      <c r="CR195" s="183"/>
      <c r="CS195" s="183"/>
      <c r="CT195" s="183"/>
      <c r="CU195" s="183"/>
      <c r="CV195" s="183"/>
      <c r="CW195" s="183"/>
      <c r="CX195" s="183"/>
      <c r="CY195" s="183"/>
      <c r="CZ195" s="183"/>
      <c r="DA195" s="183"/>
      <c r="DB195" s="183"/>
      <c r="DC195" s="183"/>
      <c r="DD195" s="183"/>
      <c r="DE195" s="183"/>
      <c r="DF195" s="183"/>
      <c r="DG195" s="183"/>
      <c r="DH195" s="183"/>
      <c r="DI195" s="183"/>
      <c r="DJ195" s="183"/>
      <c r="DK195" s="183"/>
      <c r="DL195" s="183"/>
      <c r="DM195" s="183"/>
      <c r="DN195" s="183"/>
      <c r="DO195" s="183"/>
      <c r="DP195" s="183"/>
      <c r="DQ195" s="183"/>
      <c r="DR195" s="183"/>
      <c r="DS195" s="183"/>
      <c r="DT195" s="183"/>
      <c r="DU195" s="183"/>
      <c r="DV195" s="183"/>
      <c r="DW195" s="183"/>
      <c r="DX195" s="183"/>
      <c r="DY195" s="183"/>
      <c r="DZ195" s="183"/>
      <c r="EA195" s="183"/>
      <c r="EB195" s="183"/>
      <c r="EC195" s="183"/>
      <c r="ED195" s="183"/>
      <c r="EE195" s="183"/>
      <c r="EF195" s="183"/>
      <c r="EG195" s="183"/>
      <c r="EH195" s="183"/>
      <c r="EI195" s="183"/>
      <c r="EJ195" s="183"/>
      <c r="EK195" s="183"/>
      <c r="EL195" s="183"/>
      <c r="EM195" s="183"/>
      <c r="EN195" s="183"/>
      <c r="EO195" s="183"/>
      <c r="EP195" s="183"/>
      <c r="EQ195" s="183"/>
      <c r="ER195" s="183"/>
      <c r="ES195" s="183"/>
      <c r="ET195" s="183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</row>
    <row r="196" spans="1:258" ht="13.5" customHeight="1">
      <c r="A196" s="49"/>
      <c r="B196" s="2"/>
      <c r="C196" s="2"/>
      <c r="D196" s="2"/>
      <c r="E196" s="2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  <c r="AP196" s="183"/>
      <c r="AQ196" s="183"/>
      <c r="AR196" s="183"/>
      <c r="AS196" s="183"/>
      <c r="AT196" s="183"/>
      <c r="AU196" s="183"/>
      <c r="AV196" s="183"/>
      <c r="AW196" s="183"/>
      <c r="AX196" s="183"/>
      <c r="AY196" s="183"/>
      <c r="AZ196" s="183"/>
      <c r="BA196" s="183"/>
      <c r="BB196" s="183"/>
      <c r="BC196" s="183"/>
      <c r="BD196" s="183"/>
      <c r="BE196" s="183"/>
      <c r="BF196" s="183"/>
      <c r="BG196" s="183"/>
      <c r="BH196" s="183"/>
      <c r="BI196" s="183"/>
      <c r="BJ196" s="183"/>
      <c r="BK196" s="183"/>
      <c r="BL196" s="183"/>
      <c r="BM196" s="183"/>
      <c r="BN196" s="183"/>
      <c r="BO196" s="183"/>
      <c r="BP196" s="183"/>
      <c r="BQ196" s="183"/>
      <c r="BR196" s="183"/>
      <c r="BS196" s="183"/>
      <c r="BT196" s="183"/>
      <c r="BU196" s="183"/>
      <c r="BV196" s="183"/>
      <c r="BW196" s="183"/>
      <c r="BX196" s="183"/>
      <c r="BY196" s="183"/>
      <c r="BZ196" s="183"/>
      <c r="CA196" s="183"/>
      <c r="CB196" s="183"/>
      <c r="CC196" s="183"/>
      <c r="CD196" s="183"/>
      <c r="CE196" s="183"/>
      <c r="CF196" s="183"/>
      <c r="CG196" s="183"/>
      <c r="CH196" s="183"/>
      <c r="CI196" s="183"/>
      <c r="CJ196" s="183"/>
      <c r="CK196" s="183"/>
      <c r="CL196" s="183"/>
      <c r="CM196" s="183"/>
      <c r="CN196" s="183"/>
      <c r="CO196" s="183"/>
      <c r="CP196" s="183"/>
      <c r="CQ196" s="183"/>
      <c r="CR196" s="183"/>
      <c r="CS196" s="183"/>
      <c r="CT196" s="183"/>
      <c r="CU196" s="183"/>
      <c r="CV196" s="183"/>
      <c r="CW196" s="183"/>
      <c r="CX196" s="183"/>
      <c r="CY196" s="183"/>
      <c r="CZ196" s="183"/>
      <c r="DA196" s="183"/>
      <c r="DB196" s="183"/>
      <c r="DC196" s="183"/>
      <c r="DD196" s="183"/>
      <c r="DE196" s="183"/>
      <c r="DF196" s="183"/>
      <c r="DG196" s="183"/>
      <c r="DH196" s="183"/>
      <c r="DI196" s="183"/>
      <c r="DJ196" s="183"/>
      <c r="DK196" s="183"/>
      <c r="DL196" s="183"/>
      <c r="DM196" s="183"/>
      <c r="DN196" s="183"/>
      <c r="DO196" s="183"/>
      <c r="DP196" s="183"/>
      <c r="DQ196" s="183"/>
      <c r="DR196" s="183"/>
      <c r="DS196" s="183"/>
      <c r="DT196" s="183"/>
      <c r="DU196" s="183"/>
      <c r="DV196" s="183"/>
      <c r="DW196" s="183"/>
      <c r="DX196" s="183"/>
      <c r="DY196" s="183"/>
      <c r="DZ196" s="183"/>
      <c r="EA196" s="183"/>
      <c r="EB196" s="183"/>
      <c r="EC196" s="183"/>
      <c r="ED196" s="183"/>
      <c r="EE196" s="183"/>
      <c r="EF196" s="183"/>
      <c r="EG196" s="183"/>
      <c r="EH196" s="183"/>
      <c r="EI196" s="183"/>
      <c r="EJ196" s="183"/>
      <c r="EK196" s="183"/>
      <c r="EL196" s="183"/>
      <c r="EM196" s="183"/>
      <c r="EN196" s="183"/>
      <c r="EO196" s="183"/>
      <c r="EP196" s="183"/>
      <c r="EQ196" s="183"/>
      <c r="ER196" s="183"/>
      <c r="ES196" s="183"/>
      <c r="ET196" s="183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</row>
    <row r="197" spans="1:258" ht="13.5" customHeight="1">
      <c r="A197" s="49"/>
      <c r="B197" s="2"/>
      <c r="C197" s="2"/>
      <c r="D197" s="2"/>
      <c r="E197" s="2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183"/>
      <c r="AJ197" s="183"/>
      <c r="AK197" s="183"/>
      <c r="AL197" s="183"/>
      <c r="AM197" s="183"/>
      <c r="AN197" s="183"/>
      <c r="AO197" s="183"/>
      <c r="AP197" s="183"/>
      <c r="AQ197" s="183"/>
      <c r="AR197" s="183"/>
      <c r="AS197" s="183"/>
      <c r="AT197" s="183"/>
      <c r="AU197" s="183"/>
      <c r="AV197" s="183"/>
      <c r="AW197" s="183"/>
      <c r="AX197" s="183"/>
      <c r="AY197" s="183"/>
      <c r="AZ197" s="183"/>
      <c r="BA197" s="183"/>
      <c r="BB197" s="183"/>
      <c r="BC197" s="183"/>
      <c r="BD197" s="183"/>
      <c r="BE197" s="183"/>
      <c r="BF197" s="183"/>
      <c r="BG197" s="183"/>
      <c r="BH197" s="183"/>
      <c r="BI197" s="183"/>
      <c r="BJ197" s="183"/>
      <c r="BK197" s="183"/>
      <c r="BL197" s="183"/>
      <c r="BM197" s="183"/>
      <c r="BN197" s="183"/>
      <c r="BO197" s="183"/>
      <c r="BP197" s="183"/>
      <c r="BQ197" s="183"/>
      <c r="BR197" s="183"/>
      <c r="BS197" s="183"/>
      <c r="BT197" s="183"/>
      <c r="BU197" s="183"/>
      <c r="BV197" s="183"/>
      <c r="BW197" s="183"/>
      <c r="BX197" s="183"/>
      <c r="BY197" s="183"/>
      <c r="BZ197" s="183"/>
      <c r="CA197" s="183"/>
      <c r="CB197" s="183"/>
      <c r="CC197" s="183"/>
      <c r="CD197" s="183"/>
      <c r="CE197" s="183"/>
      <c r="CF197" s="183"/>
      <c r="CG197" s="183"/>
      <c r="CH197" s="183"/>
      <c r="CI197" s="183"/>
      <c r="CJ197" s="183"/>
      <c r="CK197" s="183"/>
      <c r="CL197" s="183"/>
      <c r="CM197" s="183"/>
      <c r="CN197" s="183"/>
      <c r="CO197" s="183"/>
      <c r="CP197" s="183"/>
      <c r="CQ197" s="183"/>
      <c r="CR197" s="183"/>
      <c r="CS197" s="183"/>
      <c r="CT197" s="183"/>
      <c r="CU197" s="183"/>
      <c r="CV197" s="183"/>
      <c r="CW197" s="183"/>
      <c r="CX197" s="183"/>
      <c r="CY197" s="183"/>
      <c r="CZ197" s="183"/>
      <c r="DA197" s="183"/>
      <c r="DB197" s="183"/>
      <c r="DC197" s="183"/>
      <c r="DD197" s="183"/>
      <c r="DE197" s="183"/>
      <c r="DF197" s="183"/>
      <c r="DG197" s="183"/>
      <c r="DH197" s="183"/>
      <c r="DI197" s="183"/>
      <c r="DJ197" s="183"/>
      <c r="DK197" s="183"/>
      <c r="DL197" s="183"/>
      <c r="DM197" s="183"/>
      <c r="DN197" s="183"/>
      <c r="DO197" s="183"/>
      <c r="DP197" s="183"/>
      <c r="DQ197" s="183"/>
      <c r="DR197" s="183"/>
      <c r="DS197" s="183"/>
      <c r="DT197" s="183"/>
      <c r="DU197" s="183"/>
      <c r="DV197" s="183"/>
      <c r="DW197" s="183"/>
      <c r="DX197" s="183"/>
      <c r="DY197" s="183"/>
      <c r="DZ197" s="183"/>
      <c r="EA197" s="183"/>
      <c r="EB197" s="183"/>
      <c r="EC197" s="183"/>
      <c r="ED197" s="183"/>
      <c r="EE197" s="183"/>
      <c r="EF197" s="183"/>
      <c r="EG197" s="183"/>
      <c r="EH197" s="183"/>
      <c r="EI197" s="183"/>
      <c r="EJ197" s="183"/>
      <c r="EK197" s="183"/>
      <c r="EL197" s="183"/>
      <c r="EM197" s="183"/>
      <c r="EN197" s="183"/>
      <c r="EO197" s="183"/>
      <c r="EP197" s="183"/>
      <c r="EQ197" s="183"/>
      <c r="ER197" s="183"/>
      <c r="ES197" s="183"/>
      <c r="ET197" s="183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</row>
    <row r="198" spans="1:258" ht="13.5" customHeight="1">
      <c r="A198" s="49"/>
      <c r="B198" s="2"/>
      <c r="C198" s="2"/>
      <c r="D198" s="2"/>
      <c r="E198" s="2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  <c r="AP198" s="183"/>
      <c r="AQ198" s="183"/>
      <c r="AR198" s="183"/>
      <c r="AS198" s="183"/>
      <c r="AT198" s="183"/>
      <c r="AU198" s="183"/>
      <c r="AV198" s="183"/>
      <c r="AW198" s="183"/>
      <c r="AX198" s="183"/>
      <c r="AY198" s="183"/>
      <c r="AZ198" s="183"/>
      <c r="BA198" s="183"/>
      <c r="BB198" s="183"/>
      <c r="BC198" s="183"/>
      <c r="BD198" s="183"/>
      <c r="BE198" s="183"/>
      <c r="BF198" s="183"/>
      <c r="BG198" s="183"/>
      <c r="BH198" s="183"/>
      <c r="BI198" s="183"/>
      <c r="BJ198" s="183"/>
      <c r="BK198" s="183"/>
      <c r="BL198" s="183"/>
      <c r="BM198" s="183"/>
      <c r="BN198" s="183"/>
      <c r="BO198" s="183"/>
      <c r="BP198" s="183"/>
      <c r="BQ198" s="183"/>
      <c r="BR198" s="183"/>
      <c r="BS198" s="183"/>
      <c r="BT198" s="183"/>
      <c r="BU198" s="183"/>
      <c r="BV198" s="183"/>
      <c r="BW198" s="183"/>
      <c r="BX198" s="183"/>
      <c r="BY198" s="183"/>
      <c r="BZ198" s="183"/>
      <c r="CA198" s="183"/>
      <c r="CB198" s="183"/>
      <c r="CC198" s="183"/>
      <c r="CD198" s="183"/>
      <c r="CE198" s="183"/>
      <c r="CF198" s="183"/>
      <c r="CG198" s="183"/>
      <c r="CH198" s="183"/>
      <c r="CI198" s="183"/>
      <c r="CJ198" s="183"/>
      <c r="CK198" s="183"/>
      <c r="CL198" s="183"/>
      <c r="CM198" s="183"/>
      <c r="CN198" s="183"/>
      <c r="CO198" s="183"/>
      <c r="CP198" s="183"/>
      <c r="CQ198" s="183"/>
      <c r="CR198" s="183"/>
      <c r="CS198" s="183"/>
      <c r="CT198" s="183"/>
      <c r="CU198" s="183"/>
      <c r="CV198" s="183"/>
      <c r="CW198" s="183"/>
      <c r="CX198" s="183"/>
      <c r="CY198" s="183"/>
      <c r="CZ198" s="183"/>
      <c r="DA198" s="183"/>
      <c r="DB198" s="183"/>
      <c r="DC198" s="183"/>
      <c r="DD198" s="183"/>
      <c r="DE198" s="183"/>
      <c r="DF198" s="183"/>
      <c r="DG198" s="183"/>
      <c r="DH198" s="183"/>
      <c r="DI198" s="183"/>
      <c r="DJ198" s="183"/>
      <c r="DK198" s="183"/>
      <c r="DL198" s="183"/>
      <c r="DM198" s="183"/>
      <c r="DN198" s="183"/>
      <c r="DO198" s="183"/>
      <c r="DP198" s="183"/>
      <c r="DQ198" s="183"/>
      <c r="DR198" s="183"/>
      <c r="DS198" s="183"/>
      <c r="DT198" s="183"/>
      <c r="DU198" s="183"/>
      <c r="DV198" s="183"/>
      <c r="DW198" s="183"/>
      <c r="DX198" s="183"/>
      <c r="DY198" s="183"/>
      <c r="DZ198" s="183"/>
      <c r="EA198" s="183"/>
      <c r="EB198" s="183"/>
      <c r="EC198" s="183"/>
      <c r="ED198" s="183"/>
      <c r="EE198" s="183"/>
      <c r="EF198" s="183"/>
      <c r="EG198" s="183"/>
      <c r="EH198" s="183"/>
      <c r="EI198" s="183"/>
      <c r="EJ198" s="183"/>
      <c r="EK198" s="183"/>
      <c r="EL198" s="183"/>
      <c r="EM198" s="183"/>
      <c r="EN198" s="183"/>
      <c r="EO198" s="183"/>
      <c r="EP198" s="183"/>
      <c r="EQ198" s="183"/>
      <c r="ER198" s="183"/>
      <c r="ES198" s="183"/>
      <c r="ET198" s="183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</row>
    <row r="199" spans="1:258" ht="13.5" customHeight="1">
      <c r="A199" s="49"/>
      <c r="B199" s="2"/>
      <c r="C199" s="2"/>
      <c r="D199" s="2"/>
      <c r="E199" s="2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183"/>
      <c r="AJ199" s="183"/>
      <c r="AK199" s="183"/>
      <c r="AL199" s="183"/>
      <c r="AM199" s="183"/>
      <c r="AN199" s="183"/>
      <c r="AO199" s="183"/>
      <c r="AP199" s="183"/>
      <c r="AQ199" s="183"/>
      <c r="AR199" s="183"/>
      <c r="AS199" s="183"/>
      <c r="AT199" s="183"/>
      <c r="AU199" s="183"/>
      <c r="AV199" s="183"/>
      <c r="AW199" s="183"/>
      <c r="AX199" s="183"/>
      <c r="AY199" s="183"/>
      <c r="AZ199" s="183"/>
      <c r="BA199" s="183"/>
      <c r="BB199" s="183"/>
      <c r="BC199" s="183"/>
      <c r="BD199" s="183"/>
      <c r="BE199" s="183"/>
      <c r="BF199" s="183"/>
      <c r="BG199" s="183"/>
      <c r="BH199" s="183"/>
      <c r="BI199" s="183"/>
      <c r="BJ199" s="183"/>
      <c r="BK199" s="183"/>
      <c r="BL199" s="183"/>
      <c r="BM199" s="183"/>
      <c r="BN199" s="183"/>
      <c r="BO199" s="183"/>
      <c r="BP199" s="183"/>
      <c r="BQ199" s="183"/>
      <c r="BR199" s="183"/>
      <c r="BS199" s="183"/>
      <c r="BT199" s="183"/>
      <c r="BU199" s="183"/>
      <c r="BV199" s="183"/>
      <c r="BW199" s="183"/>
      <c r="BX199" s="183"/>
      <c r="BY199" s="183"/>
      <c r="BZ199" s="183"/>
      <c r="CA199" s="183"/>
      <c r="CB199" s="183"/>
      <c r="CC199" s="183"/>
      <c r="CD199" s="183"/>
      <c r="CE199" s="183"/>
      <c r="CF199" s="183"/>
      <c r="CG199" s="183"/>
      <c r="CH199" s="183"/>
      <c r="CI199" s="183"/>
      <c r="CJ199" s="183"/>
      <c r="CK199" s="183"/>
      <c r="CL199" s="183"/>
      <c r="CM199" s="183"/>
      <c r="CN199" s="183"/>
      <c r="CO199" s="183"/>
      <c r="CP199" s="183"/>
      <c r="CQ199" s="183"/>
      <c r="CR199" s="183"/>
      <c r="CS199" s="183"/>
      <c r="CT199" s="183"/>
      <c r="CU199" s="183"/>
      <c r="CV199" s="183"/>
      <c r="CW199" s="183"/>
      <c r="CX199" s="183"/>
      <c r="CY199" s="183"/>
      <c r="CZ199" s="183"/>
      <c r="DA199" s="183"/>
      <c r="DB199" s="183"/>
      <c r="DC199" s="183"/>
      <c r="DD199" s="183"/>
      <c r="DE199" s="183"/>
      <c r="DF199" s="183"/>
      <c r="DG199" s="183"/>
      <c r="DH199" s="183"/>
      <c r="DI199" s="183"/>
      <c r="DJ199" s="183"/>
      <c r="DK199" s="183"/>
      <c r="DL199" s="183"/>
      <c r="DM199" s="183"/>
      <c r="DN199" s="183"/>
      <c r="DO199" s="183"/>
      <c r="DP199" s="183"/>
      <c r="DQ199" s="183"/>
      <c r="DR199" s="183"/>
      <c r="DS199" s="183"/>
      <c r="DT199" s="183"/>
      <c r="DU199" s="183"/>
      <c r="DV199" s="183"/>
      <c r="DW199" s="183"/>
      <c r="DX199" s="183"/>
      <c r="DY199" s="183"/>
      <c r="DZ199" s="183"/>
      <c r="EA199" s="183"/>
      <c r="EB199" s="183"/>
      <c r="EC199" s="183"/>
      <c r="ED199" s="183"/>
      <c r="EE199" s="183"/>
      <c r="EF199" s="183"/>
      <c r="EG199" s="183"/>
      <c r="EH199" s="183"/>
      <c r="EI199" s="183"/>
      <c r="EJ199" s="183"/>
      <c r="EK199" s="183"/>
      <c r="EL199" s="183"/>
      <c r="EM199" s="183"/>
      <c r="EN199" s="183"/>
      <c r="EO199" s="183"/>
      <c r="EP199" s="183"/>
      <c r="EQ199" s="183"/>
      <c r="ER199" s="183"/>
      <c r="ES199" s="183"/>
      <c r="ET199" s="183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</row>
    <row r="200" spans="1:258" ht="13.5" customHeight="1">
      <c r="A200" s="49"/>
      <c r="B200" s="2"/>
      <c r="C200" s="2"/>
      <c r="D200" s="2"/>
      <c r="E200" s="2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183"/>
      <c r="AQ200" s="183"/>
      <c r="AR200" s="183"/>
      <c r="AS200" s="183"/>
      <c r="AT200" s="183"/>
      <c r="AU200" s="183"/>
      <c r="AV200" s="183"/>
      <c r="AW200" s="183"/>
      <c r="AX200" s="183"/>
      <c r="AY200" s="183"/>
      <c r="AZ200" s="183"/>
      <c r="BA200" s="183"/>
      <c r="BB200" s="183"/>
      <c r="BC200" s="183"/>
      <c r="BD200" s="183"/>
      <c r="BE200" s="183"/>
      <c r="BF200" s="183"/>
      <c r="BG200" s="183"/>
      <c r="BH200" s="183"/>
      <c r="BI200" s="183"/>
      <c r="BJ200" s="183"/>
      <c r="BK200" s="183"/>
      <c r="BL200" s="183"/>
      <c r="BM200" s="183"/>
      <c r="BN200" s="183"/>
      <c r="BO200" s="183"/>
      <c r="BP200" s="183"/>
      <c r="BQ200" s="183"/>
      <c r="BR200" s="183"/>
      <c r="BS200" s="183"/>
      <c r="BT200" s="183"/>
      <c r="BU200" s="183"/>
      <c r="BV200" s="183"/>
      <c r="BW200" s="183"/>
      <c r="BX200" s="183"/>
      <c r="BY200" s="183"/>
      <c r="BZ200" s="183"/>
      <c r="CA200" s="183"/>
      <c r="CB200" s="183"/>
      <c r="CC200" s="183"/>
      <c r="CD200" s="183"/>
      <c r="CE200" s="183"/>
      <c r="CF200" s="183"/>
      <c r="CG200" s="183"/>
      <c r="CH200" s="183"/>
      <c r="CI200" s="183"/>
      <c r="CJ200" s="183"/>
      <c r="CK200" s="183"/>
      <c r="CL200" s="183"/>
      <c r="CM200" s="183"/>
      <c r="CN200" s="183"/>
      <c r="CO200" s="183"/>
      <c r="CP200" s="183"/>
      <c r="CQ200" s="183"/>
      <c r="CR200" s="183"/>
      <c r="CS200" s="183"/>
      <c r="CT200" s="183"/>
      <c r="CU200" s="183"/>
      <c r="CV200" s="183"/>
      <c r="CW200" s="183"/>
      <c r="CX200" s="183"/>
      <c r="CY200" s="183"/>
      <c r="CZ200" s="183"/>
      <c r="DA200" s="183"/>
      <c r="DB200" s="183"/>
      <c r="DC200" s="183"/>
      <c r="DD200" s="183"/>
      <c r="DE200" s="183"/>
      <c r="DF200" s="183"/>
      <c r="DG200" s="183"/>
      <c r="DH200" s="183"/>
      <c r="DI200" s="183"/>
      <c r="DJ200" s="183"/>
      <c r="DK200" s="183"/>
      <c r="DL200" s="183"/>
      <c r="DM200" s="183"/>
      <c r="DN200" s="183"/>
      <c r="DO200" s="183"/>
      <c r="DP200" s="183"/>
      <c r="DQ200" s="183"/>
      <c r="DR200" s="183"/>
      <c r="DS200" s="183"/>
      <c r="DT200" s="183"/>
      <c r="DU200" s="183"/>
      <c r="DV200" s="183"/>
      <c r="DW200" s="183"/>
      <c r="DX200" s="183"/>
      <c r="DY200" s="183"/>
      <c r="DZ200" s="183"/>
      <c r="EA200" s="183"/>
      <c r="EB200" s="183"/>
      <c r="EC200" s="183"/>
      <c r="ED200" s="183"/>
      <c r="EE200" s="183"/>
      <c r="EF200" s="183"/>
      <c r="EG200" s="183"/>
      <c r="EH200" s="183"/>
      <c r="EI200" s="183"/>
      <c r="EJ200" s="183"/>
      <c r="EK200" s="183"/>
      <c r="EL200" s="183"/>
      <c r="EM200" s="183"/>
      <c r="EN200" s="183"/>
      <c r="EO200" s="183"/>
      <c r="EP200" s="183"/>
      <c r="EQ200" s="183"/>
      <c r="ER200" s="183"/>
      <c r="ES200" s="183"/>
      <c r="ET200" s="183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</row>
    <row r="201" spans="1:258" ht="13.5" customHeight="1">
      <c r="A201" s="49"/>
      <c r="B201" s="2"/>
      <c r="C201" s="2"/>
      <c r="D201" s="2"/>
      <c r="E201" s="2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  <c r="AP201" s="183"/>
      <c r="AQ201" s="183"/>
      <c r="AR201" s="183"/>
      <c r="AS201" s="183"/>
      <c r="AT201" s="183"/>
      <c r="AU201" s="183"/>
      <c r="AV201" s="183"/>
      <c r="AW201" s="183"/>
      <c r="AX201" s="183"/>
      <c r="AY201" s="183"/>
      <c r="AZ201" s="183"/>
      <c r="BA201" s="183"/>
      <c r="BB201" s="183"/>
      <c r="BC201" s="183"/>
      <c r="BD201" s="183"/>
      <c r="BE201" s="183"/>
      <c r="BF201" s="183"/>
      <c r="BG201" s="183"/>
      <c r="BH201" s="183"/>
      <c r="BI201" s="183"/>
      <c r="BJ201" s="183"/>
      <c r="BK201" s="183"/>
      <c r="BL201" s="183"/>
      <c r="BM201" s="183"/>
      <c r="BN201" s="183"/>
      <c r="BO201" s="183"/>
      <c r="BP201" s="183"/>
      <c r="BQ201" s="183"/>
      <c r="BR201" s="183"/>
      <c r="BS201" s="183"/>
      <c r="BT201" s="183"/>
      <c r="BU201" s="183"/>
      <c r="BV201" s="183"/>
      <c r="BW201" s="183"/>
      <c r="BX201" s="183"/>
      <c r="BY201" s="183"/>
      <c r="BZ201" s="183"/>
      <c r="CA201" s="183"/>
      <c r="CB201" s="183"/>
      <c r="CC201" s="183"/>
      <c r="CD201" s="183"/>
      <c r="CE201" s="183"/>
      <c r="CF201" s="183"/>
      <c r="CG201" s="183"/>
      <c r="CH201" s="183"/>
      <c r="CI201" s="183"/>
      <c r="CJ201" s="183"/>
      <c r="CK201" s="183"/>
      <c r="CL201" s="183"/>
      <c r="CM201" s="183"/>
      <c r="CN201" s="183"/>
      <c r="CO201" s="183"/>
      <c r="CP201" s="183"/>
      <c r="CQ201" s="183"/>
      <c r="CR201" s="183"/>
      <c r="CS201" s="183"/>
      <c r="CT201" s="183"/>
      <c r="CU201" s="183"/>
      <c r="CV201" s="183"/>
      <c r="CW201" s="183"/>
      <c r="CX201" s="183"/>
      <c r="CY201" s="183"/>
      <c r="CZ201" s="183"/>
      <c r="DA201" s="183"/>
      <c r="DB201" s="183"/>
      <c r="DC201" s="183"/>
      <c r="DD201" s="183"/>
      <c r="DE201" s="183"/>
      <c r="DF201" s="183"/>
      <c r="DG201" s="183"/>
      <c r="DH201" s="183"/>
      <c r="DI201" s="183"/>
      <c r="DJ201" s="183"/>
      <c r="DK201" s="183"/>
      <c r="DL201" s="183"/>
      <c r="DM201" s="183"/>
      <c r="DN201" s="183"/>
      <c r="DO201" s="183"/>
      <c r="DP201" s="183"/>
      <c r="DQ201" s="183"/>
      <c r="DR201" s="183"/>
      <c r="DS201" s="183"/>
      <c r="DT201" s="183"/>
      <c r="DU201" s="183"/>
      <c r="DV201" s="183"/>
      <c r="DW201" s="183"/>
      <c r="DX201" s="183"/>
      <c r="DY201" s="183"/>
      <c r="DZ201" s="183"/>
      <c r="EA201" s="183"/>
      <c r="EB201" s="183"/>
      <c r="EC201" s="183"/>
      <c r="ED201" s="183"/>
      <c r="EE201" s="183"/>
      <c r="EF201" s="183"/>
      <c r="EG201" s="183"/>
      <c r="EH201" s="183"/>
      <c r="EI201" s="183"/>
      <c r="EJ201" s="183"/>
      <c r="EK201" s="183"/>
      <c r="EL201" s="183"/>
      <c r="EM201" s="183"/>
      <c r="EN201" s="183"/>
      <c r="EO201" s="183"/>
      <c r="EP201" s="183"/>
      <c r="EQ201" s="183"/>
      <c r="ER201" s="183"/>
      <c r="ES201" s="183"/>
      <c r="ET201" s="183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</row>
    <row r="202" spans="1:258" ht="13.5" customHeight="1">
      <c r="A202" s="49"/>
      <c r="B202" s="2"/>
      <c r="C202" s="2"/>
      <c r="D202" s="2"/>
      <c r="E202" s="2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  <c r="AP202" s="183"/>
      <c r="AQ202" s="183"/>
      <c r="AR202" s="183"/>
      <c r="AS202" s="183"/>
      <c r="AT202" s="183"/>
      <c r="AU202" s="183"/>
      <c r="AV202" s="183"/>
      <c r="AW202" s="183"/>
      <c r="AX202" s="183"/>
      <c r="AY202" s="183"/>
      <c r="AZ202" s="183"/>
      <c r="BA202" s="183"/>
      <c r="BB202" s="183"/>
      <c r="BC202" s="183"/>
      <c r="BD202" s="183"/>
      <c r="BE202" s="183"/>
      <c r="BF202" s="183"/>
      <c r="BG202" s="183"/>
      <c r="BH202" s="183"/>
      <c r="BI202" s="183"/>
      <c r="BJ202" s="183"/>
      <c r="BK202" s="183"/>
      <c r="BL202" s="183"/>
      <c r="BM202" s="183"/>
      <c r="BN202" s="183"/>
      <c r="BO202" s="183"/>
      <c r="BP202" s="183"/>
      <c r="BQ202" s="183"/>
      <c r="BR202" s="183"/>
      <c r="BS202" s="183"/>
      <c r="BT202" s="183"/>
      <c r="BU202" s="183"/>
      <c r="BV202" s="183"/>
      <c r="BW202" s="183"/>
      <c r="BX202" s="183"/>
      <c r="BY202" s="183"/>
      <c r="BZ202" s="183"/>
      <c r="CA202" s="183"/>
      <c r="CB202" s="183"/>
      <c r="CC202" s="183"/>
      <c r="CD202" s="183"/>
      <c r="CE202" s="183"/>
      <c r="CF202" s="183"/>
      <c r="CG202" s="183"/>
      <c r="CH202" s="183"/>
      <c r="CI202" s="183"/>
      <c r="CJ202" s="183"/>
      <c r="CK202" s="183"/>
      <c r="CL202" s="183"/>
      <c r="CM202" s="183"/>
      <c r="CN202" s="183"/>
      <c r="CO202" s="183"/>
      <c r="CP202" s="183"/>
      <c r="CQ202" s="183"/>
      <c r="CR202" s="183"/>
      <c r="CS202" s="183"/>
      <c r="CT202" s="183"/>
      <c r="CU202" s="183"/>
      <c r="CV202" s="183"/>
      <c r="CW202" s="183"/>
      <c r="CX202" s="183"/>
      <c r="CY202" s="183"/>
      <c r="CZ202" s="183"/>
      <c r="DA202" s="183"/>
      <c r="DB202" s="183"/>
      <c r="DC202" s="183"/>
      <c r="DD202" s="183"/>
      <c r="DE202" s="183"/>
      <c r="DF202" s="183"/>
      <c r="DG202" s="183"/>
      <c r="DH202" s="183"/>
      <c r="DI202" s="183"/>
      <c r="DJ202" s="183"/>
      <c r="DK202" s="183"/>
      <c r="DL202" s="183"/>
      <c r="DM202" s="183"/>
      <c r="DN202" s="183"/>
      <c r="DO202" s="183"/>
      <c r="DP202" s="183"/>
      <c r="DQ202" s="183"/>
      <c r="DR202" s="183"/>
      <c r="DS202" s="183"/>
      <c r="DT202" s="183"/>
      <c r="DU202" s="183"/>
      <c r="DV202" s="183"/>
      <c r="DW202" s="183"/>
      <c r="DX202" s="183"/>
      <c r="DY202" s="183"/>
      <c r="DZ202" s="183"/>
      <c r="EA202" s="183"/>
      <c r="EB202" s="183"/>
      <c r="EC202" s="183"/>
      <c r="ED202" s="183"/>
      <c r="EE202" s="183"/>
      <c r="EF202" s="183"/>
      <c r="EG202" s="183"/>
      <c r="EH202" s="183"/>
      <c r="EI202" s="183"/>
      <c r="EJ202" s="183"/>
      <c r="EK202" s="183"/>
      <c r="EL202" s="183"/>
      <c r="EM202" s="183"/>
      <c r="EN202" s="183"/>
      <c r="EO202" s="183"/>
      <c r="EP202" s="183"/>
      <c r="EQ202" s="183"/>
      <c r="ER202" s="183"/>
      <c r="ES202" s="183"/>
      <c r="ET202" s="183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</row>
    <row r="203" spans="1:258" ht="13.5" customHeight="1">
      <c r="A203" s="49"/>
      <c r="B203" s="2"/>
      <c r="C203" s="2"/>
      <c r="D203" s="2"/>
      <c r="E203" s="2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183"/>
      <c r="AJ203" s="183"/>
      <c r="AK203" s="183"/>
      <c r="AL203" s="183"/>
      <c r="AM203" s="183"/>
      <c r="AN203" s="183"/>
      <c r="AO203" s="183"/>
      <c r="AP203" s="183"/>
      <c r="AQ203" s="183"/>
      <c r="AR203" s="183"/>
      <c r="AS203" s="183"/>
      <c r="AT203" s="183"/>
      <c r="AU203" s="183"/>
      <c r="AV203" s="183"/>
      <c r="AW203" s="183"/>
      <c r="AX203" s="183"/>
      <c r="AY203" s="183"/>
      <c r="AZ203" s="183"/>
      <c r="BA203" s="183"/>
      <c r="BB203" s="183"/>
      <c r="BC203" s="183"/>
      <c r="BD203" s="183"/>
      <c r="BE203" s="183"/>
      <c r="BF203" s="183"/>
      <c r="BG203" s="183"/>
      <c r="BH203" s="183"/>
      <c r="BI203" s="183"/>
      <c r="BJ203" s="183"/>
      <c r="BK203" s="183"/>
      <c r="BL203" s="183"/>
      <c r="BM203" s="183"/>
      <c r="BN203" s="183"/>
      <c r="BO203" s="183"/>
      <c r="BP203" s="183"/>
      <c r="BQ203" s="183"/>
      <c r="BR203" s="183"/>
      <c r="BS203" s="183"/>
      <c r="BT203" s="183"/>
      <c r="BU203" s="183"/>
      <c r="BV203" s="183"/>
      <c r="BW203" s="183"/>
      <c r="BX203" s="183"/>
      <c r="BY203" s="183"/>
      <c r="BZ203" s="183"/>
      <c r="CA203" s="183"/>
      <c r="CB203" s="183"/>
      <c r="CC203" s="183"/>
      <c r="CD203" s="183"/>
      <c r="CE203" s="183"/>
      <c r="CF203" s="183"/>
      <c r="CG203" s="183"/>
      <c r="CH203" s="183"/>
      <c r="CI203" s="183"/>
      <c r="CJ203" s="183"/>
      <c r="CK203" s="183"/>
      <c r="CL203" s="183"/>
      <c r="CM203" s="183"/>
      <c r="CN203" s="183"/>
      <c r="CO203" s="183"/>
      <c r="CP203" s="183"/>
      <c r="CQ203" s="183"/>
      <c r="CR203" s="183"/>
      <c r="CS203" s="183"/>
      <c r="CT203" s="183"/>
      <c r="CU203" s="183"/>
      <c r="CV203" s="183"/>
      <c r="CW203" s="183"/>
      <c r="CX203" s="183"/>
      <c r="CY203" s="183"/>
      <c r="CZ203" s="183"/>
      <c r="DA203" s="183"/>
      <c r="DB203" s="183"/>
      <c r="DC203" s="183"/>
      <c r="DD203" s="183"/>
      <c r="DE203" s="183"/>
      <c r="DF203" s="183"/>
      <c r="DG203" s="183"/>
      <c r="DH203" s="183"/>
      <c r="DI203" s="183"/>
      <c r="DJ203" s="183"/>
      <c r="DK203" s="183"/>
      <c r="DL203" s="183"/>
      <c r="DM203" s="183"/>
      <c r="DN203" s="183"/>
      <c r="DO203" s="183"/>
      <c r="DP203" s="183"/>
      <c r="DQ203" s="183"/>
      <c r="DR203" s="183"/>
      <c r="DS203" s="183"/>
      <c r="DT203" s="183"/>
      <c r="DU203" s="183"/>
      <c r="DV203" s="183"/>
      <c r="DW203" s="183"/>
      <c r="DX203" s="183"/>
      <c r="DY203" s="183"/>
      <c r="DZ203" s="183"/>
      <c r="EA203" s="183"/>
      <c r="EB203" s="183"/>
      <c r="EC203" s="183"/>
      <c r="ED203" s="183"/>
      <c r="EE203" s="183"/>
      <c r="EF203" s="183"/>
      <c r="EG203" s="183"/>
      <c r="EH203" s="183"/>
      <c r="EI203" s="183"/>
      <c r="EJ203" s="183"/>
      <c r="EK203" s="183"/>
      <c r="EL203" s="183"/>
      <c r="EM203" s="183"/>
      <c r="EN203" s="183"/>
      <c r="EO203" s="183"/>
      <c r="EP203" s="183"/>
      <c r="EQ203" s="183"/>
      <c r="ER203" s="183"/>
      <c r="ES203" s="183"/>
      <c r="ET203" s="183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</row>
    <row r="204" spans="1:258" ht="13.5" customHeight="1">
      <c r="A204" s="49"/>
      <c r="B204" s="2"/>
      <c r="C204" s="2"/>
      <c r="D204" s="2"/>
      <c r="E204" s="2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183"/>
      <c r="AJ204" s="183"/>
      <c r="AK204" s="183"/>
      <c r="AL204" s="183"/>
      <c r="AM204" s="183"/>
      <c r="AN204" s="183"/>
      <c r="AO204" s="183"/>
      <c r="AP204" s="183"/>
      <c r="AQ204" s="183"/>
      <c r="AR204" s="183"/>
      <c r="AS204" s="183"/>
      <c r="AT204" s="183"/>
      <c r="AU204" s="183"/>
      <c r="AV204" s="183"/>
      <c r="AW204" s="183"/>
      <c r="AX204" s="183"/>
      <c r="AY204" s="183"/>
      <c r="AZ204" s="183"/>
      <c r="BA204" s="183"/>
      <c r="BB204" s="183"/>
      <c r="BC204" s="183"/>
      <c r="BD204" s="183"/>
      <c r="BE204" s="183"/>
      <c r="BF204" s="183"/>
      <c r="BG204" s="183"/>
      <c r="BH204" s="183"/>
      <c r="BI204" s="183"/>
      <c r="BJ204" s="183"/>
      <c r="BK204" s="183"/>
      <c r="BL204" s="183"/>
      <c r="BM204" s="183"/>
      <c r="BN204" s="183"/>
      <c r="BO204" s="183"/>
      <c r="BP204" s="183"/>
      <c r="BQ204" s="183"/>
      <c r="BR204" s="183"/>
      <c r="BS204" s="183"/>
      <c r="BT204" s="183"/>
      <c r="BU204" s="183"/>
      <c r="BV204" s="183"/>
      <c r="BW204" s="183"/>
      <c r="BX204" s="183"/>
      <c r="BY204" s="183"/>
      <c r="BZ204" s="183"/>
      <c r="CA204" s="183"/>
      <c r="CB204" s="183"/>
      <c r="CC204" s="183"/>
      <c r="CD204" s="183"/>
      <c r="CE204" s="183"/>
      <c r="CF204" s="183"/>
      <c r="CG204" s="183"/>
      <c r="CH204" s="183"/>
      <c r="CI204" s="183"/>
      <c r="CJ204" s="183"/>
      <c r="CK204" s="183"/>
      <c r="CL204" s="183"/>
      <c r="CM204" s="183"/>
      <c r="CN204" s="183"/>
      <c r="CO204" s="183"/>
      <c r="CP204" s="183"/>
      <c r="CQ204" s="183"/>
      <c r="CR204" s="183"/>
      <c r="CS204" s="183"/>
      <c r="CT204" s="183"/>
      <c r="CU204" s="183"/>
      <c r="CV204" s="183"/>
      <c r="CW204" s="183"/>
      <c r="CX204" s="183"/>
      <c r="CY204" s="183"/>
      <c r="CZ204" s="183"/>
      <c r="DA204" s="183"/>
      <c r="DB204" s="183"/>
      <c r="DC204" s="183"/>
      <c r="DD204" s="183"/>
      <c r="DE204" s="183"/>
      <c r="DF204" s="183"/>
      <c r="DG204" s="183"/>
      <c r="DH204" s="183"/>
      <c r="DI204" s="183"/>
      <c r="DJ204" s="183"/>
      <c r="DK204" s="183"/>
      <c r="DL204" s="183"/>
      <c r="DM204" s="183"/>
      <c r="DN204" s="183"/>
      <c r="DO204" s="183"/>
      <c r="DP204" s="183"/>
      <c r="DQ204" s="183"/>
      <c r="DR204" s="183"/>
      <c r="DS204" s="183"/>
      <c r="DT204" s="183"/>
      <c r="DU204" s="183"/>
      <c r="DV204" s="183"/>
      <c r="DW204" s="183"/>
      <c r="DX204" s="183"/>
      <c r="DY204" s="183"/>
      <c r="DZ204" s="183"/>
      <c r="EA204" s="183"/>
      <c r="EB204" s="183"/>
      <c r="EC204" s="183"/>
      <c r="ED204" s="183"/>
      <c r="EE204" s="183"/>
      <c r="EF204" s="183"/>
      <c r="EG204" s="183"/>
      <c r="EH204" s="183"/>
      <c r="EI204" s="183"/>
      <c r="EJ204" s="183"/>
      <c r="EK204" s="183"/>
      <c r="EL204" s="183"/>
      <c r="EM204" s="183"/>
      <c r="EN204" s="183"/>
      <c r="EO204" s="183"/>
      <c r="EP204" s="183"/>
      <c r="EQ204" s="183"/>
      <c r="ER204" s="183"/>
      <c r="ES204" s="183"/>
      <c r="ET204" s="183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</row>
    <row r="205" spans="1:258" ht="13.5" customHeight="1">
      <c r="A205" s="49"/>
      <c r="B205" s="2"/>
      <c r="C205" s="2"/>
      <c r="D205" s="2"/>
      <c r="E205" s="2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183"/>
      <c r="AJ205" s="183"/>
      <c r="AK205" s="183"/>
      <c r="AL205" s="183"/>
      <c r="AM205" s="183"/>
      <c r="AN205" s="183"/>
      <c r="AO205" s="183"/>
      <c r="AP205" s="183"/>
      <c r="AQ205" s="183"/>
      <c r="AR205" s="183"/>
      <c r="AS205" s="183"/>
      <c r="AT205" s="183"/>
      <c r="AU205" s="183"/>
      <c r="AV205" s="183"/>
      <c r="AW205" s="183"/>
      <c r="AX205" s="183"/>
      <c r="AY205" s="183"/>
      <c r="AZ205" s="183"/>
      <c r="BA205" s="183"/>
      <c r="BB205" s="183"/>
      <c r="BC205" s="183"/>
      <c r="BD205" s="183"/>
      <c r="BE205" s="183"/>
      <c r="BF205" s="183"/>
      <c r="BG205" s="183"/>
      <c r="BH205" s="183"/>
      <c r="BI205" s="183"/>
      <c r="BJ205" s="183"/>
      <c r="BK205" s="183"/>
      <c r="BL205" s="183"/>
      <c r="BM205" s="183"/>
      <c r="BN205" s="183"/>
      <c r="BO205" s="183"/>
      <c r="BP205" s="183"/>
      <c r="BQ205" s="183"/>
      <c r="BR205" s="183"/>
      <c r="BS205" s="183"/>
      <c r="BT205" s="183"/>
      <c r="BU205" s="183"/>
      <c r="BV205" s="183"/>
      <c r="BW205" s="183"/>
      <c r="BX205" s="183"/>
      <c r="BY205" s="183"/>
      <c r="BZ205" s="183"/>
      <c r="CA205" s="183"/>
      <c r="CB205" s="183"/>
      <c r="CC205" s="183"/>
      <c r="CD205" s="183"/>
      <c r="CE205" s="183"/>
      <c r="CF205" s="183"/>
      <c r="CG205" s="183"/>
      <c r="CH205" s="183"/>
      <c r="CI205" s="183"/>
      <c r="CJ205" s="183"/>
      <c r="CK205" s="183"/>
      <c r="CL205" s="183"/>
      <c r="CM205" s="183"/>
      <c r="CN205" s="183"/>
      <c r="CO205" s="183"/>
      <c r="CP205" s="183"/>
      <c r="CQ205" s="183"/>
      <c r="CR205" s="183"/>
      <c r="CS205" s="183"/>
      <c r="CT205" s="183"/>
      <c r="CU205" s="183"/>
      <c r="CV205" s="183"/>
      <c r="CW205" s="183"/>
      <c r="CX205" s="183"/>
      <c r="CY205" s="183"/>
      <c r="CZ205" s="183"/>
      <c r="DA205" s="183"/>
      <c r="DB205" s="183"/>
      <c r="DC205" s="183"/>
      <c r="DD205" s="183"/>
      <c r="DE205" s="183"/>
      <c r="DF205" s="183"/>
      <c r="DG205" s="183"/>
      <c r="DH205" s="183"/>
      <c r="DI205" s="183"/>
      <c r="DJ205" s="183"/>
      <c r="DK205" s="183"/>
      <c r="DL205" s="183"/>
      <c r="DM205" s="183"/>
      <c r="DN205" s="183"/>
      <c r="DO205" s="183"/>
      <c r="DP205" s="183"/>
      <c r="DQ205" s="183"/>
      <c r="DR205" s="183"/>
      <c r="DS205" s="183"/>
      <c r="DT205" s="183"/>
      <c r="DU205" s="183"/>
      <c r="DV205" s="183"/>
      <c r="DW205" s="183"/>
      <c r="DX205" s="183"/>
      <c r="DY205" s="183"/>
      <c r="DZ205" s="183"/>
      <c r="EA205" s="183"/>
      <c r="EB205" s="183"/>
      <c r="EC205" s="183"/>
      <c r="ED205" s="183"/>
      <c r="EE205" s="183"/>
      <c r="EF205" s="183"/>
      <c r="EG205" s="183"/>
      <c r="EH205" s="183"/>
      <c r="EI205" s="183"/>
      <c r="EJ205" s="183"/>
      <c r="EK205" s="183"/>
      <c r="EL205" s="183"/>
      <c r="EM205" s="183"/>
      <c r="EN205" s="183"/>
      <c r="EO205" s="183"/>
      <c r="EP205" s="183"/>
      <c r="EQ205" s="183"/>
      <c r="ER205" s="183"/>
      <c r="ES205" s="183"/>
      <c r="ET205" s="183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</row>
    <row r="206" spans="1:258" ht="13.5" customHeight="1">
      <c r="A206" s="49"/>
      <c r="B206" s="2"/>
      <c r="C206" s="2"/>
      <c r="D206" s="2"/>
      <c r="E206" s="2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183"/>
      <c r="AJ206" s="183"/>
      <c r="AK206" s="183"/>
      <c r="AL206" s="183"/>
      <c r="AM206" s="183"/>
      <c r="AN206" s="183"/>
      <c r="AO206" s="183"/>
      <c r="AP206" s="183"/>
      <c r="AQ206" s="183"/>
      <c r="AR206" s="183"/>
      <c r="AS206" s="183"/>
      <c r="AT206" s="183"/>
      <c r="AU206" s="183"/>
      <c r="AV206" s="183"/>
      <c r="AW206" s="183"/>
      <c r="AX206" s="183"/>
      <c r="AY206" s="183"/>
      <c r="AZ206" s="183"/>
      <c r="BA206" s="183"/>
      <c r="BB206" s="183"/>
      <c r="BC206" s="183"/>
      <c r="BD206" s="183"/>
      <c r="BE206" s="183"/>
      <c r="BF206" s="183"/>
      <c r="BG206" s="183"/>
      <c r="BH206" s="183"/>
      <c r="BI206" s="183"/>
      <c r="BJ206" s="183"/>
      <c r="BK206" s="183"/>
      <c r="BL206" s="183"/>
      <c r="BM206" s="183"/>
      <c r="BN206" s="183"/>
      <c r="BO206" s="183"/>
      <c r="BP206" s="183"/>
      <c r="BQ206" s="183"/>
      <c r="BR206" s="183"/>
      <c r="BS206" s="183"/>
      <c r="BT206" s="183"/>
      <c r="BU206" s="183"/>
      <c r="BV206" s="183"/>
      <c r="BW206" s="183"/>
      <c r="BX206" s="183"/>
      <c r="BY206" s="183"/>
      <c r="BZ206" s="183"/>
      <c r="CA206" s="183"/>
      <c r="CB206" s="183"/>
      <c r="CC206" s="183"/>
      <c r="CD206" s="183"/>
      <c r="CE206" s="183"/>
      <c r="CF206" s="183"/>
      <c r="CG206" s="183"/>
      <c r="CH206" s="183"/>
      <c r="CI206" s="183"/>
      <c r="CJ206" s="183"/>
      <c r="CK206" s="183"/>
      <c r="CL206" s="183"/>
      <c r="CM206" s="183"/>
      <c r="CN206" s="183"/>
      <c r="CO206" s="183"/>
      <c r="CP206" s="183"/>
      <c r="CQ206" s="183"/>
      <c r="CR206" s="183"/>
      <c r="CS206" s="183"/>
      <c r="CT206" s="183"/>
      <c r="CU206" s="183"/>
      <c r="CV206" s="183"/>
      <c r="CW206" s="183"/>
      <c r="CX206" s="183"/>
      <c r="CY206" s="183"/>
      <c r="CZ206" s="183"/>
      <c r="DA206" s="183"/>
      <c r="DB206" s="183"/>
      <c r="DC206" s="183"/>
      <c r="DD206" s="183"/>
      <c r="DE206" s="183"/>
      <c r="DF206" s="183"/>
      <c r="DG206" s="183"/>
      <c r="DH206" s="183"/>
      <c r="DI206" s="183"/>
      <c r="DJ206" s="183"/>
      <c r="DK206" s="183"/>
      <c r="DL206" s="183"/>
      <c r="DM206" s="183"/>
      <c r="DN206" s="183"/>
      <c r="DO206" s="183"/>
      <c r="DP206" s="183"/>
      <c r="DQ206" s="183"/>
      <c r="DR206" s="183"/>
      <c r="DS206" s="183"/>
      <c r="DT206" s="183"/>
      <c r="DU206" s="183"/>
      <c r="DV206" s="183"/>
      <c r="DW206" s="183"/>
      <c r="DX206" s="183"/>
      <c r="DY206" s="183"/>
      <c r="DZ206" s="183"/>
      <c r="EA206" s="183"/>
      <c r="EB206" s="183"/>
      <c r="EC206" s="183"/>
      <c r="ED206" s="183"/>
      <c r="EE206" s="183"/>
      <c r="EF206" s="183"/>
      <c r="EG206" s="183"/>
      <c r="EH206" s="183"/>
      <c r="EI206" s="183"/>
      <c r="EJ206" s="183"/>
      <c r="EK206" s="183"/>
      <c r="EL206" s="183"/>
      <c r="EM206" s="183"/>
      <c r="EN206" s="183"/>
      <c r="EO206" s="183"/>
      <c r="EP206" s="183"/>
      <c r="EQ206" s="183"/>
      <c r="ER206" s="183"/>
      <c r="ES206" s="183"/>
      <c r="ET206" s="183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</row>
    <row r="207" spans="1:258" ht="13.5" customHeight="1">
      <c r="A207" s="49"/>
      <c r="B207" s="2"/>
      <c r="C207" s="2"/>
      <c r="D207" s="2"/>
      <c r="E207" s="2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183"/>
      <c r="AJ207" s="183"/>
      <c r="AK207" s="183"/>
      <c r="AL207" s="183"/>
      <c r="AM207" s="183"/>
      <c r="AN207" s="183"/>
      <c r="AO207" s="183"/>
      <c r="AP207" s="183"/>
      <c r="AQ207" s="183"/>
      <c r="AR207" s="183"/>
      <c r="AS207" s="183"/>
      <c r="AT207" s="183"/>
      <c r="AU207" s="183"/>
      <c r="AV207" s="183"/>
      <c r="AW207" s="183"/>
      <c r="AX207" s="183"/>
      <c r="AY207" s="183"/>
      <c r="AZ207" s="183"/>
      <c r="BA207" s="183"/>
      <c r="BB207" s="183"/>
      <c r="BC207" s="183"/>
      <c r="BD207" s="183"/>
      <c r="BE207" s="183"/>
      <c r="BF207" s="183"/>
      <c r="BG207" s="183"/>
      <c r="BH207" s="183"/>
      <c r="BI207" s="183"/>
      <c r="BJ207" s="183"/>
      <c r="BK207" s="183"/>
      <c r="BL207" s="183"/>
      <c r="BM207" s="183"/>
      <c r="BN207" s="183"/>
      <c r="BO207" s="183"/>
      <c r="BP207" s="183"/>
      <c r="BQ207" s="183"/>
      <c r="BR207" s="183"/>
      <c r="BS207" s="183"/>
      <c r="BT207" s="183"/>
      <c r="BU207" s="183"/>
      <c r="BV207" s="183"/>
      <c r="BW207" s="183"/>
      <c r="BX207" s="183"/>
      <c r="BY207" s="183"/>
      <c r="BZ207" s="183"/>
      <c r="CA207" s="183"/>
      <c r="CB207" s="183"/>
      <c r="CC207" s="183"/>
      <c r="CD207" s="183"/>
      <c r="CE207" s="183"/>
      <c r="CF207" s="183"/>
      <c r="CG207" s="183"/>
      <c r="CH207" s="183"/>
      <c r="CI207" s="183"/>
      <c r="CJ207" s="183"/>
      <c r="CK207" s="183"/>
      <c r="CL207" s="183"/>
      <c r="CM207" s="183"/>
      <c r="CN207" s="183"/>
      <c r="CO207" s="183"/>
      <c r="CP207" s="183"/>
      <c r="CQ207" s="183"/>
      <c r="CR207" s="183"/>
      <c r="CS207" s="183"/>
      <c r="CT207" s="183"/>
      <c r="CU207" s="183"/>
      <c r="CV207" s="183"/>
      <c r="CW207" s="183"/>
      <c r="CX207" s="183"/>
      <c r="CY207" s="183"/>
      <c r="CZ207" s="183"/>
      <c r="DA207" s="183"/>
      <c r="DB207" s="183"/>
      <c r="DC207" s="183"/>
      <c r="DD207" s="183"/>
      <c r="DE207" s="183"/>
      <c r="DF207" s="183"/>
      <c r="DG207" s="183"/>
      <c r="DH207" s="183"/>
      <c r="DI207" s="183"/>
      <c r="DJ207" s="183"/>
      <c r="DK207" s="183"/>
      <c r="DL207" s="183"/>
      <c r="DM207" s="183"/>
      <c r="DN207" s="183"/>
      <c r="DO207" s="183"/>
      <c r="DP207" s="183"/>
      <c r="DQ207" s="183"/>
      <c r="DR207" s="183"/>
      <c r="DS207" s="183"/>
      <c r="DT207" s="183"/>
      <c r="DU207" s="183"/>
      <c r="DV207" s="183"/>
      <c r="DW207" s="183"/>
      <c r="DX207" s="183"/>
      <c r="DY207" s="183"/>
      <c r="DZ207" s="183"/>
      <c r="EA207" s="183"/>
      <c r="EB207" s="183"/>
      <c r="EC207" s="183"/>
      <c r="ED207" s="183"/>
      <c r="EE207" s="183"/>
      <c r="EF207" s="183"/>
      <c r="EG207" s="183"/>
      <c r="EH207" s="183"/>
      <c r="EI207" s="183"/>
      <c r="EJ207" s="183"/>
      <c r="EK207" s="183"/>
      <c r="EL207" s="183"/>
      <c r="EM207" s="183"/>
      <c r="EN207" s="183"/>
      <c r="EO207" s="183"/>
      <c r="EP207" s="183"/>
      <c r="EQ207" s="183"/>
      <c r="ER207" s="183"/>
      <c r="ES207" s="183"/>
      <c r="ET207" s="183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</row>
    <row r="208" spans="1:258" ht="13.5" customHeight="1">
      <c r="A208" s="49"/>
      <c r="B208" s="2"/>
      <c r="C208" s="2"/>
      <c r="D208" s="2"/>
      <c r="E208" s="2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  <c r="AL208" s="183"/>
      <c r="AM208" s="183"/>
      <c r="AN208" s="183"/>
      <c r="AO208" s="183"/>
      <c r="AP208" s="183"/>
      <c r="AQ208" s="183"/>
      <c r="AR208" s="183"/>
      <c r="AS208" s="183"/>
      <c r="AT208" s="183"/>
      <c r="AU208" s="183"/>
      <c r="AV208" s="183"/>
      <c r="AW208" s="183"/>
      <c r="AX208" s="183"/>
      <c r="AY208" s="183"/>
      <c r="AZ208" s="183"/>
      <c r="BA208" s="183"/>
      <c r="BB208" s="183"/>
      <c r="BC208" s="183"/>
      <c r="BD208" s="183"/>
      <c r="BE208" s="183"/>
      <c r="BF208" s="183"/>
      <c r="BG208" s="183"/>
      <c r="BH208" s="183"/>
      <c r="BI208" s="183"/>
      <c r="BJ208" s="183"/>
      <c r="BK208" s="183"/>
      <c r="BL208" s="183"/>
      <c r="BM208" s="183"/>
      <c r="BN208" s="183"/>
      <c r="BO208" s="183"/>
      <c r="BP208" s="183"/>
      <c r="BQ208" s="183"/>
      <c r="BR208" s="183"/>
      <c r="BS208" s="183"/>
      <c r="BT208" s="183"/>
      <c r="BU208" s="183"/>
      <c r="BV208" s="183"/>
      <c r="BW208" s="183"/>
      <c r="BX208" s="183"/>
      <c r="BY208" s="183"/>
      <c r="BZ208" s="183"/>
      <c r="CA208" s="183"/>
      <c r="CB208" s="183"/>
      <c r="CC208" s="183"/>
      <c r="CD208" s="183"/>
      <c r="CE208" s="183"/>
      <c r="CF208" s="183"/>
      <c r="CG208" s="183"/>
      <c r="CH208" s="183"/>
      <c r="CI208" s="183"/>
      <c r="CJ208" s="183"/>
      <c r="CK208" s="183"/>
      <c r="CL208" s="183"/>
      <c r="CM208" s="183"/>
      <c r="CN208" s="183"/>
      <c r="CO208" s="183"/>
      <c r="CP208" s="183"/>
      <c r="CQ208" s="183"/>
      <c r="CR208" s="183"/>
      <c r="CS208" s="183"/>
      <c r="CT208" s="183"/>
      <c r="CU208" s="183"/>
      <c r="CV208" s="183"/>
      <c r="CW208" s="183"/>
      <c r="CX208" s="183"/>
      <c r="CY208" s="183"/>
      <c r="CZ208" s="183"/>
      <c r="DA208" s="183"/>
      <c r="DB208" s="183"/>
      <c r="DC208" s="183"/>
      <c r="DD208" s="183"/>
      <c r="DE208" s="183"/>
      <c r="DF208" s="183"/>
      <c r="DG208" s="183"/>
      <c r="DH208" s="183"/>
      <c r="DI208" s="183"/>
      <c r="DJ208" s="183"/>
      <c r="DK208" s="183"/>
      <c r="DL208" s="183"/>
      <c r="DM208" s="183"/>
      <c r="DN208" s="183"/>
      <c r="DO208" s="183"/>
      <c r="DP208" s="183"/>
      <c r="DQ208" s="183"/>
      <c r="DR208" s="183"/>
      <c r="DS208" s="183"/>
      <c r="DT208" s="183"/>
      <c r="DU208" s="183"/>
      <c r="DV208" s="183"/>
      <c r="DW208" s="183"/>
      <c r="DX208" s="183"/>
      <c r="DY208" s="183"/>
      <c r="DZ208" s="183"/>
      <c r="EA208" s="183"/>
      <c r="EB208" s="183"/>
      <c r="EC208" s="183"/>
      <c r="ED208" s="183"/>
      <c r="EE208" s="183"/>
      <c r="EF208" s="183"/>
      <c r="EG208" s="183"/>
      <c r="EH208" s="183"/>
      <c r="EI208" s="183"/>
      <c r="EJ208" s="183"/>
      <c r="EK208" s="183"/>
      <c r="EL208" s="183"/>
      <c r="EM208" s="183"/>
      <c r="EN208" s="183"/>
      <c r="EO208" s="183"/>
      <c r="EP208" s="183"/>
      <c r="EQ208" s="183"/>
      <c r="ER208" s="183"/>
      <c r="ES208" s="183"/>
      <c r="ET208" s="183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</row>
    <row r="209" spans="1:258" ht="13.5" customHeight="1">
      <c r="A209" s="49"/>
      <c r="B209" s="2"/>
      <c r="C209" s="2"/>
      <c r="D209" s="2"/>
      <c r="E209" s="2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183"/>
      <c r="AJ209" s="183"/>
      <c r="AK209" s="183"/>
      <c r="AL209" s="183"/>
      <c r="AM209" s="183"/>
      <c r="AN209" s="183"/>
      <c r="AO209" s="183"/>
      <c r="AP209" s="183"/>
      <c r="AQ209" s="183"/>
      <c r="AR209" s="183"/>
      <c r="AS209" s="183"/>
      <c r="AT209" s="183"/>
      <c r="AU209" s="183"/>
      <c r="AV209" s="183"/>
      <c r="AW209" s="183"/>
      <c r="AX209" s="183"/>
      <c r="AY209" s="183"/>
      <c r="AZ209" s="183"/>
      <c r="BA209" s="183"/>
      <c r="BB209" s="183"/>
      <c r="BC209" s="183"/>
      <c r="BD209" s="183"/>
      <c r="BE209" s="183"/>
      <c r="BF209" s="183"/>
      <c r="BG209" s="183"/>
      <c r="BH209" s="183"/>
      <c r="BI209" s="183"/>
      <c r="BJ209" s="183"/>
      <c r="BK209" s="183"/>
      <c r="BL209" s="183"/>
      <c r="BM209" s="183"/>
      <c r="BN209" s="183"/>
      <c r="BO209" s="183"/>
      <c r="BP209" s="183"/>
      <c r="BQ209" s="183"/>
      <c r="BR209" s="183"/>
      <c r="BS209" s="183"/>
      <c r="BT209" s="183"/>
      <c r="BU209" s="183"/>
      <c r="BV209" s="183"/>
      <c r="BW209" s="183"/>
      <c r="BX209" s="183"/>
      <c r="BY209" s="183"/>
      <c r="BZ209" s="183"/>
      <c r="CA209" s="183"/>
      <c r="CB209" s="183"/>
      <c r="CC209" s="183"/>
      <c r="CD209" s="183"/>
      <c r="CE209" s="183"/>
      <c r="CF209" s="183"/>
      <c r="CG209" s="183"/>
      <c r="CH209" s="183"/>
      <c r="CI209" s="183"/>
      <c r="CJ209" s="183"/>
      <c r="CK209" s="183"/>
      <c r="CL209" s="183"/>
      <c r="CM209" s="183"/>
      <c r="CN209" s="183"/>
      <c r="CO209" s="183"/>
      <c r="CP209" s="183"/>
      <c r="CQ209" s="183"/>
      <c r="CR209" s="183"/>
      <c r="CS209" s="183"/>
      <c r="CT209" s="183"/>
      <c r="CU209" s="183"/>
      <c r="CV209" s="183"/>
      <c r="CW209" s="183"/>
      <c r="CX209" s="183"/>
      <c r="CY209" s="183"/>
      <c r="CZ209" s="183"/>
      <c r="DA209" s="183"/>
      <c r="DB209" s="183"/>
      <c r="DC209" s="183"/>
      <c r="DD209" s="183"/>
      <c r="DE209" s="183"/>
      <c r="DF209" s="183"/>
      <c r="DG209" s="183"/>
      <c r="DH209" s="183"/>
      <c r="DI209" s="183"/>
      <c r="DJ209" s="183"/>
      <c r="DK209" s="183"/>
      <c r="DL209" s="183"/>
      <c r="DM209" s="183"/>
      <c r="DN209" s="183"/>
      <c r="DO209" s="183"/>
      <c r="DP209" s="183"/>
      <c r="DQ209" s="183"/>
      <c r="DR209" s="183"/>
      <c r="DS209" s="183"/>
      <c r="DT209" s="183"/>
      <c r="DU209" s="183"/>
      <c r="DV209" s="183"/>
      <c r="DW209" s="183"/>
      <c r="DX209" s="183"/>
      <c r="DY209" s="183"/>
      <c r="DZ209" s="183"/>
      <c r="EA209" s="183"/>
      <c r="EB209" s="183"/>
      <c r="EC209" s="183"/>
      <c r="ED209" s="183"/>
      <c r="EE209" s="183"/>
      <c r="EF209" s="183"/>
      <c r="EG209" s="183"/>
      <c r="EH209" s="183"/>
      <c r="EI209" s="183"/>
      <c r="EJ209" s="183"/>
      <c r="EK209" s="183"/>
      <c r="EL209" s="183"/>
      <c r="EM209" s="183"/>
      <c r="EN209" s="183"/>
      <c r="EO209" s="183"/>
      <c r="EP209" s="183"/>
      <c r="EQ209" s="183"/>
      <c r="ER209" s="183"/>
      <c r="ES209" s="183"/>
      <c r="ET209" s="183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</row>
    <row r="210" spans="1:258" ht="13.5" customHeight="1">
      <c r="A210" s="49"/>
      <c r="B210" s="2"/>
      <c r="C210" s="2"/>
      <c r="D210" s="2"/>
      <c r="E210" s="2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183"/>
      <c r="AJ210" s="183"/>
      <c r="AK210" s="183"/>
      <c r="AL210" s="183"/>
      <c r="AM210" s="183"/>
      <c r="AN210" s="183"/>
      <c r="AO210" s="183"/>
      <c r="AP210" s="183"/>
      <c r="AQ210" s="183"/>
      <c r="AR210" s="183"/>
      <c r="AS210" s="183"/>
      <c r="AT210" s="183"/>
      <c r="AU210" s="183"/>
      <c r="AV210" s="183"/>
      <c r="AW210" s="183"/>
      <c r="AX210" s="183"/>
      <c r="AY210" s="183"/>
      <c r="AZ210" s="183"/>
      <c r="BA210" s="183"/>
      <c r="BB210" s="183"/>
      <c r="BC210" s="183"/>
      <c r="BD210" s="183"/>
      <c r="BE210" s="183"/>
      <c r="BF210" s="183"/>
      <c r="BG210" s="183"/>
      <c r="BH210" s="183"/>
      <c r="BI210" s="183"/>
      <c r="BJ210" s="183"/>
      <c r="BK210" s="183"/>
      <c r="BL210" s="183"/>
      <c r="BM210" s="183"/>
      <c r="BN210" s="183"/>
      <c r="BO210" s="183"/>
      <c r="BP210" s="183"/>
      <c r="BQ210" s="183"/>
      <c r="BR210" s="183"/>
      <c r="BS210" s="183"/>
      <c r="BT210" s="183"/>
      <c r="BU210" s="183"/>
      <c r="BV210" s="183"/>
      <c r="BW210" s="183"/>
      <c r="BX210" s="183"/>
      <c r="BY210" s="183"/>
      <c r="BZ210" s="183"/>
      <c r="CA210" s="183"/>
      <c r="CB210" s="183"/>
      <c r="CC210" s="183"/>
      <c r="CD210" s="183"/>
      <c r="CE210" s="183"/>
      <c r="CF210" s="183"/>
      <c r="CG210" s="183"/>
      <c r="CH210" s="183"/>
      <c r="CI210" s="183"/>
      <c r="CJ210" s="183"/>
      <c r="CK210" s="183"/>
      <c r="CL210" s="183"/>
      <c r="CM210" s="183"/>
      <c r="CN210" s="183"/>
      <c r="CO210" s="183"/>
      <c r="CP210" s="183"/>
      <c r="CQ210" s="183"/>
      <c r="CR210" s="183"/>
      <c r="CS210" s="183"/>
      <c r="CT210" s="183"/>
      <c r="CU210" s="183"/>
      <c r="CV210" s="183"/>
      <c r="CW210" s="183"/>
      <c r="CX210" s="183"/>
      <c r="CY210" s="183"/>
      <c r="CZ210" s="183"/>
      <c r="DA210" s="183"/>
      <c r="DB210" s="183"/>
      <c r="DC210" s="183"/>
      <c r="DD210" s="183"/>
      <c r="DE210" s="183"/>
      <c r="DF210" s="183"/>
      <c r="DG210" s="183"/>
      <c r="DH210" s="183"/>
      <c r="DI210" s="183"/>
      <c r="DJ210" s="183"/>
      <c r="DK210" s="183"/>
      <c r="DL210" s="183"/>
      <c r="DM210" s="183"/>
      <c r="DN210" s="183"/>
      <c r="DO210" s="183"/>
      <c r="DP210" s="183"/>
      <c r="DQ210" s="183"/>
      <c r="DR210" s="183"/>
      <c r="DS210" s="183"/>
      <c r="DT210" s="183"/>
      <c r="DU210" s="183"/>
      <c r="DV210" s="183"/>
      <c r="DW210" s="183"/>
      <c r="DX210" s="183"/>
      <c r="DY210" s="183"/>
      <c r="DZ210" s="183"/>
      <c r="EA210" s="183"/>
      <c r="EB210" s="183"/>
      <c r="EC210" s="183"/>
      <c r="ED210" s="183"/>
      <c r="EE210" s="183"/>
      <c r="EF210" s="183"/>
      <c r="EG210" s="183"/>
      <c r="EH210" s="183"/>
      <c r="EI210" s="183"/>
      <c r="EJ210" s="183"/>
      <c r="EK210" s="183"/>
      <c r="EL210" s="183"/>
      <c r="EM210" s="183"/>
      <c r="EN210" s="183"/>
      <c r="EO210" s="183"/>
      <c r="EP210" s="183"/>
      <c r="EQ210" s="183"/>
      <c r="ER210" s="183"/>
      <c r="ES210" s="183"/>
      <c r="ET210" s="183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</row>
    <row r="211" spans="1:258" ht="13.5" customHeight="1">
      <c r="A211" s="49"/>
      <c r="B211" s="2"/>
      <c r="C211" s="2"/>
      <c r="D211" s="2"/>
      <c r="E211" s="2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183"/>
      <c r="AJ211" s="183"/>
      <c r="AK211" s="183"/>
      <c r="AL211" s="183"/>
      <c r="AM211" s="183"/>
      <c r="AN211" s="183"/>
      <c r="AO211" s="183"/>
      <c r="AP211" s="183"/>
      <c r="AQ211" s="183"/>
      <c r="AR211" s="183"/>
      <c r="AS211" s="183"/>
      <c r="AT211" s="183"/>
      <c r="AU211" s="183"/>
      <c r="AV211" s="183"/>
      <c r="AW211" s="183"/>
      <c r="AX211" s="183"/>
      <c r="AY211" s="183"/>
      <c r="AZ211" s="183"/>
      <c r="BA211" s="183"/>
      <c r="BB211" s="183"/>
      <c r="BC211" s="183"/>
      <c r="BD211" s="183"/>
      <c r="BE211" s="183"/>
      <c r="BF211" s="183"/>
      <c r="BG211" s="183"/>
      <c r="BH211" s="183"/>
      <c r="BI211" s="183"/>
      <c r="BJ211" s="183"/>
      <c r="BK211" s="183"/>
      <c r="BL211" s="183"/>
      <c r="BM211" s="183"/>
      <c r="BN211" s="183"/>
      <c r="BO211" s="183"/>
      <c r="BP211" s="183"/>
      <c r="BQ211" s="183"/>
      <c r="BR211" s="183"/>
      <c r="BS211" s="183"/>
      <c r="BT211" s="183"/>
      <c r="BU211" s="183"/>
      <c r="BV211" s="183"/>
      <c r="BW211" s="183"/>
      <c r="BX211" s="183"/>
      <c r="BY211" s="183"/>
      <c r="BZ211" s="183"/>
      <c r="CA211" s="183"/>
      <c r="CB211" s="183"/>
      <c r="CC211" s="183"/>
      <c r="CD211" s="183"/>
      <c r="CE211" s="183"/>
      <c r="CF211" s="183"/>
      <c r="CG211" s="183"/>
      <c r="CH211" s="183"/>
      <c r="CI211" s="183"/>
      <c r="CJ211" s="183"/>
      <c r="CK211" s="183"/>
      <c r="CL211" s="183"/>
      <c r="CM211" s="183"/>
      <c r="CN211" s="183"/>
      <c r="CO211" s="183"/>
      <c r="CP211" s="183"/>
      <c r="CQ211" s="183"/>
      <c r="CR211" s="183"/>
      <c r="CS211" s="183"/>
      <c r="CT211" s="183"/>
      <c r="CU211" s="183"/>
      <c r="CV211" s="183"/>
      <c r="CW211" s="183"/>
      <c r="CX211" s="183"/>
      <c r="CY211" s="183"/>
      <c r="CZ211" s="183"/>
      <c r="DA211" s="183"/>
      <c r="DB211" s="183"/>
      <c r="DC211" s="183"/>
      <c r="DD211" s="183"/>
      <c r="DE211" s="183"/>
      <c r="DF211" s="183"/>
      <c r="DG211" s="183"/>
      <c r="DH211" s="183"/>
      <c r="DI211" s="183"/>
      <c r="DJ211" s="183"/>
      <c r="DK211" s="183"/>
      <c r="DL211" s="183"/>
      <c r="DM211" s="183"/>
      <c r="DN211" s="183"/>
      <c r="DO211" s="183"/>
      <c r="DP211" s="183"/>
      <c r="DQ211" s="183"/>
      <c r="DR211" s="183"/>
      <c r="DS211" s="183"/>
      <c r="DT211" s="183"/>
      <c r="DU211" s="183"/>
      <c r="DV211" s="183"/>
      <c r="DW211" s="183"/>
      <c r="DX211" s="183"/>
      <c r="DY211" s="183"/>
      <c r="DZ211" s="183"/>
      <c r="EA211" s="183"/>
      <c r="EB211" s="183"/>
      <c r="EC211" s="183"/>
      <c r="ED211" s="183"/>
      <c r="EE211" s="183"/>
      <c r="EF211" s="183"/>
      <c r="EG211" s="183"/>
      <c r="EH211" s="183"/>
      <c r="EI211" s="183"/>
      <c r="EJ211" s="183"/>
      <c r="EK211" s="183"/>
      <c r="EL211" s="183"/>
      <c r="EM211" s="183"/>
      <c r="EN211" s="183"/>
      <c r="EO211" s="183"/>
      <c r="EP211" s="183"/>
      <c r="EQ211" s="183"/>
      <c r="ER211" s="183"/>
      <c r="ES211" s="183"/>
      <c r="ET211" s="183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</row>
    <row r="212" spans="1:258" ht="13.5" customHeight="1">
      <c r="A212" s="49"/>
      <c r="B212" s="2"/>
      <c r="C212" s="2"/>
      <c r="D212" s="2"/>
      <c r="E212" s="2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  <c r="AK212" s="183"/>
      <c r="AL212" s="183"/>
      <c r="AM212" s="183"/>
      <c r="AN212" s="183"/>
      <c r="AO212" s="183"/>
      <c r="AP212" s="183"/>
      <c r="AQ212" s="183"/>
      <c r="AR212" s="183"/>
      <c r="AS212" s="183"/>
      <c r="AT212" s="183"/>
      <c r="AU212" s="183"/>
      <c r="AV212" s="183"/>
      <c r="AW212" s="183"/>
      <c r="AX212" s="183"/>
      <c r="AY212" s="183"/>
      <c r="AZ212" s="183"/>
      <c r="BA212" s="183"/>
      <c r="BB212" s="183"/>
      <c r="BC212" s="183"/>
      <c r="BD212" s="183"/>
      <c r="BE212" s="183"/>
      <c r="BF212" s="183"/>
      <c r="BG212" s="183"/>
      <c r="BH212" s="183"/>
      <c r="BI212" s="183"/>
      <c r="BJ212" s="183"/>
      <c r="BK212" s="183"/>
      <c r="BL212" s="183"/>
      <c r="BM212" s="183"/>
      <c r="BN212" s="183"/>
      <c r="BO212" s="183"/>
      <c r="BP212" s="183"/>
      <c r="BQ212" s="183"/>
      <c r="BR212" s="183"/>
      <c r="BS212" s="183"/>
      <c r="BT212" s="183"/>
      <c r="BU212" s="183"/>
      <c r="BV212" s="183"/>
      <c r="BW212" s="183"/>
      <c r="BX212" s="183"/>
      <c r="BY212" s="183"/>
      <c r="BZ212" s="183"/>
      <c r="CA212" s="183"/>
      <c r="CB212" s="183"/>
      <c r="CC212" s="183"/>
      <c r="CD212" s="183"/>
      <c r="CE212" s="183"/>
      <c r="CF212" s="183"/>
      <c r="CG212" s="183"/>
      <c r="CH212" s="183"/>
      <c r="CI212" s="183"/>
      <c r="CJ212" s="183"/>
      <c r="CK212" s="183"/>
      <c r="CL212" s="183"/>
      <c r="CM212" s="183"/>
      <c r="CN212" s="183"/>
      <c r="CO212" s="183"/>
      <c r="CP212" s="183"/>
      <c r="CQ212" s="183"/>
      <c r="CR212" s="183"/>
      <c r="CS212" s="183"/>
      <c r="CT212" s="183"/>
      <c r="CU212" s="183"/>
      <c r="CV212" s="183"/>
      <c r="CW212" s="183"/>
      <c r="CX212" s="183"/>
      <c r="CY212" s="183"/>
      <c r="CZ212" s="183"/>
      <c r="DA212" s="183"/>
      <c r="DB212" s="183"/>
      <c r="DC212" s="183"/>
      <c r="DD212" s="183"/>
      <c r="DE212" s="183"/>
      <c r="DF212" s="183"/>
      <c r="DG212" s="183"/>
      <c r="DH212" s="183"/>
      <c r="DI212" s="183"/>
      <c r="DJ212" s="183"/>
      <c r="DK212" s="183"/>
      <c r="DL212" s="183"/>
      <c r="DM212" s="183"/>
      <c r="DN212" s="183"/>
      <c r="DO212" s="183"/>
      <c r="DP212" s="183"/>
      <c r="DQ212" s="183"/>
      <c r="DR212" s="183"/>
      <c r="DS212" s="183"/>
      <c r="DT212" s="183"/>
      <c r="DU212" s="183"/>
      <c r="DV212" s="183"/>
      <c r="DW212" s="183"/>
      <c r="DX212" s="183"/>
      <c r="DY212" s="183"/>
      <c r="DZ212" s="183"/>
      <c r="EA212" s="183"/>
      <c r="EB212" s="183"/>
      <c r="EC212" s="183"/>
      <c r="ED212" s="183"/>
      <c r="EE212" s="183"/>
      <c r="EF212" s="183"/>
      <c r="EG212" s="183"/>
      <c r="EH212" s="183"/>
      <c r="EI212" s="183"/>
      <c r="EJ212" s="183"/>
      <c r="EK212" s="183"/>
      <c r="EL212" s="183"/>
      <c r="EM212" s="183"/>
      <c r="EN212" s="183"/>
      <c r="EO212" s="183"/>
      <c r="EP212" s="183"/>
      <c r="EQ212" s="183"/>
      <c r="ER212" s="183"/>
      <c r="ES212" s="183"/>
      <c r="ET212" s="183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</row>
    <row r="213" spans="1:258" ht="13.5" customHeight="1">
      <c r="A213" s="49"/>
      <c r="B213" s="2"/>
      <c r="C213" s="2"/>
      <c r="D213" s="2"/>
      <c r="E213" s="2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183"/>
      <c r="AJ213" s="183"/>
      <c r="AK213" s="183"/>
      <c r="AL213" s="183"/>
      <c r="AM213" s="183"/>
      <c r="AN213" s="183"/>
      <c r="AO213" s="183"/>
      <c r="AP213" s="183"/>
      <c r="AQ213" s="183"/>
      <c r="AR213" s="183"/>
      <c r="AS213" s="183"/>
      <c r="AT213" s="183"/>
      <c r="AU213" s="183"/>
      <c r="AV213" s="183"/>
      <c r="AW213" s="183"/>
      <c r="AX213" s="183"/>
      <c r="AY213" s="183"/>
      <c r="AZ213" s="183"/>
      <c r="BA213" s="183"/>
      <c r="BB213" s="183"/>
      <c r="BC213" s="183"/>
      <c r="BD213" s="183"/>
      <c r="BE213" s="183"/>
      <c r="BF213" s="183"/>
      <c r="BG213" s="183"/>
      <c r="BH213" s="183"/>
      <c r="BI213" s="183"/>
      <c r="BJ213" s="183"/>
      <c r="BK213" s="183"/>
      <c r="BL213" s="183"/>
      <c r="BM213" s="183"/>
      <c r="BN213" s="183"/>
      <c r="BO213" s="183"/>
      <c r="BP213" s="183"/>
      <c r="BQ213" s="183"/>
      <c r="BR213" s="183"/>
      <c r="BS213" s="183"/>
      <c r="BT213" s="183"/>
      <c r="BU213" s="183"/>
      <c r="BV213" s="183"/>
      <c r="BW213" s="183"/>
      <c r="BX213" s="183"/>
      <c r="BY213" s="183"/>
      <c r="BZ213" s="183"/>
      <c r="CA213" s="183"/>
      <c r="CB213" s="183"/>
      <c r="CC213" s="183"/>
      <c r="CD213" s="183"/>
      <c r="CE213" s="183"/>
      <c r="CF213" s="183"/>
      <c r="CG213" s="183"/>
      <c r="CH213" s="183"/>
      <c r="CI213" s="183"/>
      <c r="CJ213" s="183"/>
      <c r="CK213" s="183"/>
      <c r="CL213" s="183"/>
      <c r="CM213" s="183"/>
      <c r="CN213" s="183"/>
      <c r="CO213" s="183"/>
      <c r="CP213" s="183"/>
      <c r="CQ213" s="183"/>
      <c r="CR213" s="183"/>
      <c r="CS213" s="183"/>
      <c r="CT213" s="183"/>
      <c r="CU213" s="183"/>
      <c r="CV213" s="183"/>
      <c r="CW213" s="183"/>
      <c r="CX213" s="183"/>
      <c r="CY213" s="183"/>
      <c r="CZ213" s="183"/>
      <c r="DA213" s="183"/>
      <c r="DB213" s="183"/>
      <c r="DC213" s="183"/>
      <c r="DD213" s="183"/>
      <c r="DE213" s="183"/>
      <c r="DF213" s="183"/>
      <c r="DG213" s="183"/>
      <c r="DH213" s="183"/>
      <c r="DI213" s="183"/>
      <c r="DJ213" s="183"/>
      <c r="DK213" s="183"/>
      <c r="DL213" s="183"/>
      <c r="DM213" s="183"/>
      <c r="DN213" s="183"/>
      <c r="DO213" s="183"/>
      <c r="DP213" s="183"/>
      <c r="DQ213" s="183"/>
      <c r="DR213" s="183"/>
      <c r="DS213" s="183"/>
      <c r="DT213" s="183"/>
      <c r="DU213" s="183"/>
      <c r="DV213" s="183"/>
      <c r="DW213" s="183"/>
      <c r="DX213" s="183"/>
      <c r="DY213" s="183"/>
      <c r="DZ213" s="183"/>
      <c r="EA213" s="183"/>
      <c r="EB213" s="183"/>
      <c r="EC213" s="183"/>
      <c r="ED213" s="183"/>
      <c r="EE213" s="183"/>
      <c r="EF213" s="183"/>
      <c r="EG213" s="183"/>
      <c r="EH213" s="183"/>
      <c r="EI213" s="183"/>
      <c r="EJ213" s="183"/>
      <c r="EK213" s="183"/>
      <c r="EL213" s="183"/>
      <c r="EM213" s="183"/>
      <c r="EN213" s="183"/>
      <c r="EO213" s="183"/>
      <c r="EP213" s="183"/>
      <c r="EQ213" s="183"/>
      <c r="ER213" s="183"/>
      <c r="ES213" s="183"/>
      <c r="ET213" s="183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</row>
    <row r="214" spans="1:258" ht="13.5" customHeight="1">
      <c r="A214" s="49"/>
      <c r="B214" s="2"/>
      <c r="C214" s="2"/>
      <c r="D214" s="2"/>
      <c r="E214" s="2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  <c r="AS214" s="183"/>
      <c r="AT214" s="183"/>
      <c r="AU214" s="183"/>
      <c r="AV214" s="183"/>
      <c r="AW214" s="183"/>
      <c r="AX214" s="183"/>
      <c r="AY214" s="183"/>
      <c r="AZ214" s="183"/>
      <c r="BA214" s="183"/>
      <c r="BB214" s="183"/>
      <c r="BC214" s="183"/>
      <c r="BD214" s="183"/>
      <c r="BE214" s="183"/>
      <c r="BF214" s="183"/>
      <c r="BG214" s="183"/>
      <c r="BH214" s="183"/>
      <c r="BI214" s="183"/>
      <c r="BJ214" s="183"/>
      <c r="BK214" s="183"/>
      <c r="BL214" s="183"/>
      <c r="BM214" s="183"/>
      <c r="BN214" s="183"/>
      <c r="BO214" s="183"/>
      <c r="BP214" s="183"/>
      <c r="BQ214" s="183"/>
      <c r="BR214" s="183"/>
      <c r="BS214" s="183"/>
      <c r="BT214" s="183"/>
      <c r="BU214" s="183"/>
      <c r="BV214" s="183"/>
      <c r="BW214" s="183"/>
      <c r="BX214" s="183"/>
      <c r="BY214" s="183"/>
      <c r="BZ214" s="183"/>
      <c r="CA214" s="183"/>
      <c r="CB214" s="183"/>
      <c r="CC214" s="183"/>
      <c r="CD214" s="183"/>
      <c r="CE214" s="183"/>
      <c r="CF214" s="183"/>
      <c r="CG214" s="183"/>
      <c r="CH214" s="183"/>
      <c r="CI214" s="183"/>
      <c r="CJ214" s="183"/>
      <c r="CK214" s="183"/>
      <c r="CL214" s="183"/>
      <c r="CM214" s="183"/>
      <c r="CN214" s="183"/>
      <c r="CO214" s="183"/>
      <c r="CP214" s="183"/>
      <c r="CQ214" s="183"/>
      <c r="CR214" s="183"/>
      <c r="CS214" s="183"/>
      <c r="CT214" s="183"/>
      <c r="CU214" s="183"/>
      <c r="CV214" s="183"/>
      <c r="CW214" s="183"/>
      <c r="CX214" s="183"/>
      <c r="CY214" s="183"/>
      <c r="CZ214" s="183"/>
      <c r="DA214" s="183"/>
      <c r="DB214" s="183"/>
      <c r="DC214" s="183"/>
      <c r="DD214" s="183"/>
      <c r="DE214" s="183"/>
      <c r="DF214" s="183"/>
      <c r="DG214" s="183"/>
      <c r="DH214" s="183"/>
      <c r="DI214" s="183"/>
      <c r="DJ214" s="183"/>
      <c r="DK214" s="183"/>
      <c r="DL214" s="183"/>
      <c r="DM214" s="183"/>
      <c r="DN214" s="183"/>
      <c r="DO214" s="183"/>
      <c r="DP214" s="183"/>
      <c r="DQ214" s="183"/>
      <c r="DR214" s="183"/>
      <c r="DS214" s="183"/>
      <c r="DT214" s="183"/>
      <c r="DU214" s="183"/>
      <c r="DV214" s="183"/>
      <c r="DW214" s="183"/>
      <c r="DX214" s="183"/>
      <c r="DY214" s="183"/>
      <c r="DZ214" s="183"/>
      <c r="EA214" s="183"/>
      <c r="EB214" s="183"/>
      <c r="EC214" s="183"/>
      <c r="ED214" s="183"/>
      <c r="EE214" s="183"/>
      <c r="EF214" s="183"/>
      <c r="EG214" s="183"/>
      <c r="EH214" s="183"/>
      <c r="EI214" s="183"/>
      <c r="EJ214" s="183"/>
      <c r="EK214" s="183"/>
      <c r="EL214" s="183"/>
      <c r="EM214" s="183"/>
      <c r="EN214" s="183"/>
      <c r="EO214" s="183"/>
      <c r="EP214" s="183"/>
      <c r="EQ214" s="183"/>
      <c r="ER214" s="183"/>
      <c r="ES214" s="183"/>
      <c r="ET214" s="183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</row>
    <row r="215" spans="1:258" ht="13.5" customHeight="1">
      <c r="A215" s="49"/>
      <c r="B215" s="2"/>
      <c r="C215" s="2"/>
      <c r="D215" s="2"/>
      <c r="E215" s="2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  <c r="AP215" s="183"/>
      <c r="AQ215" s="183"/>
      <c r="AR215" s="183"/>
      <c r="AS215" s="183"/>
      <c r="AT215" s="183"/>
      <c r="AU215" s="183"/>
      <c r="AV215" s="183"/>
      <c r="AW215" s="183"/>
      <c r="AX215" s="183"/>
      <c r="AY215" s="183"/>
      <c r="AZ215" s="183"/>
      <c r="BA215" s="183"/>
      <c r="BB215" s="183"/>
      <c r="BC215" s="183"/>
      <c r="BD215" s="183"/>
      <c r="BE215" s="183"/>
      <c r="BF215" s="183"/>
      <c r="BG215" s="183"/>
      <c r="BH215" s="183"/>
      <c r="BI215" s="183"/>
      <c r="BJ215" s="183"/>
      <c r="BK215" s="183"/>
      <c r="BL215" s="183"/>
      <c r="BM215" s="183"/>
      <c r="BN215" s="183"/>
      <c r="BO215" s="183"/>
      <c r="BP215" s="183"/>
      <c r="BQ215" s="183"/>
      <c r="BR215" s="183"/>
      <c r="BS215" s="183"/>
      <c r="BT215" s="183"/>
      <c r="BU215" s="183"/>
      <c r="BV215" s="183"/>
      <c r="BW215" s="183"/>
      <c r="BX215" s="183"/>
      <c r="BY215" s="183"/>
      <c r="BZ215" s="183"/>
      <c r="CA215" s="183"/>
      <c r="CB215" s="183"/>
      <c r="CC215" s="183"/>
      <c r="CD215" s="183"/>
      <c r="CE215" s="183"/>
      <c r="CF215" s="183"/>
      <c r="CG215" s="183"/>
      <c r="CH215" s="183"/>
      <c r="CI215" s="183"/>
      <c r="CJ215" s="183"/>
      <c r="CK215" s="183"/>
      <c r="CL215" s="183"/>
      <c r="CM215" s="183"/>
      <c r="CN215" s="183"/>
      <c r="CO215" s="183"/>
      <c r="CP215" s="183"/>
      <c r="CQ215" s="183"/>
      <c r="CR215" s="183"/>
      <c r="CS215" s="183"/>
      <c r="CT215" s="183"/>
      <c r="CU215" s="183"/>
      <c r="CV215" s="183"/>
      <c r="CW215" s="183"/>
      <c r="CX215" s="183"/>
      <c r="CY215" s="183"/>
      <c r="CZ215" s="183"/>
      <c r="DA215" s="183"/>
      <c r="DB215" s="183"/>
      <c r="DC215" s="183"/>
      <c r="DD215" s="183"/>
      <c r="DE215" s="183"/>
      <c r="DF215" s="183"/>
      <c r="DG215" s="183"/>
      <c r="DH215" s="183"/>
      <c r="DI215" s="183"/>
      <c r="DJ215" s="183"/>
      <c r="DK215" s="183"/>
      <c r="DL215" s="183"/>
      <c r="DM215" s="183"/>
      <c r="DN215" s="183"/>
      <c r="DO215" s="183"/>
      <c r="DP215" s="183"/>
      <c r="DQ215" s="183"/>
      <c r="DR215" s="183"/>
      <c r="DS215" s="183"/>
      <c r="DT215" s="183"/>
      <c r="DU215" s="183"/>
      <c r="DV215" s="183"/>
      <c r="DW215" s="183"/>
      <c r="DX215" s="183"/>
      <c r="DY215" s="183"/>
      <c r="DZ215" s="183"/>
      <c r="EA215" s="183"/>
      <c r="EB215" s="183"/>
      <c r="EC215" s="183"/>
      <c r="ED215" s="183"/>
      <c r="EE215" s="183"/>
      <c r="EF215" s="183"/>
      <c r="EG215" s="183"/>
      <c r="EH215" s="183"/>
      <c r="EI215" s="183"/>
      <c r="EJ215" s="183"/>
      <c r="EK215" s="183"/>
      <c r="EL215" s="183"/>
      <c r="EM215" s="183"/>
      <c r="EN215" s="183"/>
      <c r="EO215" s="183"/>
      <c r="EP215" s="183"/>
      <c r="EQ215" s="183"/>
      <c r="ER215" s="183"/>
      <c r="ES215" s="183"/>
      <c r="ET215" s="183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</row>
    <row r="216" spans="1:258" ht="13.5" customHeight="1">
      <c r="A216" s="49"/>
      <c r="B216" s="2"/>
      <c r="C216" s="2"/>
      <c r="D216" s="2"/>
      <c r="E216" s="2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83"/>
      <c r="AN216" s="183"/>
      <c r="AO216" s="183"/>
      <c r="AP216" s="183"/>
      <c r="AQ216" s="183"/>
      <c r="AR216" s="183"/>
      <c r="AS216" s="183"/>
      <c r="AT216" s="183"/>
      <c r="AU216" s="183"/>
      <c r="AV216" s="183"/>
      <c r="AW216" s="183"/>
      <c r="AX216" s="183"/>
      <c r="AY216" s="183"/>
      <c r="AZ216" s="183"/>
      <c r="BA216" s="183"/>
      <c r="BB216" s="183"/>
      <c r="BC216" s="183"/>
      <c r="BD216" s="183"/>
      <c r="BE216" s="183"/>
      <c r="BF216" s="183"/>
      <c r="BG216" s="183"/>
      <c r="BH216" s="183"/>
      <c r="BI216" s="183"/>
      <c r="BJ216" s="183"/>
      <c r="BK216" s="183"/>
      <c r="BL216" s="183"/>
      <c r="BM216" s="183"/>
      <c r="BN216" s="183"/>
      <c r="BO216" s="183"/>
      <c r="BP216" s="183"/>
      <c r="BQ216" s="183"/>
      <c r="BR216" s="183"/>
      <c r="BS216" s="183"/>
      <c r="BT216" s="183"/>
      <c r="BU216" s="183"/>
      <c r="BV216" s="183"/>
      <c r="BW216" s="183"/>
      <c r="BX216" s="183"/>
      <c r="BY216" s="183"/>
      <c r="BZ216" s="183"/>
      <c r="CA216" s="183"/>
      <c r="CB216" s="183"/>
      <c r="CC216" s="183"/>
      <c r="CD216" s="183"/>
      <c r="CE216" s="183"/>
      <c r="CF216" s="183"/>
      <c r="CG216" s="183"/>
      <c r="CH216" s="183"/>
      <c r="CI216" s="183"/>
      <c r="CJ216" s="183"/>
      <c r="CK216" s="183"/>
      <c r="CL216" s="183"/>
      <c r="CM216" s="183"/>
      <c r="CN216" s="183"/>
      <c r="CO216" s="183"/>
      <c r="CP216" s="183"/>
      <c r="CQ216" s="183"/>
      <c r="CR216" s="183"/>
      <c r="CS216" s="183"/>
      <c r="CT216" s="183"/>
      <c r="CU216" s="183"/>
      <c r="CV216" s="183"/>
      <c r="CW216" s="183"/>
      <c r="CX216" s="183"/>
      <c r="CY216" s="183"/>
      <c r="CZ216" s="183"/>
      <c r="DA216" s="183"/>
      <c r="DB216" s="183"/>
      <c r="DC216" s="183"/>
      <c r="DD216" s="183"/>
      <c r="DE216" s="183"/>
      <c r="DF216" s="183"/>
      <c r="DG216" s="183"/>
      <c r="DH216" s="183"/>
      <c r="DI216" s="183"/>
      <c r="DJ216" s="183"/>
      <c r="DK216" s="183"/>
      <c r="DL216" s="183"/>
      <c r="DM216" s="183"/>
      <c r="DN216" s="183"/>
      <c r="DO216" s="183"/>
      <c r="DP216" s="183"/>
      <c r="DQ216" s="183"/>
      <c r="DR216" s="183"/>
      <c r="DS216" s="183"/>
      <c r="DT216" s="183"/>
      <c r="DU216" s="183"/>
      <c r="DV216" s="183"/>
      <c r="DW216" s="183"/>
      <c r="DX216" s="183"/>
      <c r="DY216" s="183"/>
      <c r="DZ216" s="183"/>
      <c r="EA216" s="183"/>
      <c r="EB216" s="183"/>
      <c r="EC216" s="183"/>
      <c r="ED216" s="183"/>
      <c r="EE216" s="183"/>
      <c r="EF216" s="183"/>
      <c r="EG216" s="183"/>
      <c r="EH216" s="183"/>
      <c r="EI216" s="183"/>
      <c r="EJ216" s="183"/>
      <c r="EK216" s="183"/>
      <c r="EL216" s="183"/>
      <c r="EM216" s="183"/>
      <c r="EN216" s="183"/>
      <c r="EO216" s="183"/>
      <c r="EP216" s="183"/>
      <c r="EQ216" s="183"/>
      <c r="ER216" s="183"/>
      <c r="ES216" s="183"/>
      <c r="ET216" s="183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</row>
    <row r="217" spans="1:258" ht="13.5" customHeight="1">
      <c r="A217" s="49"/>
      <c r="B217" s="2"/>
      <c r="C217" s="2"/>
      <c r="D217" s="2"/>
      <c r="E217" s="2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  <c r="AL217" s="183"/>
      <c r="AM217" s="183"/>
      <c r="AN217" s="183"/>
      <c r="AO217" s="183"/>
      <c r="AP217" s="183"/>
      <c r="AQ217" s="183"/>
      <c r="AR217" s="183"/>
      <c r="AS217" s="183"/>
      <c r="AT217" s="183"/>
      <c r="AU217" s="183"/>
      <c r="AV217" s="183"/>
      <c r="AW217" s="183"/>
      <c r="AX217" s="183"/>
      <c r="AY217" s="183"/>
      <c r="AZ217" s="183"/>
      <c r="BA217" s="183"/>
      <c r="BB217" s="183"/>
      <c r="BC217" s="183"/>
      <c r="BD217" s="183"/>
      <c r="BE217" s="183"/>
      <c r="BF217" s="183"/>
      <c r="BG217" s="183"/>
      <c r="BH217" s="183"/>
      <c r="BI217" s="183"/>
      <c r="BJ217" s="183"/>
      <c r="BK217" s="183"/>
      <c r="BL217" s="183"/>
      <c r="BM217" s="183"/>
      <c r="BN217" s="183"/>
      <c r="BO217" s="183"/>
      <c r="BP217" s="183"/>
      <c r="BQ217" s="183"/>
      <c r="BR217" s="183"/>
      <c r="BS217" s="183"/>
      <c r="BT217" s="183"/>
      <c r="BU217" s="183"/>
      <c r="BV217" s="183"/>
      <c r="BW217" s="183"/>
      <c r="BX217" s="183"/>
      <c r="BY217" s="183"/>
      <c r="BZ217" s="183"/>
      <c r="CA217" s="183"/>
      <c r="CB217" s="183"/>
      <c r="CC217" s="183"/>
      <c r="CD217" s="183"/>
      <c r="CE217" s="183"/>
      <c r="CF217" s="183"/>
      <c r="CG217" s="183"/>
      <c r="CH217" s="183"/>
      <c r="CI217" s="183"/>
      <c r="CJ217" s="183"/>
      <c r="CK217" s="183"/>
      <c r="CL217" s="183"/>
      <c r="CM217" s="183"/>
      <c r="CN217" s="183"/>
      <c r="CO217" s="183"/>
      <c r="CP217" s="183"/>
      <c r="CQ217" s="183"/>
      <c r="CR217" s="183"/>
      <c r="CS217" s="183"/>
      <c r="CT217" s="183"/>
      <c r="CU217" s="183"/>
      <c r="CV217" s="183"/>
      <c r="CW217" s="183"/>
      <c r="CX217" s="183"/>
      <c r="CY217" s="183"/>
      <c r="CZ217" s="183"/>
      <c r="DA217" s="183"/>
      <c r="DB217" s="183"/>
      <c r="DC217" s="183"/>
      <c r="DD217" s="183"/>
      <c r="DE217" s="183"/>
      <c r="DF217" s="183"/>
      <c r="DG217" s="183"/>
      <c r="DH217" s="183"/>
      <c r="DI217" s="183"/>
      <c r="DJ217" s="183"/>
      <c r="DK217" s="183"/>
      <c r="DL217" s="183"/>
      <c r="DM217" s="183"/>
      <c r="DN217" s="183"/>
      <c r="DO217" s="183"/>
      <c r="DP217" s="183"/>
      <c r="DQ217" s="183"/>
      <c r="DR217" s="183"/>
      <c r="DS217" s="183"/>
      <c r="DT217" s="183"/>
      <c r="DU217" s="183"/>
      <c r="DV217" s="183"/>
      <c r="DW217" s="183"/>
      <c r="DX217" s="183"/>
      <c r="DY217" s="183"/>
      <c r="DZ217" s="183"/>
      <c r="EA217" s="183"/>
      <c r="EB217" s="183"/>
      <c r="EC217" s="183"/>
      <c r="ED217" s="183"/>
      <c r="EE217" s="183"/>
      <c r="EF217" s="183"/>
      <c r="EG217" s="183"/>
      <c r="EH217" s="183"/>
      <c r="EI217" s="183"/>
      <c r="EJ217" s="183"/>
      <c r="EK217" s="183"/>
      <c r="EL217" s="183"/>
      <c r="EM217" s="183"/>
      <c r="EN217" s="183"/>
      <c r="EO217" s="183"/>
      <c r="EP217" s="183"/>
      <c r="EQ217" s="183"/>
      <c r="ER217" s="183"/>
      <c r="ES217" s="183"/>
      <c r="ET217" s="183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</row>
    <row r="218" spans="1:258" ht="13.5" customHeight="1">
      <c r="A218" s="49"/>
      <c r="B218" s="2"/>
      <c r="C218" s="2"/>
      <c r="D218" s="2"/>
      <c r="E218" s="2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  <c r="AL218" s="183"/>
      <c r="AM218" s="183"/>
      <c r="AN218" s="183"/>
      <c r="AO218" s="183"/>
      <c r="AP218" s="183"/>
      <c r="AQ218" s="183"/>
      <c r="AR218" s="183"/>
      <c r="AS218" s="183"/>
      <c r="AT218" s="183"/>
      <c r="AU218" s="183"/>
      <c r="AV218" s="183"/>
      <c r="AW218" s="183"/>
      <c r="AX218" s="183"/>
      <c r="AY218" s="183"/>
      <c r="AZ218" s="183"/>
      <c r="BA218" s="183"/>
      <c r="BB218" s="183"/>
      <c r="BC218" s="183"/>
      <c r="BD218" s="183"/>
      <c r="BE218" s="183"/>
      <c r="BF218" s="183"/>
      <c r="BG218" s="183"/>
      <c r="BH218" s="183"/>
      <c r="BI218" s="183"/>
      <c r="BJ218" s="183"/>
      <c r="BK218" s="183"/>
      <c r="BL218" s="183"/>
      <c r="BM218" s="183"/>
      <c r="BN218" s="183"/>
      <c r="BO218" s="183"/>
      <c r="BP218" s="183"/>
      <c r="BQ218" s="183"/>
      <c r="BR218" s="183"/>
      <c r="BS218" s="183"/>
      <c r="BT218" s="183"/>
      <c r="BU218" s="183"/>
      <c r="BV218" s="183"/>
      <c r="BW218" s="183"/>
      <c r="BX218" s="183"/>
      <c r="BY218" s="183"/>
      <c r="BZ218" s="183"/>
      <c r="CA218" s="183"/>
      <c r="CB218" s="183"/>
      <c r="CC218" s="183"/>
      <c r="CD218" s="183"/>
      <c r="CE218" s="183"/>
      <c r="CF218" s="183"/>
      <c r="CG218" s="183"/>
      <c r="CH218" s="183"/>
      <c r="CI218" s="183"/>
      <c r="CJ218" s="183"/>
      <c r="CK218" s="183"/>
      <c r="CL218" s="183"/>
      <c r="CM218" s="183"/>
      <c r="CN218" s="183"/>
      <c r="CO218" s="183"/>
      <c r="CP218" s="183"/>
      <c r="CQ218" s="183"/>
      <c r="CR218" s="183"/>
      <c r="CS218" s="183"/>
      <c r="CT218" s="183"/>
      <c r="CU218" s="183"/>
      <c r="CV218" s="183"/>
      <c r="CW218" s="183"/>
      <c r="CX218" s="183"/>
      <c r="CY218" s="183"/>
      <c r="CZ218" s="183"/>
      <c r="DA218" s="183"/>
      <c r="DB218" s="183"/>
      <c r="DC218" s="183"/>
      <c r="DD218" s="183"/>
      <c r="DE218" s="183"/>
      <c r="DF218" s="183"/>
      <c r="DG218" s="183"/>
      <c r="DH218" s="183"/>
      <c r="DI218" s="183"/>
      <c r="DJ218" s="183"/>
      <c r="DK218" s="183"/>
      <c r="DL218" s="183"/>
      <c r="DM218" s="183"/>
      <c r="DN218" s="183"/>
      <c r="DO218" s="183"/>
      <c r="DP218" s="183"/>
      <c r="DQ218" s="183"/>
      <c r="DR218" s="183"/>
      <c r="DS218" s="183"/>
      <c r="DT218" s="183"/>
      <c r="DU218" s="183"/>
      <c r="DV218" s="183"/>
      <c r="DW218" s="183"/>
      <c r="DX218" s="183"/>
      <c r="DY218" s="183"/>
      <c r="DZ218" s="183"/>
      <c r="EA218" s="183"/>
      <c r="EB218" s="183"/>
      <c r="EC218" s="183"/>
      <c r="ED218" s="183"/>
      <c r="EE218" s="183"/>
      <c r="EF218" s="183"/>
      <c r="EG218" s="183"/>
      <c r="EH218" s="183"/>
      <c r="EI218" s="183"/>
      <c r="EJ218" s="183"/>
      <c r="EK218" s="183"/>
      <c r="EL218" s="183"/>
      <c r="EM218" s="183"/>
      <c r="EN218" s="183"/>
      <c r="EO218" s="183"/>
      <c r="EP218" s="183"/>
      <c r="EQ218" s="183"/>
      <c r="ER218" s="183"/>
      <c r="ES218" s="183"/>
      <c r="ET218" s="183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</row>
    <row r="219" spans="1:258" ht="13.5" customHeight="1">
      <c r="A219" s="49"/>
      <c r="B219" s="2"/>
      <c r="C219" s="2"/>
      <c r="D219" s="2"/>
      <c r="E219" s="2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  <c r="AL219" s="183"/>
      <c r="AM219" s="183"/>
      <c r="AN219" s="183"/>
      <c r="AO219" s="183"/>
      <c r="AP219" s="183"/>
      <c r="AQ219" s="183"/>
      <c r="AR219" s="183"/>
      <c r="AS219" s="183"/>
      <c r="AT219" s="183"/>
      <c r="AU219" s="183"/>
      <c r="AV219" s="183"/>
      <c r="AW219" s="183"/>
      <c r="AX219" s="183"/>
      <c r="AY219" s="183"/>
      <c r="AZ219" s="183"/>
      <c r="BA219" s="183"/>
      <c r="BB219" s="183"/>
      <c r="BC219" s="183"/>
      <c r="BD219" s="183"/>
      <c r="BE219" s="183"/>
      <c r="BF219" s="183"/>
      <c r="BG219" s="183"/>
      <c r="BH219" s="183"/>
      <c r="BI219" s="183"/>
      <c r="BJ219" s="183"/>
      <c r="BK219" s="183"/>
      <c r="BL219" s="183"/>
      <c r="BM219" s="183"/>
      <c r="BN219" s="183"/>
      <c r="BO219" s="183"/>
      <c r="BP219" s="183"/>
      <c r="BQ219" s="183"/>
      <c r="BR219" s="183"/>
      <c r="BS219" s="183"/>
      <c r="BT219" s="183"/>
      <c r="BU219" s="183"/>
      <c r="BV219" s="183"/>
      <c r="BW219" s="183"/>
      <c r="BX219" s="183"/>
      <c r="BY219" s="183"/>
      <c r="BZ219" s="183"/>
      <c r="CA219" s="183"/>
      <c r="CB219" s="183"/>
      <c r="CC219" s="183"/>
      <c r="CD219" s="183"/>
      <c r="CE219" s="183"/>
      <c r="CF219" s="183"/>
      <c r="CG219" s="183"/>
      <c r="CH219" s="183"/>
      <c r="CI219" s="183"/>
      <c r="CJ219" s="183"/>
      <c r="CK219" s="183"/>
      <c r="CL219" s="183"/>
      <c r="CM219" s="183"/>
      <c r="CN219" s="183"/>
      <c r="CO219" s="183"/>
      <c r="CP219" s="183"/>
      <c r="CQ219" s="183"/>
      <c r="CR219" s="183"/>
      <c r="CS219" s="183"/>
      <c r="CT219" s="183"/>
      <c r="CU219" s="183"/>
      <c r="CV219" s="183"/>
      <c r="CW219" s="183"/>
      <c r="CX219" s="183"/>
      <c r="CY219" s="183"/>
      <c r="CZ219" s="183"/>
      <c r="DA219" s="183"/>
      <c r="DB219" s="183"/>
      <c r="DC219" s="183"/>
      <c r="DD219" s="183"/>
      <c r="DE219" s="183"/>
      <c r="DF219" s="183"/>
      <c r="DG219" s="183"/>
      <c r="DH219" s="183"/>
      <c r="DI219" s="183"/>
      <c r="DJ219" s="183"/>
      <c r="DK219" s="183"/>
      <c r="DL219" s="183"/>
      <c r="DM219" s="183"/>
      <c r="DN219" s="183"/>
      <c r="DO219" s="183"/>
      <c r="DP219" s="183"/>
      <c r="DQ219" s="183"/>
      <c r="DR219" s="183"/>
      <c r="DS219" s="183"/>
      <c r="DT219" s="183"/>
      <c r="DU219" s="183"/>
      <c r="DV219" s="183"/>
      <c r="DW219" s="183"/>
      <c r="DX219" s="183"/>
      <c r="DY219" s="183"/>
      <c r="DZ219" s="183"/>
      <c r="EA219" s="183"/>
      <c r="EB219" s="183"/>
      <c r="EC219" s="183"/>
      <c r="ED219" s="183"/>
      <c r="EE219" s="183"/>
      <c r="EF219" s="183"/>
      <c r="EG219" s="183"/>
      <c r="EH219" s="183"/>
      <c r="EI219" s="183"/>
      <c r="EJ219" s="183"/>
      <c r="EK219" s="183"/>
      <c r="EL219" s="183"/>
      <c r="EM219" s="183"/>
      <c r="EN219" s="183"/>
      <c r="EO219" s="183"/>
      <c r="EP219" s="183"/>
      <c r="EQ219" s="183"/>
      <c r="ER219" s="183"/>
      <c r="ES219" s="183"/>
      <c r="ET219" s="183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</row>
    <row r="220" spans="1:258" ht="13.5" customHeight="1">
      <c r="A220" s="49"/>
      <c r="B220" s="2"/>
      <c r="C220" s="2"/>
      <c r="D220" s="2"/>
      <c r="E220" s="2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  <c r="AL220" s="183"/>
      <c r="AM220" s="183"/>
      <c r="AN220" s="183"/>
      <c r="AO220" s="183"/>
      <c r="AP220" s="183"/>
      <c r="AQ220" s="183"/>
      <c r="AR220" s="183"/>
      <c r="AS220" s="183"/>
      <c r="AT220" s="183"/>
      <c r="AU220" s="183"/>
      <c r="AV220" s="183"/>
      <c r="AW220" s="183"/>
      <c r="AX220" s="183"/>
      <c r="AY220" s="183"/>
      <c r="AZ220" s="183"/>
      <c r="BA220" s="183"/>
      <c r="BB220" s="183"/>
      <c r="BC220" s="183"/>
      <c r="BD220" s="183"/>
      <c r="BE220" s="183"/>
      <c r="BF220" s="183"/>
      <c r="BG220" s="183"/>
      <c r="BH220" s="183"/>
      <c r="BI220" s="183"/>
      <c r="BJ220" s="183"/>
      <c r="BK220" s="183"/>
      <c r="BL220" s="183"/>
      <c r="BM220" s="183"/>
      <c r="BN220" s="183"/>
      <c r="BO220" s="183"/>
      <c r="BP220" s="183"/>
      <c r="BQ220" s="183"/>
      <c r="BR220" s="183"/>
      <c r="BS220" s="183"/>
      <c r="BT220" s="183"/>
      <c r="BU220" s="183"/>
      <c r="BV220" s="183"/>
      <c r="BW220" s="183"/>
      <c r="BX220" s="183"/>
      <c r="BY220" s="183"/>
      <c r="BZ220" s="183"/>
      <c r="CA220" s="183"/>
      <c r="CB220" s="183"/>
      <c r="CC220" s="183"/>
      <c r="CD220" s="183"/>
      <c r="CE220" s="183"/>
      <c r="CF220" s="183"/>
      <c r="CG220" s="183"/>
      <c r="CH220" s="183"/>
      <c r="CI220" s="183"/>
      <c r="CJ220" s="183"/>
      <c r="CK220" s="183"/>
      <c r="CL220" s="183"/>
      <c r="CM220" s="183"/>
      <c r="CN220" s="183"/>
      <c r="CO220" s="183"/>
      <c r="CP220" s="183"/>
      <c r="CQ220" s="183"/>
      <c r="CR220" s="183"/>
      <c r="CS220" s="183"/>
      <c r="CT220" s="183"/>
      <c r="CU220" s="183"/>
      <c r="CV220" s="183"/>
      <c r="CW220" s="183"/>
      <c r="CX220" s="183"/>
      <c r="CY220" s="183"/>
      <c r="CZ220" s="183"/>
      <c r="DA220" s="183"/>
      <c r="DB220" s="183"/>
      <c r="DC220" s="183"/>
      <c r="DD220" s="183"/>
      <c r="DE220" s="183"/>
      <c r="DF220" s="183"/>
      <c r="DG220" s="183"/>
      <c r="DH220" s="183"/>
      <c r="DI220" s="183"/>
      <c r="DJ220" s="183"/>
      <c r="DK220" s="183"/>
      <c r="DL220" s="183"/>
      <c r="DM220" s="183"/>
      <c r="DN220" s="183"/>
      <c r="DO220" s="183"/>
      <c r="DP220" s="183"/>
      <c r="DQ220" s="183"/>
      <c r="DR220" s="183"/>
      <c r="DS220" s="183"/>
      <c r="DT220" s="183"/>
      <c r="DU220" s="183"/>
      <c r="DV220" s="183"/>
      <c r="DW220" s="183"/>
      <c r="DX220" s="183"/>
      <c r="DY220" s="183"/>
      <c r="DZ220" s="183"/>
      <c r="EA220" s="183"/>
      <c r="EB220" s="183"/>
      <c r="EC220" s="183"/>
      <c r="ED220" s="183"/>
      <c r="EE220" s="183"/>
      <c r="EF220" s="183"/>
      <c r="EG220" s="183"/>
      <c r="EH220" s="183"/>
      <c r="EI220" s="183"/>
      <c r="EJ220" s="183"/>
      <c r="EK220" s="183"/>
      <c r="EL220" s="183"/>
      <c r="EM220" s="183"/>
      <c r="EN220" s="183"/>
      <c r="EO220" s="183"/>
      <c r="EP220" s="183"/>
      <c r="EQ220" s="183"/>
      <c r="ER220" s="183"/>
      <c r="ES220" s="183"/>
      <c r="ET220" s="183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</row>
    <row r="221" spans="1:258" ht="13.5" customHeight="1">
      <c r="A221" s="49"/>
      <c r="B221" s="2"/>
      <c r="C221" s="2"/>
      <c r="D221" s="2"/>
      <c r="E221" s="2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  <c r="AL221" s="183"/>
      <c r="AM221" s="183"/>
      <c r="AN221" s="183"/>
      <c r="AO221" s="183"/>
      <c r="AP221" s="183"/>
      <c r="AQ221" s="183"/>
      <c r="AR221" s="183"/>
      <c r="AS221" s="183"/>
      <c r="AT221" s="183"/>
      <c r="AU221" s="183"/>
      <c r="AV221" s="183"/>
      <c r="AW221" s="183"/>
      <c r="AX221" s="183"/>
      <c r="AY221" s="183"/>
      <c r="AZ221" s="183"/>
      <c r="BA221" s="183"/>
      <c r="BB221" s="183"/>
      <c r="BC221" s="183"/>
      <c r="BD221" s="183"/>
      <c r="BE221" s="183"/>
      <c r="BF221" s="183"/>
      <c r="BG221" s="183"/>
      <c r="BH221" s="183"/>
      <c r="BI221" s="183"/>
      <c r="BJ221" s="183"/>
      <c r="BK221" s="183"/>
      <c r="BL221" s="183"/>
      <c r="BM221" s="183"/>
      <c r="BN221" s="183"/>
      <c r="BO221" s="183"/>
      <c r="BP221" s="183"/>
      <c r="BQ221" s="183"/>
      <c r="BR221" s="183"/>
      <c r="BS221" s="183"/>
      <c r="BT221" s="183"/>
      <c r="BU221" s="183"/>
      <c r="BV221" s="183"/>
      <c r="BW221" s="183"/>
      <c r="BX221" s="183"/>
      <c r="BY221" s="183"/>
      <c r="BZ221" s="183"/>
      <c r="CA221" s="183"/>
      <c r="CB221" s="183"/>
      <c r="CC221" s="183"/>
      <c r="CD221" s="183"/>
      <c r="CE221" s="183"/>
      <c r="CF221" s="183"/>
      <c r="CG221" s="183"/>
      <c r="CH221" s="183"/>
      <c r="CI221" s="183"/>
      <c r="CJ221" s="183"/>
      <c r="CK221" s="183"/>
      <c r="CL221" s="183"/>
      <c r="CM221" s="183"/>
      <c r="CN221" s="183"/>
      <c r="CO221" s="183"/>
      <c r="CP221" s="183"/>
      <c r="CQ221" s="183"/>
      <c r="CR221" s="183"/>
      <c r="CS221" s="183"/>
      <c r="CT221" s="183"/>
      <c r="CU221" s="183"/>
      <c r="CV221" s="183"/>
      <c r="CW221" s="183"/>
      <c r="CX221" s="183"/>
      <c r="CY221" s="183"/>
      <c r="CZ221" s="183"/>
      <c r="DA221" s="183"/>
      <c r="DB221" s="183"/>
      <c r="DC221" s="183"/>
      <c r="DD221" s="183"/>
      <c r="DE221" s="183"/>
      <c r="DF221" s="183"/>
      <c r="DG221" s="183"/>
      <c r="DH221" s="183"/>
      <c r="DI221" s="183"/>
      <c r="DJ221" s="183"/>
      <c r="DK221" s="183"/>
      <c r="DL221" s="183"/>
      <c r="DM221" s="183"/>
      <c r="DN221" s="183"/>
      <c r="DO221" s="183"/>
      <c r="DP221" s="183"/>
      <c r="DQ221" s="183"/>
      <c r="DR221" s="183"/>
      <c r="DS221" s="183"/>
      <c r="DT221" s="183"/>
      <c r="DU221" s="183"/>
      <c r="DV221" s="183"/>
      <c r="DW221" s="183"/>
      <c r="DX221" s="183"/>
      <c r="DY221" s="183"/>
      <c r="DZ221" s="183"/>
      <c r="EA221" s="183"/>
      <c r="EB221" s="183"/>
      <c r="EC221" s="183"/>
      <c r="ED221" s="183"/>
      <c r="EE221" s="183"/>
      <c r="EF221" s="183"/>
      <c r="EG221" s="183"/>
      <c r="EH221" s="183"/>
      <c r="EI221" s="183"/>
      <c r="EJ221" s="183"/>
      <c r="EK221" s="183"/>
      <c r="EL221" s="183"/>
      <c r="EM221" s="183"/>
      <c r="EN221" s="183"/>
      <c r="EO221" s="183"/>
      <c r="EP221" s="183"/>
      <c r="EQ221" s="183"/>
      <c r="ER221" s="183"/>
      <c r="ES221" s="183"/>
      <c r="ET221" s="183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</row>
    <row r="222" spans="1:258" ht="13.5" customHeight="1">
      <c r="A222" s="49"/>
      <c r="B222" s="2"/>
      <c r="C222" s="2"/>
      <c r="D222" s="2"/>
      <c r="E222" s="2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  <c r="AP222" s="183"/>
      <c r="AQ222" s="183"/>
      <c r="AR222" s="183"/>
      <c r="AS222" s="183"/>
      <c r="AT222" s="183"/>
      <c r="AU222" s="183"/>
      <c r="AV222" s="183"/>
      <c r="AW222" s="183"/>
      <c r="AX222" s="183"/>
      <c r="AY222" s="183"/>
      <c r="AZ222" s="183"/>
      <c r="BA222" s="183"/>
      <c r="BB222" s="183"/>
      <c r="BC222" s="183"/>
      <c r="BD222" s="183"/>
      <c r="BE222" s="183"/>
      <c r="BF222" s="183"/>
      <c r="BG222" s="183"/>
      <c r="BH222" s="183"/>
      <c r="BI222" s="183"/>
      <c r="BJ222" s="183"/>
      <c r="BK222" s="183"/>
      <c r="BL222" s="183"/>
      <c r="BM222" s="183"/>
      <c r="BN222" s="183"/>
      <c r="BO222" s="183"/>
      <c r="BP222" s="183"/>
      <c r="BQ222" s="183"/>
      <c r="BR222" s="183"/>
      <c r="BS222" s="183"/>
      <c r="BT222" s="183"/>
      <c r="BU222" s="183"/>
      <c r="BV222" s="183"/>
      <c r="BW222" s="183"/>
      <c r="BX222" s="183"/>
      <c r="BY222" s="183"/>
      <c r="BZ222" s="183"/>
      <c r="CA222" s="183"/>
      <c r="CB222" s="183"/>
      <c r="CC222" s="183"/>
      <c r="CD222" s="183"/>
      <c r="CE222" s="183"/>
      <c r="CF222" s="183"/>
      <c r="CG222" s="183"/>
      <c r="CH222" s="183"/>
      <c r="CI222" s="183"/>
      <c r="CJ222" s="183"/>
      <c r="CK222" s="183"/>
      <c r="CL222" s="183"/>
      <c r="CM222" s="183"/>
      <c r="CN222" s="183"/>
      <c r="CO222" s="183"/>
      <c r="CP222" s="183"/>
      <c r="CQ222" s="183"/>
      <c r="CR222" s="183"/>
      <c r="CS222" s="183"/>
      <c r="CT222" s="183"/>
      <c r="CU222" s="183"/>
      <c r="CV222" s="183"/>
      <c r="CW222" s="183"/>
      <c r="CX222" s="183"/>
      <c r="CY222" s="183"/>
      <c r="CZ222" s="183"/>
      <c r="DA222" s="183"/>
      <c r="DB222" s="183"/>
      <c r="DC222" s="183"/>
      <c r="DD222" s="183"/>
      <c r="DE222" s="183"/>
      <c r="DF222" s="183"/>
      <c r="DG222" s="183"/>
      <c r="DH222" s="183"/>
      <c r="DI222" s="183"/>
      <c r="DJ222" s="183"/>
      <c r="DK222" s="183"/>
      <c r="DL222" s="183"/>
      <c r="DM222" s="183"/>
      <c r="DN222" s="183"/>
      <c r="DO222" s="183"/>
      <c r="DP222" s="183"/>
      <c r="DQ222" s="183"/>
      <c r="DR222" s="183"/>
      <c r="DS222" s="183"/>
      <c r="DT222" s="183"/>
      <c r="DU222" s="183"/>
      <c r="DV222" s="183"/>
      <c r="DW222" s="183"/>
      <c r="DX222" s="183"/>
      <c r="DY222" s="183"/>
      <c r="DZ222" s="183"/>
      <c r="EA222" s="183"/>
      <c r="EB222" s="183"/>
      <c r="EC222" s="183"/>
      <c r="ED222" s="183"/>
      <c r="EE222" s="183"/>
      <c r="EF222" s="183"/>
      <c r="EG222" s="183"/>
      <c r="EH222" s="183"/>
      <c r="EI222" s="183"/>
      <c r="EJ222" s="183"/>
      <c r="EK222" s="183"/>
      <c r="EL222" s="183"/>
      <c r="EM222" s="183"/>
      <c r="EN222" s="183"/>
      <c r="EO222" s="183"/>
      <c r="EP222" s="183"/>
      <c r="EQ222" s="183"/>
      <c r="ER222" s="183"/>
      <c r="ES222" s="183"/>
      <c r="ET222" s="183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</row>
    <row r="223" spans="1:258" ht="13.5" customHeight="1">
      <c r="A223" s="49"/>
      <c r="B223" s="2"/>
      <c r="C223" s="2"/>
      <c r="D223" s="2"/>
      <c r="E223" s="2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  <c r="AL223" s="183"/>
      <c r="AM223" s="183"/>
      <c r="AN223" s="183"/>
      <c r="AO223" s="183"/>
      <c r="AP223" s="183"/>
      <c r="AQ223" s="183"/>
      <c r="AR223" s="183"/>
      <c r="AS223" s="183"/>
      <c r="AT223" s="183"/>
      <c r="AU223" s="183"/>
      <c r="AV223" s="183"/>
      <c r="AW223" s="183"/>
      <c r="AX223" s="183"/>
      <c r="AY223" s="183"/>
      <c r="AZ223" s="183"/>
      <c r="BA223" s="183"/>
      <c r="BB223" s="183"/>
      <c r="BC223" s="183"/>
      <c r="BD223" s="183"/>
      <c r="BE223" s="183"/>
      <c r="BF223" s="183"/>
      <c r="BG223" s="183"/>
      <c r="BH223" s="183"/>
      <c r="BI223" s="183"/>
      <c r="BJ223" s="183"/>
      <c r="BK223" s="183"/>
      <c r="BL223" s="183"/>
      <c r="BM223" s="183"/>
      <c r="BN223" s="183"/>
      <c r="BO223" s="183"/>
      <c r="BP223" s="183"/>
      <c r="BQ223" s="183"/>
      <c r="BR223" s="183"/>
      <c r="BS223" s="183"/>
      <c r="BT223" s="183"/>
      <c r="BU223" s="183"/>
      <c r="BV223" s="183"/>
      <c r="BW223" s="183"/>
      <c r="BX223" s="183"/>
      <c r="BY223" s="183"/>
      <c r="BZ223" s="183"/>
      <c r="CA223" s="183"/>
      <c r="CB223" s="183"/>
      <c r="CC223" s="183"/>
      <c r="CD223" s="183"/>
      <c r="CE223" s="183"/>
      <c r="CF223" s="183"/>
      <c r="CG223" s="183"/>
      <c r="CH223" s="183"/>
      <c r="CI223" s="183"/>
      <c r="CJ223" s="183"/>
      <c r="CK223" s="183"/>
      <c r="CL223" s="183"/>
      <c r="CM223" s="183"/>
      <c r="CN223" s="183"/>
      <c r="CO223" s="183"/>
      <c r="CP223" s="183"/>
      <c r="CQ223" s="183"/>
      <c r="CR223" s="183"/>
      <c r="CS223" s="183"/>
      <c r="CT223" s="183"/>
      <c r="CU223" s="183"/>
      <c r="CV223" s="183"/>
      <c r="CW223" s="183"/>
      <c r="CX223" s="183"/>
      <c r="CY223" s="183"/>
      <c r="CZ223" s="183"/>
      <c r="DA223" s="183"/>
      <c r="DB223" s="183"/>
      <c r="DC223" s="183"/>
      <c r="DD223" s="183"/>
      <c r="DE223" s="183"/>
      <c r="DF223" s="183"/>
      <c r="DG223" s="183"/>
      <c r="DH223" s="183"/>
      <c r="DI223" s="183"/>
      <c r="DJ223" s="183"/>
      <c r="DK223" s="183"/>
      <c r="DL223" s="183"/>
      <c r="DM223" s="183"/>
      <c r="DN223" s="183"/>
      <c r="DO223" s="183"/>
      <c r="DP223" s="183"/>
      <c r="DQ223" s="183"/>
      <c r="DR223" s="183"/>
      <c r="DS223" s="183"/>
      <c r="DT223" s="183"/>
      <c r="DU223" s="183"/>
      <c r="DV223" s="183"/>
      <c r="DW223" s="183"/>
      <c r="DX223" s="183"/>
      <c r="DY223" s="183"/>
      <c r="DZ223" s="183"/>
      <c r="EA223" s="183"/>
      <c r="EB223" s="183"/>
      <c r="EC223" s="183"/>
      <c r="ED223" s="183"/>
      <c r="EE223" s="183"/>
      <c r="EF223" s="183"/>
      <c r="EG223" s="183"/>
      <c r="EH223" s="183"/>
      <c r="EI223" s="183"/>
      <c r="EJ223" s="183"/>
      <c r="EK223" s="183"/>
      <c r="EL223" s="183"/>
      <c r="EM223" s="183"/>
      <c r="EN223" s="183"/>
      <c r="EO223" s="183"/>
      <c r="EP223" s="183"/>
      <c r="EQ223" s="183"/>
      <c r="ER223" s="183"/>
      <c r="ES223" s="183"/>
      <c r="ET223" s="183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</row>
    <row r="224" spans="1:258" ht="13.5" customHeight="1">
      <c r="A224" s="49"/>
      <c r="B224" s="2"/>
      <c r="C224" s="2"/>
      <c r="D224" s="2"/>
      <c r="E224" s="2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  <c r="AL224" s="183"/>
      <c r="AM224" s="183"/>
      <c r="AN224" s="183"/>
      <c r="AO224" s="183"/>
      <c r="AP224" s="183"/>
      <c r="AQ224" s="183"/>
      <c r="AR224" s="183"/>
      <c r="AS224" s="183"/>
      <c r="AT224" s="183"/>
      <c r="AU224" s="183"/>
      <c r="AV224" s="183"/>
      <c r="AW224" s="183"/>
      <c r="AX224" s="183"/>
      <c r="AY224" s="183"/>
      <c r="AZ224" s="183"/>
      <c r="BA224" s="183"/>
      <c r="BB224" s="183"/>
      <c r="BC224" s="183"/>
      <c r="BD224" s="183"/>
      <c r="BE224" s="183"/>
      <c r="BF224" s="183"/>
      <c r="BG224" s="183"/>
      <c r="BH224" s="183"/>
      <c r="BI224" s="183"/>
      <c r="BJ224" s="183"/>
      <c r="BK224" s="183"/>
      <c r="BL224" s="183"/>
      <c r="BM224" s="183"/>
      <c r="BN224" s="183"/>
      <c r="BO224" s="183"/>
      <c r="BP224" s="183"/>
      <c r="BQ224" s="183"/>
      <c r="BR224" s="183"/>
      <c r="BS224" s="183"/>
      <c r="BT224" s="183"/>
      <c r="BU224" s="183"/>
      <c r="BV224" s="183"/>
      <c r="BW224" s="183"/>
      <c r="BX224" s="183"/>
      <c r="BY224" s="183"/>
      <c r="BZ224" s="183"/>
      <c r="CA224" s="183"/>
      <c r="CB224" s="183"/>
      <c r="CC224" s="183"/>
      <c r="CD224" s="183"/>
      <c r="CE224" s="183"/>
      <c r="CF224" s="183"/>
      <c r="CG224" s="183"/>
      <c r="CH224" s="183"/>
      <c r="CI224" s="183"/>
      <c r="CJ224" s="183"/>
      <c r="CK224" s="183"/>
      <c r="CL224" s="183"/>
      <c r="CM224" s="183"/>
      <c r="CN224" s="183"/>
      <c r="CO224" s="183"/>
      <c r="CP224" s="183"/>
      <c r="CQ224" s="183"/>
      <c r="CR224" s="183"/>
      <c r="CS224" s="183"/>
      <c r="CT224" s="183"/>
      <c r="CU224" s="183"/>
      <c r="CV224" s="183"/>
      <c r="CW224" s="183"/>
      <c r="CX224" s="183"/>
      <c r="CY224" s="183"/>
      <c r="CZ224" s="183"/>
      <c r="DA224" s="183"/>
      <c r="DB224" s="183"/>
      <c r="DC224" s="183"/>
      <c r="DD224" s="183"/>
      <c r="DE224" s="183"/>
      <c r="DF224" s="183"/>
      <c r="DG224" s="183"/>
      <c r="DH224" s="183"/>
      <c r="DI224" s="183"/>
      <c r="DJ224" s="183"/>
      <c r="DK224" s="183"/>
      <c r="DL224" s="183"/>
      <c r="DM224" s="183"/>
      <c r="DN224" s="183"/>
      <c r="DO224" s="183"/>
      <c r="DP224" s="183"/>
      <c r="DQ224" s="183"/>
      <c r="DR224" s="183"/>
      <c r="DS224" s="183"/>
      <c r="DT224" s="183"/>
      <c r="DU224" s="183"/>
      <c r="DV224" s="183"/>
      <c r="DW224" s="183"/>
      <c r="DX224" s="183"/>
      <c r="DY224" s="183"/>
      <c r="DZ224" s="183"/>
      <c r="EA224" s="183"/>
      <c r="EB224" s="183"/>
      <c r="EC224" s="183"/>
      <c r="ED224" s="183"/>
      <c r="EE224" s="183"/>
      <c r="EF224" s="183"/>
      <c r="EG224" s="183"/>
      <c r="EH224" s="183"/>
      <c r="EI224" s="183"/>
      <c r="EJ224" s="183"/>
      <c r="EK224" s="183"/>
      <c r="EL224" s="183"/>
      <c r="EM224" s="183"/>
      <c r="EN224" s="183"/>
      <c r="EO224" s="183"/>
      <c r="EP224" s="183"/>
      <c r="EQ224" s="183"/>
      <c r="ER224" s="183"/>
      <c r="ES224" s="183"/>
      <c r="ET224" s="183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</row>
    <row r="225" spans="1:258" ht="13.5" customHeight="1">
      <c r="A225" s="49"/>
      <c r="B225" s="2"/>
      <c r="C225" s="2"/>
      <c r="D225" s="2"/>
      <c r="E225" s="2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  <c r="AL225" s="183"/>
      <c r="AM225" s="183"/>
      <c r="AN225" s="183"/>
      <c r="AO225" s="183"/>
      <c r="AP225" s="183"/>
      <c r="AQ225" s="183"/>
      <c r="AR225" s="183"/>
      <c r="AS225" s="183"/>
      <c r="AT225" s="183"/>
      <c r="AU225" s="183"/>
      <c r="AV225" s="183"/>
      <c r="AW225" s="183"/>
      <c r="AX225" s="183"/>
      <c r="AY225" s="183"/>
      <c r="AZ225" s="183"/>
      <c r="BA225" s="183"/>
      <c r="BB225" s="183"/>
      <c r="BC225" s="183"/>
      <c r="BD225" s="183"/>
      <c r="BE225" s="183"/>
      <c r="BF225" s="183"/>
      <c r="BG225" s="183"/>
      <c r="BH225" s="183"/>
      <c r="BI225" s="183"/>
      <c r="BJ225" s="183"/>
      <c r="BK225" s="183"/>
      <c r="BL225" s="183"/>
      <c r="BM225" s="183"/>
      <c r="BN225" s="183"/>
      <c r="BO225" s="183"/>
      <c r="BP225" s="183"/>
      <c r="BQ225" s="183"/>
      <c r="BR225" s="183"/>
      <c r="BS225" s="183"/>
      <c r="BT225" s="183"/>
      <c r="BU225" s="183"/>
      <c r="BV225" s="183"/>
      <c r="BW225" s="183"/>
      <c r="BX225" s="183"/>
      <c r="BY225" s="183"/>
      <c r="BZ225" s="183"/>
      <c r="CA225" s="183"/>
      <c r="CB225" s="183"/>
      <c r="CC225" s="183"/>
      <c r="CD225" s="183"/>
      <c r="CE225" s="183"/>
      <c r="CF225" s="183"/>
      <c r="CG225" s="183"/>
      <c r="CH225" s="183"/>
      <c r="CI225" s="183"/>
      <c r="CJ225" s="183"/>
      <c r="CK225" s="183"/>
      <c r="CL225" s="183"/>
      <c r="CM225" s="183"/>
      <c r="CN225" s="183"/>
      <c r="CO225" s="183"/>
      <c r="CP225" s="183"/>
      <c r="CQ225" s="183"/>
      <c r="CR225" s="183"/>
      <c r="CS225" s="183"/>
      <c r="CT225" s="183"/>
      <c r="CU225" s="183"/>
      <c r="CV225" s="183"/>
      <c r="CW225" s="183"/>
      <c r="CX225" s="183"/>
      <c r="CY225" s="183"/>
      <c r="CZ225" s="183"/>
      <c r="DA225" s="183"/>
      <c r="DB225" s="183"/>
      <c r="DC225" s="183"/>
      <c r="DD225" s="183"/>
      <c r="DE225" s="183"/>
      <c r="DF225" s="183"/>
      <c r="DG225" s="183"/>
      <c r="DH225" s="183"/>
      <c r="DI225" s="183"/>
      <c r="DJ225" s="183"/>
      <c r="DK225" s="183"/>
      <c r="DL225" s="183"/>
      <c r="DM225" s="183"/>
      <c r="DN225" s="183"/>
      <c r="DO225" s="183"/>
      <c r="DP225" s="183"/>
      <c r="DQ225" s="183"/>
      <c r="DR225" s="183"/>
      <c r="DS225" s="183"/>
      <c r="DT225" s="183"/>
      <c r="DU225" s="183"/>
      <c r="DV225" s="183"/>
      <c r="DW225" s="183"/>
      <c r="DX225" s="183"/>
      <c r="DY225" s="183"/>
      <c r="DZ225" s="183"/>
      <c r="EA225" s="183"/>
      <c r="EB225" s="183"/>
      <c r="EC225" s="183"/>
      <c r="ED225" s="183"/>
      <c r="EE225" s="183"/>
      <c r="EF225" s="183"/>
      <c r="EG225" s="183"/>
      <c r="EH225" s="183"/>
      <c r="EI225" s="183"/>
      <c r="EJ225" s="183"/>
      <c r="EK225" s="183"/>
      <c r="EL225" s="183"/>
      <c r="EM225" s="183"/>
      <c r="EN225" s="183"/>
      <c r="EO225" s="183"/>
      <c r="EP225" s="183"/>
      <c r="EQ225" s="183"/>
      <c r="ER225" s="183"/>
      <c r="ES225" s="183"/>
      <c r="ET225" s="183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</row>
    <row r="226" spans="1:258" ht="13.5" customHeight="1">
      <c r="A226" s="49"/>
      <c r="B226" s="2"/>
      <c r="C226" s="2"/>
      <c r="D226" s="2"/>
      <c r="E226" s="2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  <c r="AL226" s="183"/>
      <c r="AM226" s="183"/>
      <c r="AN226" s="183"/>
      <c r="AO226" s="183"/>
      <c r="AP226" s="183"/>
      <c r="AQ226" s="183"/>
      <c r="AR226" s="183"/>
      <c r="AS226" s="183"/>
      <c r="AT226" s="183"/>
      <c r="AU226" s="183"/>
      <c r="AV226" s="183"/>
      <c r="AW226" s="183"/>
      <c r="AX226" s="183"/>
      <c r="AY226" s="183"/>
      <c r="AZ226" s="183"/>
      <c r="BA226" s="183"/>
      <c r="BB226" s="183"/>
      <c r="BC226" s="183"/>
      <c r="BD226" s="183"/>
      <c r="BE226" s="183"/>
      <c r="BF226" s="183"/>
      <c r="BG226" s="183"/>
      <c r="BH226" s="183"/>
      <c r="BI226" s="183"/>
      <c r="BJ226" s="183"/>
      <c r="BK226" s="183"/>
      <c r="BL226" s="183"/>
      <c r="BM226" s="183"/>
      <c r="BN226" s="183"/>
      <c r="BO226" s="183"/>
      <c r="BP226" s="183"/>
      <c r="BQ226" s="183"/>
      <c r="BR226" s="183"/>
      <c r="BS226" s="183"/>
      <c r="BT226" s="183"/>
      <c r="BU226" s="183"/>
      <c r="BV226" s="183"/>
      <c r="BW226" s="183"/>
      <c r="BX226" s="183"/>
      <c r="BY226" s="183"/>
      <c r="BZ226" s="183"/>
      <c r="CA226" s="183"/>
      <c r="CB226" s="183"/>
      <c r="CC226" s="183"/>
      <c r="CD226" s="183"/>
      <c r="CE226" s="183"/>
      <c r="CF226" s="183"/>
      <c r="CG226" s="183"/>
      <c r="CH226" s="183"/>
      <c r="CI226" s="183"/>
      <c r="CJ226" s="183"/>
      <c r="CK226" s="183"/>
      <c r="CL226" s="183"/>
      <c r="CM226" s="183"/>
      <c r="CN226" s="183"/>
      <c r="CO226" s="183"/>
      <c r="CP226" s="183"/>
      <c r="CQ226" s="183"/>
      <c r="CR226" s="183"/>
      <c r="CS226" s="183"/>
      <c r="CT226" s="183"/>
      <c r="CU226" s="183"/>
      <c r="CV226" s="183"/>
      <c r="CW226" s="183"/>
      <c r="CX226" s="183"/>
      <c r="CY226" s="183"/>
      <c r="CZ226" s="183"/>
      <c r="DA226" s="183"/>
      <c r="DB226" s="183"/>
      <c r="DC226" s="183"/>
      <c r="DD226" s="183"/>
      <c r="DE226" s="183"/>
      <c r="DF226" s="183"/>
      <c r="DG226" s="183"/>
      <c r="DH226" s="183"/>
      <c r="DI226" s="183"/>
      <c r="DJ226" s="183"/>
      <c r="DK226" s="183"/>
      <c r="DL226" s="183"/>
      <c r="DM226" s="183"/>
      <c r="DN226" s="183"/>
      <c r="DO226" s="183"/>
      <c r="DP226" s="183"/>
      <c r="DQ226" s="183"/>
      <c r="DR226" s="183"/>
      <c r="DS226" s="183"/>
      <c r="DT226" s="183"/>
      <c r="DU226" s="183"/>
      <c r="DV226" s="183"/>
      <c r="DW226" s="183"/>
      <c r="DX226" s="183"/>
      <c r="DY226" s="183"/>
      <c r="DZ226" s="183"/>
      <c r="EA226" s="183"/>
      <c r="EB226" s="183"/>
      <c r="EC226" s="183"/>
      <c r="ED226" s="183"/>
      <c r="EE226" s="183"/>
      <c r="EF226" s="183"/>
      <c r="EG226" s="183"/>
      <c r="EH226" s="183"/>
      <c r="EI226" s="183"/>
      <c r="EJ226" s="183"/>
      <c r="EK226" s="183"/>
      <c r="EL226" s="183"/>
      <c r="EM226" s="183"/>
      <c r="EN226" s="183"/>
      <c r="EO226" s="183"/>
      <c r="EP226" s="183"/>
      <c r="EQ226" s="183"/>
      <c r="ER226" s="183"/>
      <c r="ES226" s="183"/>
      <c r="ET226" s="183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</row>
    <row r="227" spans="1:258" ht="13.5" customHeight="1">
      <c r="A227" s="49"/>
      <c r="B227" s="2"/>
      <c r="C227" s="2"/>
      <c r="D227" s="2"/>
      <c r="E227" s="2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3"/>
      <c r="AU227" s="183"/>
      <c r="AV227" s="183"/>
      <c r="AW227" s="183"/>
      <c r="AX227" s="183"/>
      <c r="AY227" s="183"/>
      <c r="AZ227" s="183"/>
      <c r="BA227" s="183"/>
      <c r="BB227" s="183"/>
      <c r="BC227" s="183"/>
      <c r="BD227" s="183"/>
      <c r="BE227" s="183"/>
      <c r="BF227" s="183"/>
      <c r="BG227" s="183"/>
      <c r="BH227" s="183"/>
      <c r="BI227" s="183"/>
      <c r="BJ227" s="183"/>
      <c r="BK227" s="183"/>
      <c r="BL227" s="183"/>
      <c r="BM227" s="183"/>
      <c r="BN227" s="183"/>
      <c r="BO227" s="183"/>
      <c r="BP227" s="183"/>
      <c r="BQ227" s="183"/>
      <c r="BR227" s="183"/>
      <c r="BS227" s="183"/>
      <c r="BT227" s="183"/>
      <c r="BU227" s="183"/>
      <c r="BV227" s="183"/>
      <c r="BW227" s="183"/>
      <c r="BX227" s="183"/>
      <c r="BY227" s="183"/>
      <c r="BZ227" s="183"/>
      <c r="CA227" s="183"/>
      <c r="CB227" s="183"/>
      <c r="CC227" s="183"/>
      <c r="CD227" s="183"/>
      <c r="CE227" s="183"/>
      <c r="CF227" s="183"/>
      <c r="CG227" s="183"/>
      <c r="CH227" s="183"/>
      <c r="CI227" s="183"/>
      <c r="CJ227" s="183"/>
      <c r="CK227" s="183"/>
      <c r="CL227" s="183"/>
      <c r="CM227" s="183"/>
      <c r="CN227" s="183"/>
      <c r="CO227" s="183"/>
      <c r="CP227" s="183"/>
      <c r="CQ227" s="183"/>
      <c r="CR227" s="183"/>
      <c r="CS227" s="183"/>
      <c r="CT227" s="183"/>
      <c r="CU227" s="183"/>
      <c r="CV227" s="183"/>
      <c r="CW227" s="183"/>
      <c r="CX227" s="183"/>
      <c r="CY227" s="183"/>
      <c r="CZ227" s="183"/>
      <c r="DA227" s="183"/>
      <c r="DB227" s="183"/>
      <c r="DC227" s="183"/>
      <c r="DD227" s="183"/>
      <c r="DE227" s="183"/>
      <c r="DF227" s="183"/>
      <c r="DG227" s="183"/>
      <c r="DH227" s="183"/>
      <c r="DI227" s="183"/>
      <c r="DJ227" s="183"/>
      <c r="DK227" s="183"/>
      <c r="DL227" s="183"/>
      <c r="DM227" s="183"/>
      <c r="DN227" s="183"/>
      <c r="DO227" s="183"/>
      <c r="DP227" s="183"/>
      <c r="DQ227" s="183"/>
      <c r="DR227" s="183"/>
      <c r="DS227" s="183"/>
      <c r="DT227" s="183"/>
      <c r="DU227" s="183"/>
      <c r="DV227" s="183"/>
      <c r="DW227" s="183"/>
      <c r="DX227" s="183"/>
      <c r="DY227" s="183"/>
      <c r="DZ227" s="183"/>
      <c r="EA227" s="183"/>
      <c r="EB227" s="183"/>
      <c r="EC227" s="183"/>
      <c r="ED227" s="183"/>
      <c r="EE227" s="183"/>
      <c r="EF227" s="183"/>
      <c r="EG227" s="183"/>
      <c r="EH227" s="183"/>
      <c r="EI227" s="183"/>
      <c r="EJ227" s="183"/>
      <c r="EK227" s="183"/>
      <c r="EL227" s="183"/>
      <c r="EM227" s="183"/>
      <c r="EN227" s="183"/>
      <c r="EO227" s="183"/>
      <c r="EP227" s="183"/>
      <c r="EQ227" s="183"/>
      <c r="ER227" s="183"/>
      <c r="ES227" s="183"/>
      <c r="ET227" s="183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</row>
    <row r="228" spans="1:258" ht="13.5" customHeight="1">
      <c r="A228" s="49"/>
      <c r="B228" s="2"/>
      <c r="C228" s="2"/>
      <c r="D228" s="2"/>
      <c r="E228" s="2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  <c r="AL228" s="183"/>
      <c r="AM228" s="183"/>
      <c r="AN228" s="183"/>
      <c r="AO228" s="183"/>
      <c r="AP228" s="183"/>
      <c r="AQ228" s="183"/>
      <c r="AR228" s="183"/>
      <c r="AS228" s="183"/>
      <c r="AT228" s="183"/>
      <c r="AU228" s="183"/>
      <c r="AV228" s="183"/>
      <c r="AW228" s="183"/>
      <c r="AX228" s="183"/>
      <c r="AY228" s="183"/>
      <c r="AZ228" s="183"/>
      <c r="BA228" s="183"/>
      <c r="BB228" s="183"/>
      <c r="BC228" s="183"/>
      <c r="BD228" s="183"/>
      <c r="BE228" s="183"/>
      <c r="BF228" s="183"/>
      <c r="BG228" s="183"/>
      <c r="BH228" s="183"/>
      <c r="BI228" s="183"/>
      <c r="BJ228" s="183"/>
      <c r="BK228" s="183"/>
      <c r="BL228" s="183"/>
      <c r="BM228" s="183"/>
      <c r="BN228" s="183"/>
      <c r="BO228" s="183"/>
      <c r="BP228" s="183"/>
      <c r="BQ228" s="183"/>
      <c r="BR228" s="183"/>
      <c r="BS228" s="183"/>
      <c r="BT228" s="183"/>
      <c r="BU228" s="183"/>
      <c r="BV228" s="183"/>
      <c r="BW228" s="183"/>
      <c r="BX228" s="183"/>
      <c r="BY228" s="183"/>
      <c r="BZ228" s="183"/>
      <c r="CA228" s="183"/>
      <c r="CB228" s="183"/>
      <c r="CC228" s="183"/>
      <c r="CD228" s="183"/>
      <c r="CE228" s="183"/>
      <c r="CF228" s="183"/>
      <c r="CG228" s="183"/>
      <c r="CH228" s="183"/>
      <c r="CI228" s="183"/>
      <c r="CJ228" s="183"/>
      <c r="CK228" s="183"/>
      <c r="CL228" s="183"/>
      <c r="CM228" s="183"/>
      <c r="CN228" s="183"/>
      <c r="CO228" s="183"/>
      <c r="CP228" s="183"/>
      <c r="CQ228" s="183"/>
      <c r="CR228" s="183"/>
      <c r="CS228" s="183"/>
      <c r="CT228" s="183"/>
      <c r="CU228" s="183"/>
      <c r="CV228" s="183"/>
      <c r="CW228" s="183"/>
      <c r="CX228" s="183"/>
      <c r="CY228" s="183"/>
      <c r="CZ228" s="183"/>
      <c r="DA228" s="183"/>
      <c r="DB228" s="183"/>
      <c r="DC228" s="183"/>
      <c r="DD228" s="183"/>
      <c r="DE228" s="183"/>
      <c r="DF228" s="183"/>
      <c r="DG228" s="183"/>
      <c r="DH228" s="183"/>
      <c r="DI228" s="183"/>
      <c r="DJ228" s="183"/>
      <c r="DK228" s="183"/>
      <c r="DL228" s="183"/>
      <c r="DM228" s="183"/>
      <c r="DN228" s="183"/>
      <c r="DO228" s="183"/>
      <c r="DP228" s="183"/>
      <c r="DQ228" s="183"/>
      <c r="DR228" s="183"/>
      <c r="DS228" s="183"/>
      <c r="DT228" s="183"/>
      <c r="DU228" s="183"/>
      <c r="DV228" s="183"/>
      <c r="DW228" s="183"/>
      <c r="DX228" s="183"/>
      <c r="DY228" s="183"/>
      <c r="DZ228" s="183"/>
      <c r="EA228" s="183"/>
      <c r="EB228" s="183"/>
      <c r="EC228" s="183"/>
      <c r="ED228" s="183"/>
      <c r="EE228" s="183"/>
      <c r="EF228" s="183"/>
      <c r="EG228" s="183"/>
      <c r="EH228" s="183"/>
      <c r="EI228" s="183"/>
      <c r="EJ228" s="183"/>
      <c r="EK228" s="183"/>
      <c r="EL228" s="183"/>
      <c r="EM228" s="183"/>
      <c r="EN228" s="183"/>
      <c r="EO228" s="183"/>
      <c r="EP228" s="183"/>
      <c r="EQ228" s="183"/>
      <c r="ER228" s="183"/>
      <c r="ES228" s="183"/>
      <c r="ET228" s="183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</row>
    <row r="229" spans="1:258" ht="13.5" customHeight="1">
      <c r="A229" s="49"/>
      <c r="B229" s="2"/>
      <c r="C229" s="2"/>
      <c r="D229" s="2"/>
      <c r="E229" s="2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  <c r="AL229" s="183"/>
      <c r="AM229" s="183"/>
      <c r="AN229" s="183"/>
      <c r="AO229" s="183"/>
      <c r="AP229" s="183"/>
      <c r="AQ229" s="183"/>
      <c r="AR229" s="183"/>
      <c r="AS229" s="183"/>
      <c r="AT229" s="183"/>
      <c r="AU229" s="183"/>
      <c r="AV229" s="183"/>
      <c r="AW229" s="183"/>
      <c r="AX229" s="183"/>
      <c r="AY229" s="183"/>
      <c r="AZ229" s="183"/>
      <c r="BA229" s="183"/>
      <c r="BB229" s="183"/>
      <c r="BC229" s="183"/>
      <c r="BD229" s="183"/>
      <c r="BE229" s="183"/>
      <c r="BF229" s="183"/>
      <c r="BG229" s="183"/>
      <c r="BH229" s="183"/>
      <c r="BI229" s="183"/>
      <c r="BJ229" s="183"/>
      <c r="BK229" s="183"/>
      <c r="BL229" s="183"/>
      <c r="BM229" s="183"/>
      <c r="BN229" s="183"/>
      <c r="BO229" s="183"/>
      <c r="BP229" s="183"/>
      <c r="BQ229" s="183"/>
      <c r="BR229" s="183"/>
      <c r="BS229" s="183"/>
      <c r="BT229" s="183"/>
      <c r="BU229" s="183"/>
      <c r="BV229" s="183"/>
      <c r="BW229" s="183"/>
      <c r="BX229" s="183"/>
      <c r="BY229" s="183"/>
      <c r="BZ229" s="183"/>
      <c r="CA229" s="183"/>
      <c r="CB229" s="183"/>
      <c r="CC229" s="183"/>
      <c r="CD229" s="183"/>
      <c r="CE229" s="183"/>
      <c r="CF229" s="183"/>
      <c r="CG229" s="183"/>
      <c r="CH229" s="183"/>
      <c r="CI229" s="183"/>
      <c r="CJ229" s="183"/>
      <c r="CK229" s="183"/>
      <c r="CL229" s="183"/>
      <c r="CM229" s="183"/>
      <c r="CN229" s="183"/>
      <c r="CO229" s="183"/>
      <c r="CP229" s="183"/>
      <c r="CQ229" s="183"/>
      <c r="CR229" s="183"/>
      <c r="CS229" s="183"/>
      <c r="CT229" s="183"/>
      <c r="CU229" s="183"/>
      <c r="CV229" s="183"/>
      <c r="CW229" s="183"/>
      <c r="CX229" s="183"/>
      <c r="CY229" s="183"/>
      <c r="CZ229" s="183"/>
      <c r="DA229" s="183"/>
      <c r="DB229" s="183"/>
      <c r="DC229" s="183"/>
      <c r="DD229" s="183"/>
      <c r="DE229" s="183"/>
      <c r="DF229" s="183"/>
      <c r="DG229" s="183"/>
      <c r="DH229" s="183"/>
      <c r="DI229" s="183"/>
      <c r="DJ229" s="183"/>
      <c r="DK229" s="183"/>
      <c r="DL229" s="183"/>
      <c r="DM229" s="183"/>
      <c r="DN229" s="183"/>
      <c r="DO229" s="183"/>
      <c r="DP229" s="183"/>
      <c r="DQ229" s="183"/>
      <c r="DR229" s="183"/>
      <c r="DS229" s="183"/>
      <c r="DT229" s="183"/>
      <c r="DU229" s="183"/>
      <c r="DV229" s="183"/>
      <c r="DW229" s="183"/>
      <c r="DX229" s="183"/>
      <c r="DY229" s="183"/>
      <c r="DZ229" s="183"/>
      <c r="EA229" s="183"/>
      <c r="EB229" s="183"/>
      <c r="EC229" s="183"/>
      <c r="ED229" s="183"/>
      <c r="EE229" s="183"/>
      <c r="EF229" s="183"/>
      <c r="EG229" s="183"/>
      <c r="EH229" s="183"/>
      <c r="EI229" s="183"/>
      <c r="EJ229" s="183"/>
      <c r="EK229" s="183"/>
      <c r="EL229" s="183"/>
      <c r="EM229" s="183"/>
      <c r="EN229" s="183"/>
      <c r="EO229" s="183"/>
      <c r="EP229" s="183"/>
      <c r="EQ229" s="183"/>
      <c r="ER229" s="183"/>
      <c r="ES229" s="183"/>
      <c r="ET229" s="183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</row>
    <row r="230" spans="1:258" ht="13.5" customHeight="1">
      <c r="A230" s="49"/>
      <c r="B230" s="2"/>
      <c r="C230" s="2"/>
      <c r="D230" s="2"/>
      <c r="E230" s="2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  <c r="AL230" s="183"/>
      <c r="AM230" s="183"/>
      <c r="AN230" s="183"/>
      <c r="AO230" s="183"/>
      <c r="AP230" s="183"/>
      <c r="AQ230" s="183"/>
      <c r="AR230" s="183"/>
      <c r="AS230" s="183"/>
      <c r="AT230" s="183"/>
      <c r="AU230" s="183"/>
      <c r="AV230" s="183"/>
      <c r="AW230" s="183"/>
      <c r="AX230" s="183"/>
      <c r="AY230" s="183"/>
      <c r="AZ230" s="183"/>
      <c r="BA230" s="183"/>
      <c r="BB230" s="183"/>
      <c r="BC230" s="183"/>
      <c r="BD230" s="183"/>
      <c r="BE230" s="183"/>
      <c r="BF230" s="183"/>
      <c r="BG230" s="183"/>
      <c r="BH230" s="183"/>
      <c r="BI230" s="183"/>
      <c r="BJ230" s="183"/>
      <c r="BK230" s="183"/>
      <c r="BL230" s="183"/>
      <c r="BM230" s="183"/>
      <c r="BN230" s="183"/>
      <c r="BO230" s="183"/>
      <c r="BP230" s="183"/>
      <c r="BQ230" s="183"/>
      <c r="BR230" s="183"/>
      <c r="BS230" s="183"/>
      <c r="BT230" s="183"/>
      <c r="BU230" s="183"/>
      <c r="BV230" s="183"/>
      <c r="BW230" s="183"/>
      <c r="BX230" s="183"/>
      <c r="BY230" s="183"/>
      <c r="BZ230" s="183"/>
      <c r="CA230" s="183"/>
      <c r="CB230" s="183"/>
      <c r="CC230" s="183"/>
      <c r="CD230" s="183"/>
      <c r="CE230" s="183"/>
      <c r="CF230" s="183"/>
      <c r="CG230" s="183"/>
      <c r="CH230" s="183"/>
      <c r="CI230" s="183"/>
      <c r="CJ230" s="183"/>
      <c r="CK230" s="183"/>
      <c r="CL230" s="183"/>
      <c r="CM230" s="183"/>
      <c r="CN230" s="183"/>
      <c r="CO230" s="183"/>
      <c r="CP230" s="183"/>
      <c r="CQ230" s="183"/>
      <c r="CR230" s="183"/>
      <c r="CS230" s="183"/>
      <c r="CT230" s="183"/>
      <c r="CU230" s="183"/>
      <c r="CV230" s="183"/>
      <c r="CW230" s="183"/>
      <c r="CX230" s="183"/>
      <c r="CY230" s="183"/>
      <c r="CZ230" s="183"/>
      <c r="DA230" s="183"/>
      <c r="DB230" s="183"/>
      <c r="DC230" s="183"/>
      <c r="DD230" s="183"/>
      <c r="DE230" s="183"/>
      <c r="DF230" s="183"/>
      <c r="DG230" s="183"/>
      <c r="DH230" s="183"/>
      <c r="DI230" s="183"/>
      <c r="DJ230" s="183"/>
      <c r="DK230" s="183"/>
      <c r="DL230" s="183"/>
      <c r="DM230" s="183"/>
      <c r="DN230" s="183"/>
      <c r="DO230" s="183"/>
      <c r="DP230" s="183"/>
      <c r="DQ230" s="183"/>
      <c r="DR230" s="183"/>
      <c r="DS230" s="183"/>
      <c r="DT230" s="183"/>
      <c r="DU230" s="183"/>
      <c r="DV230" s="183"/>
      <c r="DW230" s="183"/>
      <c r="DX230" s="183"/>
      <c r="DY230" s="183"/>
      <c r="DZ230" s="183"/>
      <c r="EA230" s="183"/>
      <c r="EB230" s="183"/>
      <c r="EC230" s="183"/>
      <c r="ED230" s="183"/>
      <c r="EE230" s="183"/>
      <c r="EF230" s="183"/>
      <c r="EG230" s="183"/>
      <c r="EH230" s="183"/>
      <c r="EI230" s="183"/>
      <c r="EJ230" s="183"/>
      <c r="EK230" s="183"/>
      <c r="EL230" s="183"/>
      <c r="EM230" s="183"/>
      <c r="EN230" s="183"/>
      <c r="EO230" s="183"/>
      <c r="EP230" s="183"/>
      <c r="EQ230" s="183"/>
      <c r="ER230" s="183"/>
      <c r="ES230" s="183"/>
      <c r="ET230" s="183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</row>
    <row r="231" spans="1:258" ht="13.5" customHeight="1">
      <c r="A231" s="49"/>
      <c r="B231" s="2"/>
      <c r="C231" s="2"/>
      <c r="D231" s="2"/>
      <c r="E231" s="2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  <c r="AL231" s="183"/>
      <c r="AM231" s="183"/>
      <c r="AN231" s="183"/>
      <c r="AO231" s="183"/>
      <c r="AP231" s="183"/>
      <c r="AQ231" s="183"/>
      <c r="AR231" s="183"/>
      <c r="AS231" s="183"/>
      <c r="AT231" s="183"/>
      <c r="AU231" s="183"/>
      <c r="AV231" s="183"/>
      <c r="AW231" s="183"/>
      <c r="AX231" s="183"/>
      <c r="AY231" s="183"/>
      <c r="AZ231" s="183"/>
      <c r="BA231" s="183"/>
      <c r="BB231" s="183"/>
      <c r="BC231" s="183"/>
      <c r="BD231" s="183"/>
      <c r="BE231" s="183"/>
      <c r="BF231" s="183"/>
      <c r="BG231" s="183"/>
      <c r="BH231" s="183"/>
      <c r="BI231" s="183"/>
      <c r="BJ231" s="183"/>
      <c r="BK231" s="183"/>
      <c r="BL231" s="183"/>
      <c r="BM231" s="183"/>
      <c r="BN231" s="183"/>
      <c r="BO231" s="183"/>
      <c r="BP231" s="183"/>
      <c r="BQ231" s="183"/>
      <c r="BR231" s="183"/>
      <c r="BS231" s="183"/>
      <c r="BT231" s="183"/>
      <c r="BU231" s="183"/>
      <c r="BV231" s="183"/>
      <c r="BW231" s="183"/>
      <c r="BX231" s="183"/>
      <c r="BY231" s="183"/>
      <c r="BZ231" s="183"/>
      <c r="CA231" s="183"/>
      <c r="CB231" s="183"/>
      <c r="CC231" s="183"/>
      <c r="CD231" s="183"/>
      <c r="CE231" s="183"/>
      <c r="CF231" s="183"/>
      <c r="CG231" s="183"/>
      <c r="CH231" s="183"/>
      <c r="CI231" s="183"/>
      <c r="CJ231" s="183"/>
      <c r="CK231" s="183"/>
      <c r="CL231" s="183"/>
      <c r="CM231" s="183"/>
      <c r="CN231" s="183"/>
      <c r="CO231" s="183"/>
      <c r="CP231" s="183"/>
      <c r="CQ231" s="183"/>
      <c r="CR231" s="183"/>
      <c r="CS231" s="183"/>
      <c r="CT231" s="183"/>
      <c r="CU231" s="183"/>
      <c r="CV231" s="183"/>
      <c r="CW231" s="183"/>
      <c r="CX231" s="183"/>
      <c r="CY231" s="183"/>
      <c r="CZ231" s="183"/>
      <c r="DA231" s="183"/>
      <c r="DB231" s="183"/>
      <c r="DC231" s="183"/>
      <c r="DD231" s="183"/>
      <c r="DE231" s="183"/>
      <c r="DF231" s="183"/>
      <c r="DG231" s="183"/>
      <c r="DH231" s="183"/>
      <c r="DI231" s="183"/>
      <c r="DJ231" s="183"/>
      <c r="DK231" s="183"/>
      <c r="DL231" s="183"/>
      <c r="DM231" s="183"/>
      <c r="DN231" s="183"/>
      <c r="DO231" s="183"/>
      <c r="DP231" s="183"/>
      <c r="DQ231" s="183"/>
      <c r="DR231" s="183"/>
      <c r="DS231" s="183"/>
      <c r="DT231" s="183"/>
      <c r="DU231" s="183"/>
      <c r="DV231" s="183"/>
      <c r="DW231" s="183"/>
      <c r="DX231" s="183"/>
      <c r="DY231" s="183"/>
      <c r="DZ231" s="183"/>
      <c r="EA231" s="183"/>
      <c r="EB231" s="183"/>
      <c r="EC231" s="183"/>
      <c r="ED231" s="183"/>
      <c r="EE231" s="183"/>
      <c r="EF231" s="183"/>
      <c r="EG231" s="183"/>
      <c r="EH231" s="183"/>
      <c r="EI231" s="183"/>
      <c r="EJ231" s="183"/>
      <c r="EK231" s="183"/>
      <c r="EL231" s="183"/>
      <c r="EM231" s="183"/>
      <c r="EN231" s="183"/>
      <c r="EO231" s="183"/>
      <c r="EP231" s="183"/>
      <c r="EQ231" s="183"/>
      <c r="ER231" s="183"/>
      <c r="ES231" s="183"/>
      <c r="ET231" s="183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</row>
    <row r="232" spans="1:258" ht="13.5" customHeight="1">
      <c r="A232" s="49"/>
      <c r="B232" s="2"/>
      <c r="C232" s="2"/>
      <c r="D232" s="2"/>
      <c r="E232" s="2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  <c r="AL232" s="183"/>
      <c r="AM232" s="183"/>
      <c r="AN232" s="183"/>
      <c r="AO232" s="183"/>
      <c r="AP232" s="183"/>
      <c r="AQ232" s="183"/>
      <c r="AR232" s="183"/>
      <c r="AS232" s="183"/>
      <c r="AT232" s="183"/>
      <c r="AU232" s="183"/>
      <c r="AV232" s="183"/>
      <c r="AW232" s="183"/>
      <c r="AX232" s="183"/>
      <c r="AY232" s="183"/>
      <c r="AZ232" s="183"/>
      <c r="BA232" s="183"/>
      <c r="BB232" s="183"/>
      <c r="BC232" s="183"/>
      <c r="BD232" s="183"/>
      <c r="BE232" s="183"/>
      <c r="BF232" s="183"/>
      <c r="BG232" s="183"/>
      <c r="BH232" s="183"/>
      <c r="BI232" s="183"/>
      <c r="BJ232" s="183"/>
      <c r="BK232" s="183"/>
      <c r="BL232" s="183"/>
      <c r="BM232" s="183"/>
      <c r="BN232" s="183"/>
      <c r="BO232" s="183"/>
      <c r="BP232" s="183"/>
      <c r="BQ232" s="183"/>
      <c r="BR232" s="183"/>
      <c r="BS232" s="183"/>
      <c r="BT232" s="183"/>
      <c r="BU232" s="183"/>
      <c r="BV232" s="183"/>
      <c r="BW232" s="183"/>
      <c r="BX232" s="183"/>
      <c r="BY232" s="183"/>
      <c r="BZ232" s="183"/>
      <c r="CA232" s="183"/>
      <c r="CB232" s="183"/>
      <c r="CC232" s="183"/>
      <c r="CD232" s="183"/>
      <c r="CE232" s="183"/>
      <c r="CF232" s="183"/>
      <c r="CG232" s="183"/>
      <c r="CH232" s="183"/>
      <c r="CI232" s="183"/>
      <c r="CJ232" s="183"/>
      <c r="CK232" s="183"/>
      <c r="CL232" s="183"/>
      <c r="CM232" s="183"/>
      <c r="CN232" s="183"/>
      <c r="CO232" s="183"/>
      <c r="CP232" s="183"/>
      <c r="CQ232" s="183"/>
      <c r="CR232" s="183"/>
      <c r="CS232" s="183"/>
      <c r="CT232" s="183"/>
      <c r="CU232" s="183"/>
      <c r="CV232" s="183"/>
      <c r="CW232" s="183"/>
      <c r="CX232" s="183"/>
      <c r="CY232" s="183"/>
      <c r="CZ232" s="183"/>
      <c r="DA232" s="183"/>
      <c r="DB232" s="183"/>
      <c r="DC232" s="183"/>
      <c r="DD232" s="183"/>
      <c r="DE232" s="183"/>
      <c r="DF232" s="183"/>
      <c r="DG232" s="183"/>
      <c r="DH232" s="183"/>
      <c r="DI232" s="183"/>
      <c r="DJ232" s="183"/>
      <c r="DK232" s="183"/>
      <c r="DL232" s="183"/>
      <c r="DM232" s="183"/>
      <c r="DN232" s="183"/>
      <c r="DO232" s="183"/>
      <c r="DP232" s="183"/>
      <c r="DQ232" s="183"/>
      <c r="DR232" s="183"/>
      <c r="DS232" s="183"/>
      <c r="DT232" s="183"/>
      <c r="DU232" s="183"/>
      <c r="DV232" s="183"/>
      <c r="DW232" s="183"/>
      <c r="DX232" s="183"/>
      <c r="DY232" s="183"/>
      <c r="DZ232" s="183"/>
      <c r="EA232" s="183"/>
      <c r="EB232" s="183"/>
      <c r="EC232" s="183"/>
      <c r="ED232" s="183"/>
      <c r="EE232" s="183"/>
      <c r="EF232" s="183"/>
      <c r="EG232" s="183"/>
      <c r="EH232" s="183"/>
      <c r="EI232" s="183"/>
      <c r="EJ232" s="183"/>
      <c r="EK232" s="183"/>
      <c r="EL232" s="183"/>
      <c r="EM232" s="183"/>
      <c r="EN232" s="183"/>
      <c r="EO232" s="183"/>
      <c r="EP232" s="183"/>
      <c r="EQ232" s="183"/>
      <c r="ER232" s="183"/>
      <c r="ES232" s="183"/>
      <c r="ET232" s="183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</row>
    <row r="233" spans="1:258" ht="13.5" customHeight="1">
      <c r="A233" s="49"/>
      <c r="B233" s="2"/>
      <c r="C233" s="2"/>
      <c r="D233" s="2"/>
      <c r="E233" s="2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s="183"/>
      <c r="AV233" s="183"/>
      <c r="AW233" s="183"/>
      <c r="AX233" s="183"/>
      <c r="AY233" s="183"/>
      <c r="AZ233" s="183"/>
      <c r="BA233" s="183"/>
      <c r="BB233" s="183"/>
      <c r="BC233" s="183"/>
      <c r="BD233" s="183"/>
      <c r="BE233" s="183"/>
      <c r="BF233" s="183"/>
      <c r="BG233" s="183"/>
      <c r="BH233" s="183"/>
      <c r="BI233" s="183"/>
      <c r="BJ233" s="183"/>
      <c r="BK233" s="183"/>
      <c r="BL233" s="183"/>
      <c r="BM233" s="183"/>
      <c r="BN233" s="183"/>
      <c r="BO233" s="183"/>
      <c r="BP233" s="183"/>
      <c r="BQ233" s="183"/>
      <c r="BR233" s="183"/>
      <c r="BS233" s="183"/>
      <c r="BT233" s="183"/>
      <c r="BU233" s="183"/>
      <c r="BV233" s="183"/>
      <c r="BW233" s="183"/>
      <c r="BX233" s="183"/>
      <c r="BY233" s="183"/>
      <c r="BZ233" s="183"/>
      <c r="CA233" s="183"/>
      <c r="CB233" s="183"/>
      <c r="CC233" s="183"/>
      <c r="CD233" s="183"/>
      <c r="CE233" s="183"/>
      <c r="CF233" s="183"/>
      <c r="CG233" s="183"/>
      <c r="CH233" s="183"/>
      <c r="CI233" s="183"/>
      <c r="CJ233" s="183"/>
      <c r="CK233" s="183"/>
      <c r="CL233" s="183"/>
      <c r="CM233" s="183"/>
      <c r="CN233" s="183"/>
      <c r="CO233" s="183"/>
      <c r="CP233" s="183"/>
      <c r="CQ233" s="183"/>
      <c r="CR233" s="183"/>
      <c r="CS233" s="183"/>
      <c r="CT233" s="183"/>
      <c r="CU233" s="183"/>
      <c r="CV233" s="183"/>
      <c r="CW233" s="183"/>
      <c r="CX233" s="183"/>
      <c r="CY233" s="183"/>
      <c r="CZ233" s="183"/>
      <c r="DA233" s="183"/>
      <c r="DB233" s="183"/>
      <c r="DC233" s="183"/>
      <c r="DD233" s="183"/>
      <c r="DE233" s="183"/>
      <c r="DF233" s="183"/>
      <c r="DG233" s="183"/>
      <c r="DH233" s="183"/>
      <c r="DI233" s="183"/>
      <c r="DJ233" s="183"/>
      <c r="DK233" s="183"/>
      <c r="DL233" s="183"/>
      <c r="DM233" s="183"/>
      <c r="DN233" s="183"/>
      <c r="DO233" s="183"/>
      <c r="DP233" s="183"/>
      <c r="DQ233" s="183"/>
      <c r="DR233" s="183"/>
      <c r="DS233" s="183"/>
      <c r="DT233" s="183"/>
      <c r="DU233" s="183"/>
      <c r="DV233" s="183"/>
      <c r="DW233" s="183"/>
      <c r="DX233" s="183"/>
      <c r="DY233" s="183"/>
      <c r="DZ233" s="183"/>
      <c r="EA233" s="183"/>
      <c r="EB233" s="183"/>
      <c r="EC233" s="183"/>
      <c r="ED233" s="183"/>
      <c r="EE233" s="183"/>
      <c r="EF233" s="183"/>
      <c r="EG233" s="183"/>
      <c r="EH233" s="183"/>
      <c r="EI233" s="183"/>
      <c r="EJ233" s="183"/>
      <c r="EK233" s="183"/>
      <c r="EL233" s="183"/>
      <c r="EM233" s="183"/>
      <c r="EN233" s="183"/>
      <c r="EO233" s="183"/>
      <c r="EP233" s="183"/>
      <c r="EQ233" s="183"/>
      <c r="ER233" s="183"/>
      <c r="ES233" s="183"/>
      <c r="ET233" s="183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</row>
    <row r="234" spans="1:258" ht="13.5" customHeight="1">
      <c r="A234" s="49"/>
      <c r="B234" s="2"/>
      <c r="C234" s="2"/>
      <c r="D234" s="2"/>
      <c r="E234" s="2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  <c r="AL234" s="183"/>
      <c r="AM234" s="183"/>
      <c r="AN234" s="183"/>
      <c r="AO234" s="183"/>
      <c r="AP234" s="183"/>
      <c r="AQ234" s="183"/>
      <c r="AR234" s="183"/>
      <c r="AS234" s="183"/>
      <c r="AT234" s="183"/>
      <c r="AU234" s="183"/>
      <c r="AV234" s="183"/>
      <c r="AW234" s="183"/>
      <c r="AX234" s="183"/>
      <c r="AY234" s="183"/>
      <c r="AZ234" s="183"/>
      <c r="BA234" s="183"/>
      <c r="BB234" s="183"/>
      <c r="BC234" s="183"/>
      <c r="BD234" s="183"/>
      <c r="BE234" s="183"/>
      <c r="BF234" s="183"/>
      <c r="BG234" s="183"/>
      <c r="BH234" s="183"/>
      <c r="BI234" s="183"/>
      <c r="BJ234" s="183"/>
      <c r="BK234" s="183"/>
      <c r="BL234" s="183"/>
      <c r="BM234" s="183"/>
      <c r="BN234" s="183"/>
      <c r="BO234" s="183"/>
      <c r="BP234" s="183"/>
      <c r="BQ234" s="183"/>
      <c r="BR234" s="183"/>
      <c r="BS234" s="183"/>
      <c r="BT234" s="183"/>
      <c r="BU234" s="183"/>
      <c r="BV234" s="183"/>
      <c r="BW234" s="183"/>
      <c r="BX234" s="183"/>
      <c r="BY234" s="183"/>
      <c r="BZ234" s="183"/>
      <c r="CA234" s="183"/>
      <c r="CB234" s="183"/>
      <c r="CC234" s="183"/>
      <c r="CD234" s="183"/>
      <c r="CE234" s="183"/>
      <c r="CF234" s="183"/>
      <c r="CG234" s="183"/>
      <c r="CH234" s="183"/>
      <c r="CI234" s="183"/>
      <c r="CJ234" s="183"/>
      <c r="CK234" s="183"/>
      <c r="CL234" s="183"/>
      <c r="CM234" s="183"/>
      <c r="CN234" s="183"/>
      <c r="CO234" s="183"/>
      <c r="CP234" s="183"/>
      <c r="CQ234" s="183"/>
      <c r="CR234" s="183"/>
      <c r="CS234" s="183"/>
      <c r="CT234" s="183"/>
      <c r="CU234" s="183"/>
      <c r="CV234" s="183"/>
      <c r="CW234" s="183"/>
      <c r="CX234" s="183"/>
      <c r="CY234" s="183"/>
      <c r="CZ234" s="183"/>
      <c r="DA234" s="183"/>
      <c r="DB234" s="183"/>
      <c r="DC234" s="183"/>
      <c r="DD234" s="183"/>
      <c r="DE234" s="183"/>
      <c r="DF234" s="183"/>
      <c r="DG234" s="183"/>
      <c r="DH234" s="183"/>
      <c r="DI234" s="183"/>
      <c r="DJ234" s="183"/>
      <c r="DK234" s="183"/>
      <c r="DL234" s="183"/>
      <c r="DM234" s="183"/>
      <c r="DN234" s="183"/>
      <c r="DO234" s="183"/>
      <c r="DP234" s="183"/>
      <c r="DQ234" s="183"/>
      <c r="DR234" s="183"/>
      <c r="DS234" s="183"/>
      <c r="DT234" s="183"/>
      <c r="DU234" s="183"/>
      <c r="DV234" s="183"/>
      <c r="DW234" s="183"/>
      <c r="DX234" s="183"/>
      <c r="DY234" s="183"/>
      <c r="DZ234" s="183"/>
      <c r="EA234" s="183"/>
      <c r="EB234" s="183"/>
      <c r="EC234" s="183"/>
      <c r="ED234" s="183"/>
      <c r="EE234" s="183"/>
      <c r="EF234" s="183"/>
      <c r="EG234" s="183"/>
      <c r="EH234" s="183"/>
      <c r="EI234" s="183"/>
      <c r="EJ234" s="183"/>
      <c r="EK234" s="183"/>
      <c r="EL234" s="183"/>
      <c r="EM234" s="183"/>
      <c r="EN234" s="183"/>
      <c r="EO234" s="183"/>
      <c r="EP234" s="183"/>
      <c r="EQ234" s="183"/>
      <c r="ER234" s="183"/>
      <c r="ES234" s="183"/>
      <c r="ET234" s="183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</row>
    <row r="235" spans="1:258" ht="13.5" customHeight="1">
      <c r="A235" s="49"/>
      <c r="B235" s="2"/>
      <c r="C235" s="2"/>
      <c r="D235" s="2"/>
      <c r="E235" s="2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  <c r="AL235" s="183"/>
      <c r="AM235" s="183"/>
      <c r="AN235" s="183"/>
      <c r="AO235" s="183"/>
      <c r="AP235" s="183"/>
      <c r="AQ235" s="183"/>
      <c r="AR235" s="183"/>
      <c r="AS235" s="183"/>
      <c r="AT235" s="183"/>
      <c r="AU235" s="183"/>
      <c r="AV235" s="183"/>
      <c r="AW235" s="183"/>
      <c r="AX235" s="183"/>
      <c r="AY235" s="183"/>
      <c r="AZ235" s="183"/>
      <c r="BA235" s="183"/>
      <c r="BB235" s="183"/>
      <c r="BC235" s="183"/>
      <c r="BD235" s="183"/>
      <c r="BE235" s="183"/>
      <c r="BF235" s="183"/>
      <c r="BG235" s="183"/>
      <c r="BH235" s="183"/>
      <c r="BI235" s="183"/>
      <c r="BJ235" s="183"/>
      <c r="BK235" s="183"/>
      <c r="BL235" s="183"/>
      <c r="BM235" s="183"/>
      <c r="BN235" s="183"/>
      <c r="BO235" s="183"/>
      <c r="BP235" s="183"/>
      <c r="BQ235" s="183"/>
      <c r="BR235" s="183"/>
      <c r="BS235" s="183"/>
      <c r="BT235" s="183"/>
      <c r="BU235" s="183"/>
      <c r="BV235" s="183"/>
      <c r="BW235" s="183"/>
      <c r="BX235" s="183"/>
      <c r="BY235" s="183"/>
      <c r="BZ235" s="183"/>
      <c r="CA235" s="183"/>
      <c r="CB235" s="183"/>
      <c r="CC235" s="183"/>
      <c r="CD235" s="183"/>
      <c r="CE235" s="183"/>
      <c r="CF235" s="183"/>
      <c r="CG235" s="183"/>
      <c r="CH235" s="183"/>
      <c r="CI235" s="183"/>
      <c r="CJ235" s="183"/>
      <c r="CK235" s="183"/>
      <c r="CL235" s="183"/>
      <c r="CM235" s="183"/>
      <c r="CN235" s="183"/>
      <c r="CO235" s="183"/>
      <c r="CP235" s="183"/>
      <c r="CQ235" s="183"/>
      <c r="CR235" s="183"/>
      <c r="CS235" s="183"/>
      <c r="CT235" s="183"/>
      <c r="CU235" s="183"/>
      <c r="CV235" s="183"/>
      <c r="CW235" s="183"/>
      <c r="CX235" s="183"/>
      <c r="CY235" s="183"/>
      <c r="CZ235" s="183"/>
      <c r="DA235" s="183"/>
      <c r="DB235" s="183"/>
      <c r="DC235" s="183"/>
      <c r="DD235" s="183"/>
      <c r="DE235" s="183"/>
      <c r="DF235" s="183"/>
      <c r="DG235" s="183"/>
      <c r="DH235" s="183"/>
      <c r="DI235" s="183"/>
      <c r="DJ235" s="183"/>
      <c r="DK235" s="183"/>
      <c r="DL235" s="183"/>
      <c r="DM235" s="183"/>
      <c r="DN235" s="183"/>
      <c r="DO235" s="183"/>
      <c r="DP235" s="183"/>
      <c r="DQ235" s="183"/>
      <c r="DR235" s="183"/>
      <c r="DS235" s="183"/>
      <c r="DT235" s="183"/>
      <c r="DU235" s="183"/>
      <c r="DV235" s="183"/>
      <c r="DW235" s="183"/>
      <c r="DX235" s="183"/>
      <c r="DY235" s="183"/>
      <c r="DZ235" s="183"/>
      <c r="EA235" s="183"/>
      <c r="EB235" s="183"/>
      <c r="EC235" s="183"/>
      <c r="ED235" s="183"/>
      <c r="EE235" s="183"/>
      <c r="EF235" s="183"/>
      <c r="EG235" s="183"/>
      <c r="EH235" s="183"/>
      <c r="EI235" s="183"/>
      <c r="EJ235" s="183"/>
      <c r="EK235" s="183"/>
      <c r="EL235" s="183"/>
      <c r="EM235" s="183"/>
      <c r="EN235" s="183"/>
      <c r="EO235" s="183"/>
      <c r="EP235" s="183"/>
      <c r="EQ235" s="183"/>
      <c r="ER235" s="183"/>
      <c r="ES235" s="183"/>
      <c r="ET235" s="183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</row>
    <row r="236" spans="1:258" ht="13.5" customHeight="1">
      <c r="A236" s="49"/>
      <c r="B236" s="2"/>
      <c r="C236" s="2"/>
      <c r="D236" s="2"/>
      <c r="E236" s="2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  <c r="AL236" s="183"/>
      <c r="AM236" s="183"/>
      <c r="AN236" s="183"/>
      <c r="AO236" s="183"/>
      <c r="AP236" s="183"/>
      <c r="AQ236" s="183"/>
      <c r="AR236" s="183"/>
      <c r="AS236" s="183"/>
      <c r="AT236" s="183"/>
      <c r="AU236" s="183"/>
      <c r="AV236" s="183"/>
      <c r="AW236" s="183"/>
      <c r="AX236" s="183"/>
      <c r="AY236" s="183"/>
      <c r="AZ236" s="183"/>
      <c r="BA236" s="183"/>
      <c r="BB236" s="183"/>
      <c r="BC236" s="183"/>
      <c r="BD236" s="183"/>
      <c r="BE236" s="183"/>
      <c r="BF236" s="183"/>
      <c r="BG236" s="183"/>
      <c r="BH236" s="183"/>
      <c r="BI236" s="183"/>
      <c r="BJ236" s="183"/>
      <c r="BK236" s="183"/>
      <c r="BL236" s="183"/>
      <c r="BM236" s="183"/>
      <c r="BN236" s="183"/>
      <c r="BO236" s="183"/>
      <c r="BP236" s="183"/>
      <c r="BQ236" s="183"/>
      <c r="BR236" s="183"/>
      <c r="BS236" s="183"/>
      <c r="BT236" s="183"/>
      <c r="BU236" s="183"/>
      <c r="BV236" s="183"/>
      <c r="BW236" s="183"/>
      <c r="BX236" s="183"/>
      <c r="BY236" s="183"/>
      <c r="BZ236" s="183"/>
      <c r="CA236" s="183"/>
      <c r="CB236" s="183"/>
      <c r="CC236" s="183"/>
      <c r="CD236" s="183"/>
      <c r="CE236" s="183"/>
      <c r="CF236" s="183"/>
      <c r="CG236" s="183"/>
      <c r="CH236" s="183"/>
      <c r="CI236" s="183"/>
      <c r="CJ236" s="183"/>
      <c r="CK236" s="183"/>
      <c r="CL236" s="183"/>
      <c r="CM236" s="183"/>
      <c r="CN236" s="183"/>
      <c r="CO236" s="183"/>
      <c r="CP236" s="183"/>
      <c r="CQ236" s="183"/>
      <c r="CR236" s="183"/>
      <c r="CS236" s="183"/>
      <c r="CT236" s="183"/>
      <c r="CU236" s="183"/>
      <c r="CV236" s="183"/>
      <c r="CW236" s="183"/>
      <c r="CX236" s="183"/>
      <c r="CY236" s="183"/>
      <c r="CZ236" s="183"/>
      <c r="DA236" s="183"/>
      <c r="DB236" s="183"/>
      <c r="DC236" s="183"/>
      <c r="DD236" s="183"/>
      <c r="DE236" s="183"/>
      <c r="DF236" s="183"/>
      <c r="DG236" s="183"/>
      <c r="DH236" s="183"/>
      <c r="DI236" s="183"/>
      <c r="DJ236" s="183"/>
      <c r="DK236" s="183"/>
      <c r="DL236" s="183"/>
      <c r="DM236" s="183"/>
      <c r="DN236" s="183"/>
      <c r="DO236" s="183"/>
      <c r="DP236" s="183"/>
      <c r="DQ236" s="183"/>
      <c r="DR236" s="183"/>
      <c r="DS236" s="183"/>
      <c r="DT236" s="183"/>
      <c r="DU236" s="183"/>
      <c r="DV236" s="183"/>
      <c r="DW236" s="183"/>
      <c r="DX236" s="183"/>
      <c r="DY236" s="183"/>
      <c r="DZ236" s="183"/>
      <c r="EA236" s="183"/>
      <c r="EB236" s="183"/>
      <c r="EC236" s="183"/>
      <c r="ED236" s="183"/>
      <c r="EE236" s="183"/>
      <c r="EF236" s="183"/>
      <c r="EG236" s="183"/>
      <c r="EH236" s="183"/>
      <c r="EI236" s="183"/>
      <c r="EJ236" s="183"/>
      <c r="EK236" s="183"/>
      <c r="EL236" s="183"/>
      <c r="EM236" s="183"/>
      <c r="EN236" s="183"/>
      <c r="EO236" s="183"/>
      <c r="EP236" s="183"/>
      <c r="EQ236" s="183"/>
      <c r="ER236" s="183"/>
      <c r="ES236" s="183"/>
      <c r="ET236" s="183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</row>
    <row r="237" spans="1:258" ht="13.5" customHeight="1">
      <c r="A237" s="49"/>
      <c r="B237" s="2"/>
      <c r="C237" s="2"/>
      <c r="D237" s="2"/>
      <c r="E237" s="2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  <c r="AL237" s="183"/>
      <c r="AM237" s="183"/>
      <c r="AN237" s="183"/>
      <c r="AO237" s="183"/>
      <c r="AP237" s="183"/>
      <c r="AQ237" s="183"/>
      <c r="AR237" s="183"/>
      <c r="AS237" s="183"/>
      <c r="AT237" s="183"/>
      <c r="AU237" s="183"/>
      <c r="AV237" s="183"/>
      <c r="AW237" s="183"/>
      <c r="AX237" s="183"/>
      <c r="AY237" s="183"/>
      <c r="AZ237" s="183"/>
      <c r="BA237" s="183"/>
      <c r="BB237" s="183"/>
      <c r="BC237" s="183"/>
      <c r="BD237" s="183"/>
      <c r="BE237" s="183"/>
      <c r="BF237" s="183"/>
      <c r="BG237" s="183"/>
      <c r="BH237" s="183"/>
      <c r="BI237" s="183"/>
      <c r="BJ237" s="183"/>
      <c r="BK237" s="183"/>
      <c r="BL237" s="183"/>
      <c r="BM237" s="183"/>
      <c r="BN237" s="183"/>
      <c r="BO237" s="183"/>
      <c r="BP237" s="183"/>
      <c r="BQ237" s="183"/>
      <c r="BR237" s="183"/>
      <c r="BS237" s="183"/>
      <c r="BT237" s="183"/>
      <c r="BU237" s="183"/>
      <c r="BV237" s="183"/>
      <c r="BW237" s="183"/>
      <c r="BX237" s="183"/>
      <c r="BY237" s="183"/>
      <c r="BZ237" s="183"/>
      <c r="CA237" s="183"/>
      <c r="CB237" s="183"/>
      <c r="CC237" s="183"/>
      <c r="CD237" s="183"/>
      <c r="CE237" s="183"/>
      <c r="CF237" s="183"/>
      <c r="CG237" s="183"/>
      <c r="CH237" s="183"/>
      <c r="CI237" s="183"/>
      <c r="CJ237" s="183"/>
      <c r="CK237" s="183"/>
      <c r="CL237" s="183"/>
      <c r="CM237" s="183"/>
      <c r="CN237" s="183"/>
      <c r="CO237" s="183"/>
      <c r="CP237" s="183"/>
      <c r="CQ237" s="183"/>
      <c r="CR237" s="183"/>
      <c r="CS237" s="183"/>
      <c r="CT237" s="183"/>
      <c r="CU237" s="183"/>
      <c r="CV237" s="183"/>
      <c r="CW237" s="183"/>
      <c r="CX237" s="183"/>
      <c r="CY237" s="183"/>
      <c r="CZ237" s="183"/>
      <c r="DA237" s="183"/>
      <c r="DB237" s="183"/>
      <c r="DC237" s="183"/>
      <c r="DD237" s="183"/>
      <c r="DE237" s="183"/>
      <c r="DF237" s="183"/>
      <c r="DG237" s="183"/>
      <c r="DH237" s="183"/>
      <c r="DI237" s="183"/>
      <c r="DJ237" s="183"/>
      <c r="DK237" s="183"/>
      <c r="DL237" s="183"/>
      <c r="DM237" s="183"/>
      <c r="DN237" s="183"/>
      <c r="DO237" s="183"/>
      <c r="DP237" s="183"/>
      <c r="DQ237" s="183"/>
      <c r="DR237" s="183"/>
      <c r="DS237" s="183"/>
      <c r="DT237" s="183"/>
      <c r="DU237" s="183"/>
      <c r="DV237" s="183"/>
      <c r="DW237" s="183"/>
      <c r="DX237" s="183"/>
      <c r="DY237" s="183"/>
      <c r="DZ237" s="183"/>
      <c r="EA237" s="183"/>
      <c r="EB237" s="183"/>
      <c r="EC237" s="183"/>
      <c r="ED237" s="183"/>
      <c r="EE237" s="183"/>
      <c r="EF237" s="183"/>
      <c r="EG237" s="183"/>
      <c r="EH237" s="183"/>
      <c r="EI237" s="183"/>
      <c r="EJ237" s="183"/>
      <c r="EK237" s="183"/>
      <c r="EL237" s="183"/>
      <c r="EM237" s="183"/>
      <c r="EN237" s="183"/>
      <c r="EO237" s="183"/>
      <c r="EP237" s="183"/>
      <c r="EQ237" s="183"/>
      <c r="ER237" s="183"/>
      <c r="ES237" s="183"/>
      <c r="ET237" s="183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</row>
    <row r="238" spans="1:258" ht="13.5" customHeight="1">
      <c r="A238" s="49"/>
      <c r="B238" s="2"/>
      <c r="C238" s="2"/>
      <c r="D238" s="2"/>
      <c r="E238" s="2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  <c r="AL238" s="183"/>
      <c r="AM238" s="183"/>
      <c r="AN238" s="183"/>
      <c r="AO238" s="183"/>
      <c r="AP238" s="183"/>
      <c r="AQ238" s="183"/>
      <c r="AR238" s="183"/>
      <c r="AS238" s="183"/>
      <c r="AT238" s="183"/>
      <c r="AU238" s="183"/>
      <c r="AV238" s="183"/>
      <c r="AW238" s="183"/>
      <c r="AX238" s="183"/>
      <c r="AY238" s="183"/>
      <c r="AZ238" s="183"/>
      <c r="BA238" s="183"/>
      <c r="BB238" s="183"/>
      <c r="BC238" s="183"/>
      <c r="BD238" s="183"/>
      <c r="BE238" s="183"/>
      <c r="BF238" s="183"/>
      <c r="BG238" s="183"/>
      <c r="BH238" s="183"/>
      <c r="BI238" s="183"/>
      <c r="BJ238" s="183"/>
      <c r="BK238" s="183"/>
      <c r="BL238" s="183"/>
      <c r="BM238" s="183"/>
      <c r="BN238" s="183"/>
      <c r="BO238" s="183"/>
      <c r="BP238" s="183"/>
      <c r="BQ238" s="183"/>
      <c r="BR238" s="183"/>
      <c r="BS238" s="183"/>
      <c r="BT238" s="183"/>
      <c r="BU238" s="183"/>
      <c r="BV238" s="183"/>
      <c r="BW238" s="183"/>
      <c r="BX238" s="183"/>
      <c r="BY238" s="183"/>
      <c r="BZ238" s="183"/>
      <c r="CA238" s="183"/>
      <c r="CB238" s="183"/>
      <c r="CC238" s="183"/>
      <c r="CD238" s="183"/>
      <c r="CE238" s="183"/>
      <c r="CF238" s="183"/>
      <c r="CG238" s="183"/>
      <c r="CH238" s="183"/>
      <c r="CI238" s="183"/>
      <c r="CJ238" s="183"/>
      <c r="CK238" s="183"/>
      <c r="CL238" s="183"/>
      <c r="CM238" s="183"/>
      <c r="CN238" s="183"/>
      <c r="CO238" s="183"/>
      <c r="CP238" s="183"/>
      <c r="CQ238" s="183"/>
      <c r="CR238" s="183"/>
      <c r="CS238" s="183"/>
      <c r="CT238" s="183"/>
      <c r="CU238" s="183"/>
      <c r="CV238" s="183"/>
      <c r="CW238" s="183"/>
      <c r="CX238" s="183"/>
      <c r="CY238" s="183"/>
      <c r="CZ238" s="183"/>
      <c r="DA238" s="183"/>
      <c r="DB238" s="183"/>
      <c r="DC238" s="183"/>
      <c r="DD238" s="183"/>
      <c r="DE238" s="183"/>
      <c r="DF238" s="183"/>
      <c r="DG238" s="183"/>
      <c r="DH238" s="183"/>
      <c r="DI238" s="183"/>
      <c r="DJ238" s="183"/>
      <c r="DK238" s="183"/>
      <c r="DL238" s="183"/>
      <c r="DM238" s="183"/>
      <c r="DN238" s="183"/>
      <c r="DO238" s="183"/>
      <c r="DP238" s="183"/>
      <c r="DQ238" s="183"/>
      <c r="DR238" s="183"/>
      <c r="DS238" s="183"/>
      <c r="DT238" s="183"/>
      <c r="DU238" s="183"/>
      <c r="DV238" s="183"/>
      <c r="DW238" s="183"/>
      <c r="DX238" s="183"/>
      <c r="DY238" s="183"/>
      <c r="DZ238" s="183"/>
      <c r="EA238" s="183"/>
      <c r="EB238" s="183"/>
      <c r="EC238" s="183"/>
      <c r="ED238" s="183"/>
      <c r="EE238" s="183"/>
      <c r="EF238" s="183"/>
      <c r="EG238" s="183"/>
      <c r="EH238" s="183"/>
      <c r="EI238" s="183"/>
      <c r="EJ238" s="183"/>
      <c r="EK238" s="183"/>
      <c r="EL238" s="183"/>
      <c r="EM238" s="183"/>
      <c r="EN238" s="183"/>
      <c r="EO238" s="183"/>
      <c r="EP238" s="183"/>
      <c r="EQ238" s="183"/>
      <c r="ER238" s="183"/>
      <c r="ES238" s="183"/>
      <c r="ET238" s="183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</row>
    <row r="239" spans="1:258" ht="13.5" customHeight="1">
      <c r="A239" s="49"/>
      <c r="B239" s="2"/>
      <c r="C239" s="2"/>
      <c r="D239" s="2"/>
      <c r="E239" s="2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  <c r="AL239" s="183"/>
      <c r="AM239" s="183"/>
      <c r="AN239" s="183"/>
      <c r="AO239" s="183"/>
      <c r="AP239" s="183"/>
      <c r="AQ239" s="183"/>
      <c r="AR239" s="183"/>
      <c r="AS239" s="183"/>
      <c r="AT239" s="183"/>
      <c r="AU239" s="183"/>
      <c r="AV239" s="183"/>
      <c r="AW239" s="183"/>
      <c r="AX239" s="183"/>
      <c r="AY239" s="183"/>
      <c r="AZ239" s="183"/>
      <c r="BA239" s="183"/>
      <c r="BB239" s="183"/>
      <c r="BC239" s="183"/>
      <c r="BD239" s="183"/>
      <c r="BE239" s="183"/>
      <c r="BF239" s="183"/>
      <c r="BG239" s="183"/>
      <c r="BH239" s="183"/>
      <c r="BI239" s="183"/>
      <c r="BJ239" s="183"/>
      <c r="BK239" s="183"/>
      <c r="BL239" s="183"/>
      <c r="BM239" s="183"/>
      <c r="BN239" s="183"/>
      <c r="BO239" s="183"/>
      <c r="BP239" s="183"/>
      <c r="BQ239" s="183"/>
      <c r="BR239" s="183"/>
      <c r="BS239" s="183"/>
      <c r="BT239" s="183"/>
      <c r="BU239" s="183"/>
      <c r="BV239" s="183"/>
      <c r="BW239" s="183"/>
      <c r="BX239" s="183"/>
      <c r="BY239" s="183"/>
      <c r="BZ239" s="183"/>
      <c r="CA239" s="183"/>
      <c r="CB239" s="183"/>
      <c r="CC239" s="183"/>
      <c r="CD239" s="183"/>
      <c r="CE239" s="183"/>
      <c r="CF239" s="183"/>
      <c r="CG239" s="183"/>
      <c r="CH239" s="183"/>
      <c r="CI239" s="183"/>
      <c r="CJ239" s="183"/>
      <c r="CK239" s="183"/>
      <c r="CL239" s="183"/>
      <c r="CM239" s="183"/>
      <c r="CN239" s="183"/>
      <c r="CO239" s="183"/>
      <c r="CP239" s="183"/>
      <c r="CQ239" s="183"/>
      <c r="CR239" s="183"/>
      <c r="CS239" s="183"/>
      <c r="CT239" s="183"/>
      <c r="CU239" s="183"/>
      <c r="CV239" s="183"/>
      <c r="CW239" s="183"/>
      <c r="CX239" s="183"/>
      <c r="CY239" s="183"/>
      <c r="CZ239" s="183"/>
      <c r="DA239" s="183"/>
      <c r="DB239" s="183"/>
      <c r="DC239" s="183"/>
      <c r="DD239" s="183"/>
      <c r="DE239" s="183"/>
      <c r="DF239" s="183"/>
      <c r="DG239" s="183"/>
      <c r="DH239" s="183"/>
      <c r="DI239" s="183"/>
      <c r="DJ239" s="183"/>
      <c r="DK239" s="183"/>
      <c r="DL239" s="183"/>
      <c r="DM239" s="183"/>
      <c r="DN239" s="183"/>
      <c r="DO239" s="183"/>
      <c r="DP239" s="183"/>
      <c r="DQ239" s="183"/>
      <c r="DR239" s="183"/>
      <c r="DS239" s="183"/>
      <c r="DT239" s="183"/>
      <c r="DU239" s="183"/>
      <c r="DV239" s="183"/>
      <c r="DW239" s="183"/>
      <c r="DX239" s="183"/>
      <c r="DY239" s="183"/>
      <c r="DZ239" s="183"/>
      <c r="EA239" s="183"/>
      <c r="EB239" s="183"/>
      <c r="EC239" s="183"/>
      <c r="ED239" s="183"/>
      <c r="EE239" s="183"/>
      <c r="EF239" s="183"/>
      <c r="EG239" s="183"/>
      <c r="EH239" s="183"/>
      <c r="EI239" s="183"/>
      <c r="EJ239" s="183"/>
      <c r="EK239" s="183"/>
      <c r="EL239" s="183"/>
      <c r="EM239" s="183"/>
      <c r="EN239" s="183"/>
      <c r="EO239" s="183"/>
      <c r="EP239" s="183"/>
      <c r="EQ239" s="183"/>
      <c r="ER239" s="183"/>
      <c r="ES239" s="183"/>
      <c r="ET239" s="183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</row>
    <row r="240" spans="1:258" ht="13.5" customHeight="1">
      <c r="A240" s="49"/>
      <c r="B240" s="2"/>
      <c r="C240" s="2"/>
      <c r="D240" s="2"/>
      <c r="E240" s="2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  <c r="AL240" s="183"/>
      <c r="AM240" s="183"/>
      <c r="AN240" s="183"/>
      <c r="AO240" s="183"/>
      <c r="AP240" s="183"/>
      <c r="AQ240" s="183"/>
      <c r="AR240" s="183"/>
      <c r="AS240" s="183"/>
      <c r="AT240" s="183"/>
      <c r="AU240" s="183"/>
      <c r="AV240" s="183"/>
      <c r="AW240" s="183"/>
      <c r="AX240" s="183"/>
      <c r="AY240" s="183"/>
      <c r="AZ240" s="183"/>
      <c r="BA240" s="183"/>
      <c r="BB240" s="183"/>
      <c r="BC240" s="183"/>
      <c r="BD240" s="183"/>
      <c r="BE240" s="183"/>
      <c r="BF240" s="183"/>
      <c r="BG240" s="183"/>
      <c r="BH240" s="183"/>
      <c r="BI240" s="183"/>
      <c r="BJ240" s="183"/>
      <c r="BK240" s="183"/>
      <c r="BL240" s="183"/>
      <c r="BM240" s="183"/>
      <c r="BN240" s="183"/>
      <c r="BO240" s="183"/>
      <c r="BP240" s="183"/>
      <c r="BQ240" s="183"/>
      <c r="BR240" s="183"/>
      <c r="BS240" s="183"/>
      <c r="BT240" s="183"/>
      <c r="BU240" s="183"/>
      <c r="BV240" s="183"/>
      <c r="BW240" s="183"/>
      <c r="BX240" s="183"/>
      <c r="BY240" s="183"/>
      <c r="BZ240" s="183"/>
      <c r="CA240" s="183"/>
      <c r="CB240" s="183"/>
      <c r="CC240" s="183"/>
      <c r="CD240" s="183"/>
      <c r="CE240" s="183"/>
      <c r="CF240" s="183"/>
      <c r="CG240" s="183"/>
      <c r="CH240" s="183"/>
      <c r="CI240" s="183"/>
      <c r="CJ240" s="183"/>
      <c r="CK240" s="183"/>
      <c r="CL240" s="183"/>
      <c r="CM240" s="183"/>
      <c r="CN240" s="183"/>
      <c r="CO240" s="183"/>
      <c r="CP240" s="183"/>
      <c r="CQ240" s="183"/>
      <c r="CR240" s="183"/>
      <c r="CS240" s="183"/>
      <c r="CT240" s="183"/>
      <c r="CU240" s="183"/>
      <c r="CV240" s="183"/>
      <c r="CW240" s="183"/>
      <c r="CX240" s="183"/>
      <c r="CY240" s="183"/>
      <c r="CZ240" s="183"/>
      <c r="DA240" s="183"/>
      <c r="DB240" s="183"/>
      <c r="DC240" s="183"/>
      <c r="DD240" s="183"/>
      <c r="DE240" s="183"/>
      <c r="DF240" s="183"/>
      <c r="DG240" s="183"/>
      <c r="DH240" s="183"/>
      <c r="DI240" s="183"/>
      <c r="DJ240" s="183"/>
      <c r="DK240" s="183"/>
      <c r="DL240" s="183"/>
      <c r="DM240" s="183"/>
      <c r="DN240" s="183"/>
      <c r="DO240" s="183"/>
      <c r="DP240" s="183"/>
      <c r="DQ240" s="183"/>
      <c r="DR240" s="183"/>
      <c r="DS240" s="183"/>
      <c r="DT240" s="183"/>
      <c r="DU240" s="183"/>
      <c r="DV240" s="183"/>
      <c r="DW240" s="183"/>
      <c r="DX240" s="183"/>
      <c r="DY240" s="183"/>
      <c r="DZ240" s="183"/>
      <c r="EA240" s="183"/>
      <c r="EB240" s="183"/>
      <c r="EC240" s="183"/>
      <c r="ED240" s="183"/>
      <c r="EE240" s="183"/>
      <c r="EF240" s="183"/>
      <c r="EG240" s="183"/>
      <c r="EH240" s="183"/>
      <c r="EI240" s="183"/>
      <c r="EJ240" s="183"/>
      <c r="EK240" s="183"/>
      <c r="EL240" s="183"/>
      <c r="EM240" s="183"/>
      <c r="EN240" s="183"/>
      <c r="EO240" s="183"/>
      <c r="EP240" s="183"/>
      <c r="EQ240" s="183"/>
      <c r="ER240" s="183"/>
      <c r="ES240" s="183"/>
      <c r="ET240" s="183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</row>
    <row r="241" spans="1:258" ht="13.5" customHeight="1">
      <c r="A241" s="49"/>
      <c r="B241" s="2"/>
      <c r="C241" s="2"/>
      <c r="D241" s="2"/>
      <c r="E241" s="2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  <c r="AL241" s="183"/>
      <c r="AM241" s="183"/>
      <c r="AN241" s="183"/>
      <c r="AO241" s="183"/>
      <c r="AP241" s="183"/>
      <c r="AQ241" s="183"/>
      <c r="AR241" s="183"/>
      <c r="AS241" s="183"/>
      <c r="AT241" s="183"/>
      <c r="AU241" s="183"/>
      <c r="AV241" s="183"/>
      <c r="AW241" s="183"/>
      <c r="AX241" s="183"/>
      <c r="AY241" s="183"/>
      <c r="AZ241" s="183"/>
      <c r="BA241" s="183"/>
      <c r="BB241" s="183"/>
      <c r="BC241" s="183"/>
      <c r="BD241" s="183"/>
      <c r="BE241" s="183"/>
      <c r="BF241" s="183"/>
      <c r="BG241" s="183"/>
      <c r="BH241" s="183"/>
      <c r="BI241" s="183"/>
      <c r="BJ241" s="183"/>
      <c r="BK241" s="183"/>
      <c r="BL241" s="183"/>
      <c r="BM241" s="183"/>
      <c r="BN241" s="183"/>
      <c r="BO241" s="183"/>
      <c r="BP241" s="183"/>
      <c r="BQ241" s="183"/>
      <c r="BR241" s="183"/>
      <c r="BS241" s="183"/>
      <c r="BT241" s="183"/>
      <c r="BU241" s="183"/>
      <c r="BV241" s="183"/>
      <c r="BW241" s="183"/>
      <c r="BX241" s="183"/>
      <c r="BY241" s="183"/>
      <c r="BZ241" s="183"/>
      <c r="CA241" s="183"/>
      <c r="CB241" s="183"/>
      <c r="CC241" s="183"/>
      <c r="CD241" s="183"/>
      <c r="CE241" s="183"/>
      <c r="CF241" s="183"/>
      <c r="CG241" s="183"/>
      <c r="CH241" s="183"/>
      <c r="CI241" s="183"/>
      <c r="CJ241" s="183"/>
      <c r="CK241" s="183"/>
      <c r="CL241" s="183"/>
      <c r="CM241" s="183"/>
      <c r="CN241" s="183"/>
      <c r="CO241" s="183"/>
      <c r="CP241" s="183"/>
      <c r="CQ241" s="183"/>
      <c r="CR241" s="183"/>
      <c r="CS241" s="183"/>
      <c r="CT241" s="183"/>
      <c r="CU241" s="183"/>
      <c r="CV241" s="183"/>
      <c r="CW241" s="183"/>
      <c r="CX241" s="183"/>
      <c r="CY241" s="183"/>
      <c r="CZ241" s="183"/>
      <c r="DA241" s="183"/>
      <c r="DB241" s="183"/>
      <c r="DC241" s="183"/>
      <c r="DD241" s="183"/>
      <c r="DE241" s="183"/>
      <c r="DF241" s="183"/>
      <c r="DG241" s="183"/>
      <c r="DH241" s="183"/>
      <c r="DI241" s="183"/>
      <c r="DJ241" s="183"/>
      <c r="DK241" s="183"/>
      <c r="DL241" s="183"/>
      <c r="DM241" s="183"/>
      <c r="DN241" s="183"/>
      <c r="DO241" s="183"/>
      <c r="DP241" s="183"/>
      <c r="DQ241" s="183"/>
      <c r="DR241" s="183"/>
      <c r="DS241" s="183"/>
      <c r="DT241" s="183"/>
      <c r="DU241" s="183"/>
      <c r="DV241" s="183"/>
      <c r="DW241" s="183"/>
      <c r="DX241" s="183"/>
      <c r="DY241" s="183"/>
      <c r="DZ241" s="183"/>
      <c r="EA241" s="183"/>
      <c r="EB241" s="183"/>
      <c r="EC241" s="183"/>
      <c r="ED241" s="183"/>
      <c r="EE241" s="183"/>
      <c r="EF241" s="183"/>
      <c r="EG241" s="183"/>
      <c r="EH241" s="183"/>
      <c r="EI241" s="183"/>
      <c r="EJ241" s="183"/>
      <c r="EK241" s="183"/>
      <c r="EL241" s="183"/>
      <c r="EM241" s="183"/>
      <c r="EN241" s="183"/>
      <c r="EO241" s="183"/>
      <c r="EP241" s="183"/>
      <c r="EQ241" s="183"/>
      <c r="ER241" s="183"/>
      <c r="ES241" s="183"/>
      <c r="ET241" s="183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</row>
    <row r="242" spans="1:258" ht="13.5" customHeight="1">
      <c r="A242" s="49"/>
      <c r="B242" s="2"/>
      <c r="C242" s="2"/>
      <c r="D242" s="2"/>
      <c r="E242" s="2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  <c r="AL242" s="183"/>
      <c r="AM242" s="183"/>
      <c r="AN242" s="183"/>
      <c r="AO242" s="183"/>
      <c r="AP242" s="183"/>
      <c r="AQ242" s="183"/>
      <c r="AR242" s="183"/>
      <c r="AS242" s="183"/>
      <c r="AT242" s="183"/>
      <c r="AU242" s="183"/>
      <c r="AV242" s="183"/>
      <c r="AW242" s="183"/>
      <c r="AX242" s="183"/>
      <c r="AY242" s="183"/>
      <c r="AZ242" s="183"/>
      <c r="BA242" s="183"/>
      <c r="BB242" s="183"/>
      <c r="BC242" s="183"/>
      <c r="BD242" s="183"/>
      <c r="BE242" s="183"/>
      <c r="BF242" s="183"/>
      <c r="BG242" s="183"/>
      <c r="BH242" s="183"/>
      <c r="BI242" s="183"/>
      <c r="BJ242" s="183"/>
      <c r="BK242" s="183"/>
      <c r="BL242" s="183"/>
      <c r="BM242" s="183"/>
      <c r="BN242" s="183"/>
      <c r="BO242" s="183"/>
      <c r="BP242" s="183"/>
      <c r="BQ242" s="183"/>
      <c r="BR242" s="183"/>
      <c r="BS242" s="183"/>
      <c r="BT242" s="183"/>
      <c r="BU242" s="183"/>
      <c r="BV242" s="183"/>
      <c r="BW242" s="183"/>
      <c r="BX242" s="183"/>
      <c r="BY242" s="183"/>
      <c r="BZ242" s="183"/>
      <c r="CA242" s="183"/>
      <c r="CB242" s="183"/>
      <c r="CC242" s="183"/>
      <c r="CD242" s="183"/>
      <c r="CE242" s="183"/>
      <c r="CF242" s="183"/>
      <c r="CG242" s="183"/>
      <c r="CH242" s="183"/>
      <c r="CI242" s="183"/>
      <c r="CJ242" s="183"/>
      <c r="CK242" s="183"/>
      <c r="CL242" s="183"/>
      <c r="CM242" s="183"/>
      <c r="CN242" s="183"/>
      <c r="CO242" s="183"/>
      <c r="CP242" s="183"/>
      <c r="CQ242" s="183"/>
      <c r="CR242" s="183"/>
      <c r="CS242" s="183"/>
      <c r="CT242" s="183"/>
      <c r="CU242" s="183"/>
      <c r="CV242" s="183"/>
      <c r="CW242" s="183"/>
      <c r="CX242" s="183"/>
      <c r="CY242" s="183"/>
      <c r="CZ242" s="183"/>
      <c r="DA242" s="183"/>
      <c r="DB242" s="183"/>
      <c r="DC242" s="183"/>
      <c r="DD242" s="183"/>
      <c r="DE242" s="183"/>
      <c r="DF242" s="183"/>
      <c r="DG242" s="183"/>
      <c r="DH242" s="183"/>
      <c r="DI242" s="183"/>
      <c r="DJ242" s="183"/>
      <c r="DK242" s="183"/>
      <c r="DL242" s="183"/>
      <c r="DM242" s="183"/>
      <c r="DN242" s="183"/>
      <c r="DO242" s="183"/>
      <c r="DP242" s="183"/>
      <c r="DQ242" s="183"/>
      <c r="DR242" s="183"/>
      <c r="DS242" s="183"/>
      <c r="DT242" s="183"/>
      <c r="DU242" s="183"/>
      <c r="DV242" s="183"/>
      <c r="DW242" s="183"/>
      <c r="DX242" s="183"/>
      <c r="DY242" s="183"/>
      <c r="DZ242" s="183"/>
      <c r="EA242" s="183"/>
      <c r="EB242" s="183"/>
      <c r="EC242" s="183"/>
      <c r="ED242" s="183"/>
      <c r="EE242" s="183"/>
      <c r="EF242" s="183"/>
      <c r="EG242" s="183"/>
      <c r="EH242" s="183"/>
      <c r="EI242" s="183"/>
      <c r="EJ242" s="183"/>
      <c r="EK242" s="183"/>
      <c r="EL242" s="183"/>
      <c r="EM242" s="183"/>
      <c r="EN242" s="183"/>
      <c r="EO242" s="183"/>
      <c r="EP242" s="183"/>
      <c r="EQ242" s="183"/>
      <c r="ER242" s="183"/>
      <c r="ES242" s="183"/>
      <c r="ET242" s="183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</row>
    <row r="243" spans="1:258" ht="13.5" customHeight="1">
      <c r="A243" s="49"/>
      <c r="B243" s="2"/>
      <c r="C243" s="2"/>
      <c r="D243" s="2"/>
      <c r="E243" s="2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  <c r="AL243" s="183"/>
      <c r="AM243" s="183"/>
      <c r="AN243" s="183"/>
      <c r="AO243" s="183"/>
      <c r="AP243" s="183"/>
      <c r="AQ243" s="183"/>
      <c r="AR243" s="183"/>
      <c r="AS243" s="183"/>
      <c r="AT243" s="183"/>
      <c r="AU243" s="183"/>
      <c r="AV243" s="183"/>
      <c r="AW243" s="183"/>
      <c r="AX243" s="183"/>
      <c r="AY243" s="183"/>
      <c r="AZ243" s="183"/>
      <c r="BA243" s="183"/>
      <c r="BB243" s="183"/>
      <c r="BC243" s="183"/>
      <c r="BD243" s="183"/>
      <c r="BE243" s="183"/>
      <c r="BF243" s="183"/>
      <c r="BG243" s="183"/>
      <c r="BH243" s="183"/>
      <c r="BI243" s="183"/>
      <c r="BJ243" s="183"/>
      <c r="BK243" s="183"/>
      <c r="BL243" s="183"/>
      <c r="BM243" s="183"/>
      <c r="BN243" s="183"/>
      <c r="BO243" s="183"/>
      <c r="BP243" s="183"/>
      <c r="BQ243" s="183"/>
      <c r="BR243" s="183"/>
      <c r="BS243" s="183"/>
      <c r="BT243" s="183"/>
      <c r="BU243" s="183"/>
      <c r="BV243" s="183"/>
      <c r="BW243" s="183"/>
      <c r="BX243" s="183"/>
      <c r="BY243" s="183"/>
      <c r="BZ243" s="183"/>
      <c r="CA243" s="183"/>
      <c r="CB243" s="183"/>
      <c r="CC243" s="183"/>
      <c r="CD243" s="183"/>
      <c r="CE243" s="183"/>
      <c r="CF243" s="183"/>
      <c r="CG243" s="183"/>
      <c r="CH243" s="183"/>
      <c r="CI243" s="183"/>
      <c r="CJ243" s="183"/>
      <c r="CK243" s="183"/>
      <c r="CL243" s="183"/>
      <c r="CM243" s="183"/>
      <c r="CN243" s="183"/>
      <c r="CO243" s="183"/>
      <c r="CP243" s="183"/>
      <c r="CQ243" s="183"/>
      <c r="CR243" s="183"/>
      <c r="CS243" s="183"/>
      <c r="CT243" s="183"/>
      <c r="CU243" s="183"/>
      <c r="CV243" s="183"/>
      <c r="CW243" s="183"/>
      <c r="CX243" s="183"/>
      <c r="CY243" s="183"/>
      <c r="CZ243" s="183"/>
      <c r="DA243" s="183"/>
      <c r="DB243" s="183"/>
      <c r="DC243" s="183"/>
      <c r="DD243" s="183"/>
      <c r="DE243" s="183"/>
      <c r="DF243" s="183"/>
      <c r="DG243" s="183"/>
      <c r="DH243" s="183"/>
      <c r="DI243" s="183"/>
      <c r="DJ243" s="183"/>
      <c r="DK243" s="183"/>
      <c r="DL243" s="183"/>
      <c r="DM243" s="183"/>
      <c r="DN243" s="183"/>
      <c r="DO243" s="183"/>
      <c r="DP243" s="183"/>
      <c r="DQ243" s="183"/>
      <c r="DR243" s="183"/>
      <c r="DS243" s="183"/>
      <c r="DT243" s="183"/>
      <c r="DU243" s="183"/>
      <c r="DV243" s="183"/>
      <c r="DW243" s="183"/>
      <c r="DX243" s="183"/>
      <c r="DY243" s="183"/>
      <c r="DZ243" s="183"/>
      <c r="EA243" s="183"/>
      <c r="EB243" s="183"/>
      <c r="EC243" s="183"/>
      <c r="ED243" s="183"/>
      <c r="EE243" s="183"/>
      <c r="EF243" s="183"/>
      <c r="EG243" s="183"/>
      <c r="EH243" s="183"/>
      <c r="EI243" s="183"/>
      <c r="EJ243" s="183"/>
      <c r="EK243" s="183"/>
      <c r="EL243" s="183"/>
      <c r="EM243" s="183"/>
      <c r="EN243" s="183"/>
      <c r="EO243" s="183"/>
      <c r="EP243" s="183"/>
      <c r="EQ243" s="183"/>
      <c r="ER243" s="183"/>
      <c r="ES243" s="183"/>
      <c r="ET243" s="183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</row>
    <row r="244" spans="1:258" ht="13.5" customHeight="1">
      <c r="A244" s="49"/>
      <c r="B244" s="2"/>
      <c r="C244" s="2"/>
      <c r="D244" s="2"/>
      <c r="E244" s="2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  <c r="AL244" s="183"/>
      <c r="AM244" s="183"/>
      <c r="AN244" s="183"/>
      <c r="AO244" s="183"/>
      <c r="AP244" s="183"/>
      <c r="AQ244" s="183"/>
      <c r="AR244" s="183"/>
      <c r="AS244" s="183"/>
      <c r="AT244" s="183"/>
      <c r="AU244" s="183"/>
      <c r="AV244" s="183"/>
      <c r="AW244" s="183"/>
      <c r="AX244" s="183"/>
      <c r="AY244" s="183"/>
      <c r="AZ244" s="183"/>
      <c r="BA244" s="183"/>
      <c r="BB244" s="183"/>
      <c r="BC244" s="183"/>
      <c r="BD244" s="183"/>
      <c r="BE244" s="183"/>
      <c r="BF244" s="183"/>
      <c r="BG244" s="183"/>
      <c r="BH244" s="183"/>
      <c r="BI244" s="183"/>
      <c r="BJ244" s="183"/>
      <c r="BK244" s="183"/>
      <c r="BL244" s="183"/>
      <c r="BM244" s="183"/>
      <c r="BN244" s="183"/>
      <c r="BO244" s="183"/>
      <c r="BP244" s="183"/>
      <c r="BQ244" s="183"/>
      <c r="BR244" s="183"/>
      <c r="BS244" s="183"/>
      <c r="BT244" s="183"/>
      <c r="BU244" s="183"/>
      <c r="BV244" s="183"/>
      <c r="BW244" s="183"/>
      <c r="BX244" s="183"/>
      <c r="BY244" s="183"/>
      <c r="BZ244" s="183"/>
      <c r="CA244" s="183"/>
      <c r="CB244" s="183"/>
      <c r="CC244" s="183"/>
      <c r="CD244" s="183"/>
      <c r="CE244" s="183"/>
      <c r="CF244" s="183"/>
      <c r="CG244" s="183"/>
      <c r="CH244" s="183"/>
      <c r="CI244" s="183"/>
      <c r="CJ244" s="183"/>
      <c r="CK244" s="183"/>
      <c r="CL244" s="183"/>
      <c r="CM244" s="183"/>
      <c r="CN244" s="183"/>
      <c r="CO244" s="183"/>
      <c r="CP244" s="183"/>
      <c r="CQ244" s="183"/>
      <c r="CR244" s="183"/>
      <c r="CS244" s="183"/>
      <c r="CT244" s="183"/>
      <c r="CU244" s="183"/>
      <c r="CV244" s="183"/>
      <c r="CW244" s="183"/>
      <c r="CX244" s="183"/>
      <c r="CY244" s="183"/>
      <c r="CZ244" s="183"/>
      <c r="DA244" s="183"/>
      <c r="DB244" s="183"/>
      <c r="DC244" s="183"/>
      <c r="DD244" s="183"/>
      <c r="DE244" s="183"/>
      <c r="DF244" s="183"/>
      <c r="DG244" s="183"/>
      <c r="DH244" s="183"/>
      <c r="DI244" s="183"/>
      <c r="DJ244" s="183"/>
      <c r="DK244" s="183"/>
      <c r="DL244" s="183"/>
      <c r="DM244" s="183"/>
      <c r="DN244" s="183"/>
      <c r="DO244" s="183"/>
      <c r="DP244" s="183"/>
      <c r="DQ244" s="183"/>
      <c r="DR244" s="183"/>
      <c r="DS244" s="183"/>
      <c r="DT244" s="183"/>
      <c r="DU244" s="183"/>
      <c r="DV244" s="183"/>
      <c r="DW244" s="183"/>
      <c r="DX244" s="183"/>
      <c r="DY244" s="183"/>
      <c r="DZ244" s="183"/>
      <c r="EA244" s="183"/>
      <c r="EB244" s="183"/>
      <c r="EC244" s="183"/>
      <c r="ED244" s="183"/>
      <c r="EE244" s="183"/>
      <c r="EF244" s="183"/>
      <c r="EG244" s="183"/>
      <c r="EH244" s="183"/>
      <c r="EI244" s="183"/>
      <c r="EJ244" s="183"/>
      <c r="EK244" s="183"/>
      <c r="EL244" s="183"/>
      <c r="EM244" s="183"/>
      <c r="EN244" s="183"/>
      <c r="EO244" s="183"/>
      <c r="EP244" s="183"/>
      <c r="EQ244" s="183"/>
      <c r="ER244" s="183"/>
      <c r="ES244" s="183"/>
      <c r="ET244" s="183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</row>
    <row r="245" spans="1:258" ht="13.5" customHeight="1">
      <c r="A245" s="49"/>
      <c r="B245" s="2"/>
      <c r="C245" s="2"/>
      <c r="D245" s="2"/>
      <c r="E245" s="2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  <c r="AL245" s="183"/>
      <c r="AM245" s="183"/>
      <c r="AN245" s="183"/>
      <c r="AO245" s="183"/>
      <c r="AP245" s="183"/>
      <c r="AQ245" s="183"/>
      <c r="AR245" s="183"/>
      <c r="AS245" s="183"/>
      <c r="AT245" s="183"/>
      <c r="AU245" s="183"/>
      <c r="AV245" s="183"/>
      <c r="AW245" s="183"/>
      <c r="AX245" s="183"/>
      <c r="AY245" s="183"/>
      <c r="AZ245" s="183"/>
      <c r="BA245" s="183"/>
      <c r="BB245" s="183"/>
      <c r="BC245" s="183"/>
      <c r="BD245" s="183"/>
      <c r="BE245" s="183"/>
      <c r="BF245" s="183"/>
      <c r="BG245" s="183"/>
      <c r="BH245" s="183"/>
      <c r="BI245" s="183"/>
      <c r="BJ245" s="183"/>
      <c r="BK245" s="183"/>
      <c r="BL245" s="183"/>
      <c r="BM245" s="183"/>
      <c r="BN245" s="183"/>
      <c r="BO245" s="183"/>
      <c r="BP245" s="183"/>
      <c r="BQ245" s="183"/>
      <c r="BR245" s="183"/>
      <c r="BS245" s="183"/>
      <c r="BT245" s="183"/>
      <c r="BU245" s="183"/>
      <c r="BV245" s="183"/>
      <c r="BW245" s="183"/>
      <c r="BX245" s="183"/>
      <c r="BY245" s="183"/>
      <c r="BZ245" s="183"/>
      <c r="CA245" s="183"/>
      <c r="CB245" s="183"/>
      <c r="CC245" s="183"/>
      <c r="CD245" s="183"/>
      <c r="CE245" s="183"/>
      <c r="CF245" s="183"/>
      <c r="CG245" s="183"/>
      <c r="CH245" s="183"/>
      <c r="CI245" s="183"/>
      <c r="CJ245" s="183"/>
      <c r="CK245" s="183"/>
      <c r="CL245" s="183"/>
      <c r="CM245" s="183"/>
      <c r="CN245" s="183"/>
      <c r="CO245" s="183"/>
      <c r="CP245" s="183"/>
      <c r="CQ245" s="183"/>
      <c r="CR245" s="183"/>
      <c r="CS245" s="183"/>
      <c r="CT245" s="183"/>
      <c r="CU245" s="183"/>
      <c r="CV245" s="183"/>
      <c r="CW245" s="183"/>
      <c r="CX245" s="183"/>
      <c r="CY245" s="183"/>
      <c r="CZ245" s="183"/>
      <c r="DA245" s="183"/>
      <c r="DB245" s="183"/>
      <c r="DC245" s="183"/>
      <c r="DD245" s="183"/>
      <c r="DE245" s="183"/>
      <c r="DF245" s="183"/>
      <c r="DG245" s="183"/>
      <c r="DH245" s="183"/>
      <c r="DI245" s="183"/>
      <c r="DJ245" s="183"/>
      <c r="DK245" s="183"/>
      <c r="DL245" s="183"/>
      <c r="DM245" s="183"/>
      <c r="DN245" s="183"/>
      <c r="DO245" s="183"/>
      <c r="DP245" s="183"/>
      <c r="DQ245" s="183"/>
      <c r="DR245" s="183"/>
      <c r="DS245" s="183"/>
      <c r="DT245" s="183"/>
      <c r="DU245" s="183"/>
      <c r="DV245" s="183"/>
      <c r="DW245" s="183"/>
      <c r="DX245" s="183"/>
      <c r="DY245" s="183"/>
      <c r="DZ245" s="183"/>
      <c r="EA245" s="183"/>
      <c r="EB245" s="183"/>
      <c r="EC245" s="183"/>
      <c r="ED245" s="183"/>
      <c r="EE245" s="183"/>
      <c r="EF245" s="183"/>
      <c r="EG245" s="183"/>
      <c r="EH245" s="183"/>
      <c r="EI245" s="183"/>
      <c r="EJ245" s="183"/>
      <c r="EK245" s="183"/>
      <c r="EL245" s="183"/>
      <c r="EM245" s="183"/>
      <c r="EN245" s="183"/>
      <c r="EO245" s="183"/>
      <c r="EP245" s="183"/>
      <c r="EQ245" s="183"/>
      <c r="ER245" s="183"/>
      <c r="ES245" s="183"/>
      <c r="ET245" s="183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</row>
    <row r="246" spans="1:258" ht="13.5" customHeight="1">
      <c r="A246" s="49"/>
      <c r="B246" s="2"/>
      <c r="C246" s="2"/>
      <c r="D246" s="2"/>
      <c r="E246" s="2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  <c r="AL246" s="183"/>
      <c r="AM246" s="183"/>
      <c r="AN246" s="183"/>
      <c r="AO246" s="183"/>
      <c r="AP246" s="183"/>
      <c r="AQ246" s="183"/>
      <c r="AR246" s="183"/>
      <c r="AS246" s="183"/>
      <c r="AT246" s="183"/>
      <c r="AU246" s="183"/>
      <c r="AV246" s="183"/>
      <c r="AW246" s="183"/>
      <c r="AX246" s="183"/>
      <c r="AY246" s="183"/>
      <c r="AZ246" s="183"/>
      <c r="BA246" s="183"/>
      <c r="BB246" s="183"/>
      <c r="BC246" s="183"/>
      <c r="BD246" s="183"/>
      <c r="BE246" s="183"/>
      <c r="BF246" s="183"/>
      <c r="BG246" s="183"/>
      <c r="BH246" s="183"/>
      <c r="BI246" s="183"/>
      <c r="BJ246" s="183"/>
      <c r="BK246" s="183"/>
      <c r="BL246" s="183"/>
      <c r="BM246" s="183"/>
      <c r="BN246" s="183"/>
      <c r="BO246" s="183"/>
      <c r="BP246" s="183"/>
      <c r="BQ246" s="183"/>
      <c r="BR246" s="183"/>
      <c r="BS246" s="183"/>
      <c r="BT246" s="183"/>
      <c r="BU246" s="183"/>
      <c r="BV246" s="183"/>
      <c r="BW246" s="183"/>
      <c r="BX246" s="183"/>
      <c r="BY246" s="183"/>
      <c r="BZ246" s="183"/>
      <c r="CA246" s="183"/>
      <c r="CB246" s="183"/>
      <c r="CC246" s="183"/>
      <c r="CD246" s="183"/>
      <c r="CE246" s="183"/>
      <c r="CF246" s="183"/>
      <c r="CG246" s="183"/>
      <c r="CH246" s="183"/>
      <c r="CI246" s="183"/>
      <c r="CJ246" s="183"/>
      <c r="CK246" s="183"/>
      <c r="CL246" s="183"/>
      <c r="CM246" s="183"/>
      <c r="CN246" s="183"/>
      <c r="CO246" s="183"/>
      <c r="CP246" s="183"/>
      <c r="CQ246" s="183"/>
      <c r="CR246" s="183"/>
      <c r="CS246" s="183"/>
      <c r="CT246" s="183"/>
      <c r="CU246" s="183"/>
      <c r="CV246" s="183"/>
      <c r="CW246" s="183"/>
      <c r="CX246" s="183"/>
      <c r="CY246" s="183"/>
      <c r="CZ246" s="183"/>
      <c r="DA246" s="183"/>
      <c r="DB246" s="183"/>
      <c r="DC246" s="183"/>
      <c r="DD246" s="183"/>
      <c r="DE246" s="183"/>
      <c r="DF246" s="183"/>
      <c r="DG246" s="183"/>
      <c r="DH246" s="183"/>
      <c r="DI246" s="183"/>
      <c r="DJ246" s="183"/>
      <c r="DK246" s="183"/>
      <c r="DL246" s="183"/>
      <c r="DM246" s="183"/>
      <c r="DN246" s="183"/>
      <c r="DO246" s="183"/>
      <c r="DP246" s="183"/>
      <c r="DQ246" s="183"/>
      <c r="DR246" s="183"/>
      <c r="DS246" s="183"/>
      <c r="DT246" s="183"/>
      <c r="DU246" s="183"/>
      <c r="DV246" s="183"/>
      <c r="DW246" s="183"/>
      <c r="DX246" s="183"/>
      <c r="DY246" s="183"/>
      <c r="DZ246" s="183"/>
      <c r="EA246" s="183"/>
      <c r="EB246" s="183"/>
      <c r="EC246" s="183"/>
      <c r="ED246" s="183"/>
      <c r="EE246" s="183"/>
      <c r="EF246" s="183"/>
      <c r="EG246" s="183"/>
      <c r="EH246" s="183"/>
      <c r="EI246" s="183"/>
      <c r="EJ246" s="183"/>
      <c r="EK246" s="183"/>
      <c r="EL246" s="183"/>
      <c r="EM246" s="183"/>
      <c r="EN246" s="183"/>
      <c r="EO246" s="183"/>
      <c r="EP246" s="183"/>
      <c r="EQ246" s="183"/>
      <c r="ER246" s="183"/>
      <c r="ES246" s="183"/>
      <c r="ET246" s="183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</row>
    <row r="247" spans="1:258" ht="13.5" customHeight="1">
      <c r="A247" s="49"/>
      <c r="B247" s="2"/>
      <c r="C247" s="2"/>
      <c r="D247" s="2"/>
      <c r="E247" s="2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  <c r="AP247" s="183"/>
      <c r="AQ247" s="183"/>
      <c r="AR247" s="183"/>
      <c r="AS247" s="183"/>
      <c r="AT247" s="183"/>
      <c r="AU247" s="183"/>
      <c r="AV247" s="183"/>
      <c r="AW247" s="183"/>
      <c r="AX247" s="183"/>
      <c r="AY247" s="183"/>
      <c r="AZ247" s="183"/>
      <c r="BA247" s="183"/>
      <c r="BB247" s="183"/>
      <c r="BC247" s="183"/>
      <c r="BD247" s="183"/>
      <c r="BE247" s="183"/>
      <c r="BF247" s="183"/>
      <c r="BG247" s="183"/>
      <c r="BH247" s="183"/>
      <c r="BI247" s="183"/>
      <c r="BJ247" s="183"/>
      <c r="BK247" s="183"/>
      <c r="BL247" s="183"/>
      <c r="BM247" s="183"/>
      <c r="BN247" s="183"/>
      <c r="BO247" s="183"/>
      <c r="BP247" s="183"/>
      <c r="BQ247" s="183"/>
      <c r="BR247" s="183"/>
      <c r="BS247" s="183"/>
      <c r="BT247" s="183"/>
      <c r="BU247" s="183"/>
      <c r="BV247" s="183"/>
      <c r="BW247" s="183"/>
      <c r="BX247" s="183"/>
      <c r="BY247" s="183"/>
      <c r="BZ247" s="183"/>
      <c r="CA247" s="183"/>
      <c r="CB247" s="183"/>
      <c r="CC247" s="183"/>
      <c r="CD247" s="183"/>
      <c r="CE247" s="183"/>
      <c r="CF247" s="183"/>
      <c r="CG247" s="183"/>
      <c r="CH247" s="183"/>
      <c r="CI247" s="183"/>
      <c r="CJ247" s="183"/>
      <c r="CK247" s="183"/>
      <c r="CL247" s="183"/>
      <c r="CM247" s="183"/>
      <c r="CN247" s="183"/>
      <c r="CO247" s="183"/>
      <c r="CP247" s="183"/>
      <c r="CQ247" s="183"/>
      <c r="CR247" s="183"/>
      <c r="CS247" s="183"/>
      <c r="CT247" s="183"/>
      <c r="CU247" s="183"/>
      <c r="CV247" s="183"/>
      <c r="CW247" s="183"/>
      <c r="CX247" s="183"/>
      <c r="CY247" s="183"/>
      <c r="CZ247" s="183"/>
      <c r="DA247" s="183"/>
      <c r="DB247" s="183"/>
      <c r="DC247" s="183"/>
      <c r="DD247" s="183"/>
      <c r="DE247" s="183"/>
      <c r="DF247" s="183"/>
      <c r="DG247" s="183"/>
      <c r="DH247" s="183"/>
      <c r="DI247" s="183"/>
      <c r="DJ247" s="183"/>
      <c r="DK247" s="183"/>
      <c r="DL247" s="183"/>
      <c r="DM247" s="183"/>
      <c r="DN247" s="183"/>
      <c r="DO247" s="183"/>
      <c r="DP247" s="183"/>
      <c r="DQ247" s="183"/>
      <c r="DR247" s="183"/>
      <c r="DS247" s="183"/>
      <c r="DT247" s="183"/>
      <c r="DU247" s="183"/>
      <c r="DV247" s="183"/>
      <c r="DW247" s="183"/>
      <c r="DX247" s="183"/>
      <c r="DY247" s="183"/>
      <c r="DZ247" s="183"/>
      <c r="EA247" s="183"/>
      <c r="EB247" s="183"/>
      <c r="EC247" s="183"/>
      <c r="ED247" s="183"/>
      <c r="EE247" s="183"/>
      <c r="EF247" s="183"/>
      <c r="EG247" s="183"/>
      <c r="EH247" s="183"/>
      <c r="EI247" s="183"/>
      <c r="EJ247" s="183"/>
      <c r="EK247" s="183"/>
      <c r="EL247" s="183"/>
      <c r="EM247" s="183"/>
      <c r="EN247" s="183"/>
      <c r="EO247" s="183"/>
      <c r="EP247" s="183"/>
      <c r="EQ247" s="183"/>
      <c r="ER247" s="183"/>
      <c r="ES247" s="183"/>
      <c r="ET247" s="183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</row>
    <row r="248" spans="1:258" ht="13.5" customHeight="1">
      <c r="A248" s="49"/>
      <c r="B248" s="2"/>
      <c r="C248" s="2"/>
      <c r="D248" s="2"/>
      <c r="E248" s="2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  <c r="AL248" s="183"/>
      <c r="AM248" s="183"/>
      <c r="AN248" s="183"/>
      <c r="AO248" s="183"/>
      <c r="AP248" s="183"/>
      <c r="AQ248" s="183"/>
      <c r="AR248" s="183"/>
      <c r="AS248" s="183"/>
      <c r="AT248" s="183"/>
      <c r="AU248" s="183"/>
      <c r="AV248" s="183"/>
      <c r="AW248" s="183"/>
      <c r="AX248" s="183"/>
      <c r="AY248" s="183"/>
      <c r="AZ248" s="183"/>
      <c r="BA248" s="183"/>
      <c r="BB248" s="183"/>
      <c r="BC248" s="183"/>
      <c r="BD248" s="183"/>
      <c r="BE248" s="183"/>
      <c r="BF248" s="183"/>
      <c r="BG248" s="183"/>
      <c r="BH248" s="183"/>
      <c r="BI248" s="183"/>
      <c r="BJ248" s="183"/>
      <c r="BK248" s="183"/>
      <c r="BL248" s="183"/>
      <c r="BM248" s="183"/>
      <c r="BN248" s="183"/>
      <c r="BO248" s="183"/>
      <c r="BP248" s="183"/>
      <c r="BQ248" s="183"/>
      <c r="BR248" s="183"/>
      <c r="BS248" s="183"/>
      <c r="BT248" s="183"/>
      <c r="BU248" s="183"/>
      <c r="BV248" s="183"/>
      <c r="BW248" s="183"/>
      <c r="BX248" s="183"/>
      <c r="BY248" s="183"/>
      <c r="BZ248" s="183"/>
      <c r="CA248" s="183"/>
      <c r="CB248" s="183"/>
      <c r="CC248" s="183"/>
      <c r="CD248" s="183"/>
      <c r="CE248" s="183"/>
      <c r="CF248" s="183"/>
      <c r="CG248" s="183"/>
      <c r="CH248" s="183"/>
      <c r="CI248" s="183"/>
      <c r="CJ248" s="183"/>
      <c r="CK248" s="183"/>
      <c r="CL248" s="183"/>
      <c r="CM248" s="183"/>
      <c r="CN248" s="183"/>
      <c r="CO248" s="183"/>
      <c r="CP248" s="183"/>
      <c r="CQ248" s="183"/>
      <c r="CR248" s="183"/>
      <c r="CS248" s="183"/>
      <c r="CT248" s="183"/>
      <c r="CU248" s="183"/>
      <c r="CV248" s="183"/>
      <c r="CW248" s="183"/>
      <c r="CX248" s="183"/>
      <c r="CY248" s="183"/>
      <c r="CZ248" s="183"/>
      <c r="DA248" s="183"/>
      <c r="DB248" s="183"/>
      <c r="DC248" s="183"/>
      <c r="DD248" s="183"/>
      <c r="DE248" s="183"/>
      <c r="DF248" s="183"/>
      <c r="DG248" s="183"/>
      <c r="DH248" s="183"/>
      <c r="DI248" s="183"/>
      <c r="DJ248" s="183"/>
      <c r="DK248" s="183"/>
      <c r="DL248" s="183"/>
      <c r="DM248" s="183"/>
      <c r="DN248" s="183"/>
      <c r="DO248" s="183"/>
      <c r="DP248" s="183"/>
      <c r="DQ248" s="183"/>
      <c r="DR248" s="183"/>
      <c r="DS248" s="183"/>
      <c r="DT248" s="183"/>
      <c r="DU248" s="183"/>
      <c r="DV248" s="183"/>
      <c r="DW248" s="183"/>
      <c r="DX248" s="183"/>
      <c r="DY248" s="183"/>
      <c r="DZ248" s="183"/>
      <c r="EA248" s="183"/>
      <c r="EB248" s="183"/>
      <c r="EC248" s="183"/>
      <c r="ED248" s="183"/>
      <c r="EE248" s="183"/>
      <c r="EF248" s="183"/>
      <c r="EG248" s="183"/>
      <c r="EH248" s="183"/>
      <c r="EI248" s="183"/>
      <c r="EJ248" s="183"/>
      <c r="EK248" s="183"/>
      <c r="EL248" s="183"/>
      <c r="EM248" s="183"/>
      <c r="EN248" s="183"/>
      <c r="EO248" s="183"/>
      <c r="EP248" s="183"/>
      <c r="EQ248" s="183"/>
      <c r="ER248" s="183"/>
      <c r="ES248" s="183"/>
      <c r="ET248" s="183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</row>
    <row r="249" spans="1:258" ht="13.5" customHeight="1">
      <c r="A249" s="49"/>
      <c r="B249" s="2"/>
      <c r="C249" s="2"/>
      <c r="D249" s="2"/>
      <c r="E249" s="2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  <c r="AL249" s="183"/>
      <c r="AM249" s="183"/>
      <c r="AN249" s="183"/>
      <c r="AO249" s="183"/>
      <c r="AP249" s="183"/>
      <c r="AQ249" s="183"/>
      <c r="AR249" s="183"/>
      <c r="AS249" s="183"/>
      <c r="AT249" s="183"/>
      <c r="AU249" s="183"/>
      <c r="AV249" s="183"/>
      <c r="AW249" s="183"/>
      <c r="AX249" s="183"/>
      <c r="AY249" s="183"/>
      <c r="AZ249" s="183"/>
      <c r="BA249" s="183"/>
      <c r="BB249" s="183"/>
      <c r="BC249" s="183"/>
      <c r="BD249" s="183"/>
      <c r="BE249" s="183"/>
      <c r="BF249" s="183"/>
      <c r="BG249" s="183"/>
      <c r="BH249" s="183"/>
      <c r="BI249" s="183"/>
      <c r="BJ249" s="183"/>
      <c r="BK249" s="183"/>
      <c r="BL249" s="183"/>
      <c r="BM249" s="183"/>
      <c r="BN249" s="183"/>
      <c r="BO249" s="183"/>
      <c r="BP249" s="183"/>
      <c r="BQ249" s="183"/>
      <c r="BR249" s="183"/>
      <c r="BS249" s="183"/>
      <c r="BT249" s="183"/>
      <c r="BU249" s="183"/>
      <c r="BV249" s="183"/>
      <c r="BW249" s="183"/>
      <c r="BX249" s="183"/>
      <c r="BY249" s="183"/>
      <c r="BZ249" s="183"/>
      <c r="CA249" s="183"/>
      <c r="CB249" s="183"/>
      <c r="CC249" s="183"/>
      <c r="CD249" s="183"/>
      <c r="CE249" s="183"/>
      <c r="CF249" s="183"/>
      <c r="CG249" s="183"/>
      <c r="CH249" s="183"/>
      <c r="CI249" s="183"/>
      <c r="CJ249" s="183"/>
      <c r="CK249" s="183"/>
      <c r="CL249" s="183"/>
      <c r="CM249" s="183"/>
      <c r="CN249" s="183"/>
      <c r="CO249" s="183"/>
      <c r="CP249" s="183"/>
      <c r="CQ249" s="183"/>
      <c r="CR249" s="183"/>
      <c r="CS249" s="183"/>
      <c r="CT249" s="183"/>
      <c r="CU249" s="183"/>
      <c r="CV249" s="183"/>
      <c r="CW249" s="183"/>
      <c r="CX249" s="183"/>
      <c r="CY249" s="183"/>
      <c r="CZ249" s="183"/>
      <c r="DA249" s="183"/>
      <c r="DB249" s="183"/>
      <c r="DC249" s="183"/>
      <c r="DD249" s="183"/>
      <c r="DE249" s="183"/>
      <c r="DF249" s="183"/>
      <c r="DG249" s="183"/>
      <c r="DH249" s="183"/>
      <c r="DI249" s="183"/>
      <c r="DJ249" s="183"/>
      <c r="DK249" s="183"/>
      <c r="DL249" s="183"/>
      <c r="DM249" s="183"/>
      <c r="DN249" s="183"/>
      <c r="DO249" s="183"/>
      <c r="DP249" s="183"/>
      <c r="DQ249" s="183"/>
      <c r="DR249" s="183"/>
      <c r="DS249" s="183"/>
      <c r="DT249" s="183"/>
      <c r="DU249" s="183"/>
      <c r="DV249" s="183"/>
      <c r="DW249" s="183"/>
      <c r="DX249" s="183"/>
      <c r="DY249" s="183"/>
      <c r="DZ249" s="183"/>
      <c r="EA249" s="183"/>
      <c r="EB249" s="183"/>
      <c r="EC249" s="183"/>
      <c r="ED249" s="183"/>
      <c r="EE249" s="183"/>
      <c r="EF249" s="183"/>
      <c r="EG249" s="183"/>
      <c r="EH249" s="183"/>
      <c r="EI249" s="183"/>
      <c r="EJ249" s="183"/>
      <c r="EK249" s="183"/>
      <c r="EL249" s="183"/>
      <c r="EM249" s="183"/>
      <c r="EN249" s="183"/>
      <c r="EO249" s="183"/>
      <c r="EP249" s="183"/>
      <c r="EQ249" s="183"/>
      <c r="ER249" s="183"/>
      <c r="ES249" s="183"/>
      <c r="ET249" s="183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</row>
    <row r="250" spans="1:258" ht="13.5" customHeight="1">
      <c r="A250" s="49"/>
      <c r="B250" s="2"/>
      <c r="C250" s="2"/>
      <c r="D250" s="2"/>
      <c r="E250" s="2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  <c r="AL250" s="183"/>
      <c r="AM250" s="183"/>
      <c r="AN250" s="183"/>
      <c r="AO250" s="183"/>
      <c r="AP250" s="183"/>
      <c r="AQ250" s="183"/>
      <c r="AR250" s="183"/>
      <c r="AS250" s="183"/>
      <c r="AT250" s="183"/>
      <c r="AU250" s="183"/>
      <c r="AV250" s="183"/>
      <c r="AW250" s="183"/>
      <c r="AX250" s="183"/>
      <c r="AY250" s="183"/>
      <c r="AZ250" s="183"/>
      <c r="BA250" s="183"/>
      <c r="BB250" s="183"/>
      <c r="BC250" s="183"/>
      <c r="BD250" s="183"/>
      <c r="BE250" s="183"/>
      <c r="BF250" s="183"/>
      <c r="BG250" s="183"/>
      <c r="BH250" s="183"/>
      <c r="BI250" s="183"/>
      <c r="BJ250" s="183"/>
      <c r="BK250" s="183"/>
      <c r="BL250" s="183"/>
      <c r="BM250" s="183"/>
      <c r="BN250" s="183"/>
      <c r="BO250" s="183"/>
      <c r="BP250" s="183"/>
      <c r="BQ250" s="183"/>
      <c r="BR250" s="183"/>
      <c r="BS250" s="183"/>
      <c r="BT250" s="183"/>
      <c r="BU250" s="183"/>
      <c r="BV250" s="183"/>
      <c r="BW250" s="183"/>
      <c r="BX250" s="183"/>
      <c r="BY250" s="183"/>
      <c r="BZ250" s="183"/>
      <c r="CA250" s="183"/>
      <c r="CB250" s="183"/>
      <c r="CC250" s="183"/>
      <c r="CD250" s="183"/>
      <c r="CE250" s="183"/>
      <c r="CF250" s="183"/>
      <c r="CG250" s="183"/>
      <c r="CH250" s="183"/>
      <c r="CI250" s="183"/>
      <c r="CJ250" s="183"/>
      <c r="CK250" s="183"/>
      <c r="CL250" s="183"/>
      <c r="CM250" s="183"/>
      <c r="CN250" s="183"/>
      <c r="CO250" s="183"/>
      <c r="CP250" s="183"/>
      <c r="CQ250" s="183"/>
      <c r="CR250" s="183"/>
      <c r="CS250" s="183"/>
      <c r="CT250" s="183"/>
      <c r="CU250" s="183"/>
      <c r="CV250" s="183"/>
      <c r="CW250" s="183"/>
      <c r="CX250" s="183"/>
      <c r="CY250" s="183"/>
      <c r="CZ250" s="183"/>
      <c r="DA250" s="183"/>
      <c r="DB250" s="183"/>
      <c r="DC250" s="183"/>
      <c r="DD250" s="183"/>
      <c r="DE250" s="183"/>
      <c r="DF250" s="183"/>
      <c r="DG250" s="183"/>
      <c r="DH250" s="183"/>
      <c r="DI250" s="183"/>
      <c r="DJ250" s="183"/>
      <c r="DK250" s="183"/>
      <c r="DL250" s="183"/>
      <c r="DM250" s="183"/>
      <c r="DN250" s="183"/>
      <c r="DO250" s="183"/>
      <c r="DP250" s="183"/>
      <c r="DQ250" s="183"/>
      <c r="DR250" s="183"/>
      <c r="DS250" s="183"/>
      <c r="DT250" s="183"/>
      <c r="DU250" s="183"/>
      <c r="DV250" s="183"/>
      <c r="DW250" s="183"/>
      <c r="DX250" s="183"/>
      <c r="DY250" s="183"/>
      <c r="DZ250" s="183"/>
      <c r="EA250" s="183"/>
      <c r="EB250" s="183"/>
      <c r="EC250" s="183"/>
      <c r="ED250" s="183"/>
      <c r="EE250" s="183"/>
      <c r="EF250" s="183"/>
      <c r="EG250" s="183"/>
      <c r="EH250" s="183"/>
      <c r="EI250" s="183"/>
      <c r="EJ250" s="183"/>
      <c r="EK250" s="183"/>
      <c r="EL250" s="183"/>
      <c r="EM250" s="183"/>
      <c r="EN250" s="183"/>
      <c r="EO250" s="183"/>
      <c r="EP250" s="183"/>
      <c r="EQ250" s="183"/>
      <c r="ER250" s="183"/>
      <c r="ES250" s="183"/>
      <c r="ET250" s="183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</row>
    <row r="251" spans="1:258" ht="13.5" customHeight="1">
      <c r="A251" s="49"/>
      <c r="B251" s="2"/>
      <c r="C251" s="2"/>
      <c r="D251" s="2"/>
      <c r="E251" s="2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  <c r="AL251" s="183"/>
      <c r="AM251" s="183"/>
      <c r="AN251" s="183"/>
      <c r="AO251" s="183"/>
      <c r="AP251" s="183"/>
      <c r="AQ251" s="183"/>
      <c r="AR251" s="183"/>
      <c r="AS251" s="183"/>
      <c r="AT251" s="183"/>
      <c r="AU251" s="183"/>
      <c r="AV251" s="183"/>
      <c r="AW251" s="183"/>
      <c r="AX251" s="183"/>
      <c r="AY251" s="183"/>
      <c r="AZ251" s="183"/>
      <c r="BA251" s="183"/>
      <c r="BB251" s="183"/>
      <c r="BC251" s="183"/>
      <c r="BD251" s="183"/>
      <c r="BE251" s="183"/>
      <c r="BF251" s="183"/>
      <c r="BG251" s="183"/>
      <c r="BH251" s="183"/>
      <c r="BI251" s="183"/>
      <c r="BJ251" s="183"/>
      <c r="BK251" s="183"/>
      <c r="BL251" s="183"/>
      <c r="BM251" s="183"/>
      <c r="BN251" s="183"/>
      <c r="BO251" s="183"/>
      <c r="BP251" s="183"/>
      <c r="BQ251" s="183"/>
      <c r="BR251" s="183"/>
      <c r="BS251" s="183"/>
      <c r="BT251" s="183"/>
      <c r="BU251" s="183"/>
      <c r="BV251" s="183"/>
      <c r="BW251" s="183"/>
      <c r="BX251" s="183"/>
      <c r="BY251" s="183"/>
      <c r="BZ251" s="183"/>
      <c r="CA251" s="183"/>
      <c r="CB251" s="183"/>
      <c r="CC251" s="183"/>
      <c r="CD251" s="183"/>
      <c r="CE251" s="183"/>
      <c r="CF251" s="183"/>
      <c r="CG251" s="183"/>
      <c r="CH251" s="183"/>
      <c r="CI251" s="183"/>
      <c r="CJ251" s="183"/>
      <c r="CK251" s="183"/>
      <c r="CL251" s="183"/>
      <c r="CM251" s="183"/>
      <c r="CN251" s="183"/>
      <c r="CO251" s="183"/>
      <c r="CP251" s="183"/>
      <c r="CQ251" s="183"/>
      <c r="CR251" s="183"/>
      <c r="CS251" s="183"/>
      <c r="CT251" s="183"/>
      <c r="CU251" s="183"/>
      <c r="CV251" s="183"/>
      <c r="CW251" s="183"/>
      <c r="CX251" s="183"/>
      <c r="CY251" s="183"/>
      <c r="CZ251" s="183"/>
      <c r="DA251" s="183"/>
      <c r="DB251" s="183"/>
      <c r="DC251" s="183"/>
      <c r="DD251" s="183"/>
      <c r="DE251" s="183"/>
      <c r="DF251" s="183"/>
      <c r="DG251" s="183"/>
      <c r="DH251" s="183"/>
      <c r="DI251" s="183"/>
      <c r="DJ251" s="183"/>
      <c r="DK251" s="183"/>
      <c r="DL251" s="183"/>
      <c r="DM251" s="183"/>
      <c r="DN251" s="183"/>
      <c r="DO251" s="183"/>
      <c r="DP251" s="183"/>
      <c r="DQ251" s="183"/>
      <c r="DR251" s="183"/>
      <c r="DS251" s="183"/>
      <c r="DT251" s="183"/>
      <c r="DU251" s="183"/>
      <c r="DV251" s="183"/>
      <c r="DW251" s="183"/>
      <c r="DX251" s="183"/>
      <c r="DY251" s="183"/>
      <c r="DZ251" s="183"/>
      <c r="EA251" s="183"/>
      <c r="EB251" s="183"/>
      <c r="EC251" s="183"/>
      <c r="ED251" s="183"/>
      <c r="EE251" s="183"/>
      <c r="EF251" s="183"/>
      <c r="EG251" s="183"/>
      <c r="EH251" s="183"/>
      <c r="EI251" s="183"/>
      <c r="EJ251" s="183"/>
      <c r="EK251" s="183"/>
      <c r="EL251" s="183"/>
      <c r="EM251" s="183"/>
      <c r="EN251" s="183"/>
      <c r="EO251" s="183"/>
      <c r="EP251" s="183"/>
      <c r="EQ251" s="183"/>
      <c r="ER251" s="183"/>
      <c r="ES251" s="183"/>
      <c r="ET251" s="183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</row>
    <row r="252" spans="1:258" ht="13.5" customHeight="1">
      <c r="A252" s="49"/>
      <c r="B252" s="2"/>
      <c r="C252" s="2"/>
      <c r="D252" s="2"/>
      <c r="E252" s="2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  <c r="AL252" s="183"/>
      <c r="AM252" s="183"/>
      <c r="AN252" s="183"/>
      <c r="AO252" s="183"/>
      <c r="AP252" s="183"/>
      <c r="AQ252" s="183"/>
      <c r="AR252" s="183"/>
      <c r="AS252" s="183"/>
      <c r="AT252" s="183"/>
      <c r="AU252" s="183"/>
      <c r="AV252" s="183"/>
      <c r="AW252" s="183"/>
      <c r="AX252" s="183"/>
      <c r="AY252" s="183"/>
      <c r="AZ252" s="183"/>
      <c r="BA252" s="183"/>
      <c r="BB252" s="183"/>
      <c r="BC252" s="183"/>
      <c r="BD252" s="183"/>
      <c r="BE252" s="183"/>
      <c r="BF252" s="183"/>
      <c r="BG252" s="183"/>
      <c r="BH252" s="183"/>
      <c r="BI252" s="183"/>
      <c r="BJ252" s="183"/>
      <c r="BK252" s="183"/>
      <c r="BL252" s="183"/>
      <c r="BM252" s="183"/>
      <c r="BN252" s="183"/>
      <c r="BO252" s="183"/>
      <c r="BP252" s="183"/>
      <c r="BQ252" s="183"/>
      <c r="BR252" s="183"/>
      <c r="BS252" s="183"/>
      <c r="BT252" s="183"/>
      <c r="BU252" s="183"/>
      <c r="BV252" s="183"/>
      <c r="BW252" s="183"/>
      <c r="BX252" s="183"/>
      <c r="BY252" s="183"/>
      <c r="BZ252" s="183"/>
      <c r="CA252" s="183"/>
      <c r="CB252" s="183"/>
      <c r="CC252" s="183"/>
      <c r="CD252" s="183"/>
      <c r="CE252" s="183"/>
      <c r="CF252" s="183"/>
      <c r="CG252" s="183"/>
      <c r="CH252" s="183"/>
      <c r="CI252" s="183"/>
      <c r="CJ252" s="183"/>
      <c r="CK252" s="183"/>
      <c r="CL252" s="183"/>
      <c r="CM252" s="183"/>
      <c r="CN252" s="183"/>
      <c r="CO252" s="183"/>
      <c r="CP252" s="183"/>
      <c r="CQ252" s="183"/>
      <c r="CR252" s="183"/>
      <c r="CS252" s="183"/>
      <c r="CT252" s="183"/>
      <c r="CU252" s="183"/>
      <c r="CV252" s="183"/>
      <c r="CW252" s="183"/>
      <c r="CX252" s="183"/>
      <c r="CY252" s="183"/>
      <c r="CZ252" s="183"/>
      <c r="DA252" s="183"/>
      <c r="DB252" s="183"/>
      <c r="DC252" s="183"/>
      <c r="DD252" s="183"/>
      <c r="DE252" s="183"/>
      <c r="DF252" s="183"/>
      <c r="DG252" s="183"/>
      <c r="DH252" s="183"/>
      <c r="DI252" s="183"/>
      <c r="DJ252" s="183"/>
      <c r="DK252" s="183"/>
      <c r="DL252" s="183"/>
      <c r="DM252" s="183"/>
      <c r="DN252" s="183"/>
      <c r="DO252" s="183"/>
      <c r="DP252" s="183"/>
      <c r="DQ252" s="183"/>
      <c r="DR252" s="183"/>
      <c r="DS252" s="183"/>
      <c r="DT252" s="183"/>
      <c r="DU252" s="183"/>
      <c r="DV252" s="183"/>
      <c r="DW252" s="183"/>
      <c r="DX252" s="183"/>
      <c r="DY252" s="183"/>
      <c r="DZ252" s="183"/>
      <c r="EA252" s="183"/>
      <c r="EB252" s="183"/>
      <c r="EC252" s="183"/>
      <c r="ED252" s="183"/>
      <c r="EE252" s="183"/>
      <c r="EF252" s="183"/>
      <c r="EG252" s="183"/>
      <c r="EH252" s="183"/>
      <c r="EI252" s="183"/>
      <c r="EJ252" s="183"/>
      <c r="EK252" s="183"/>
      <c r="EL252" s="183"/>
      <c r="EM252" s="183"/>
      <c r="EN252" s="183"/>
      <c r="EO252" s="183"/>
      <c r="EP252" s="183"/>
      <c r="EQ252" s="183"/>
      <c r="ER252" s="183"/>
      <c r="ES252" s="183"/>
      <c r="ET252" s="183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</row>
    <row r="253" spans="1:258" ht="13.5" customHeight="1">
      <c r="A253" s="49"/>
      <c r="B253" s="2"/>
      <c r="C253" s="2"/>
      <c r="D253" s="2"/>
      <c r="E253" s="2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  <c r="AL253" s="183"/>
      <c r="AM253" s="183"/>
      <c r="AN253" s="183"/>
      <c r="AO253" s="183"/>
      <c r="AP253" s="183"/>
      <c r="AQ253" s="183"/>
      <c r="AR253" s="183"/>
      <c r="AS253" s="183"/>
      <c r="AT253" s="183"/>
      <c r="AU253" s="183"/>
      <c r="AV253" s="183"/>
      <c r="AW253" s="183"/>
      <c r="AX253" s="183"/>
      <c r="AY253" s="183"/>
      <c r="AZ253" s="183"/>
      <c r="BA253" s="183"/>
      <c r="BB253" s="183"/>
      <c r="BC253" s="183"/>
      <c r="BD253" s="183"/>
      <c r="BE253" s="183"/>
      <c r="BF253" s="183"/>
      <c r="BG253" s="183"/>
      <c r="BH253" s="183"/>
      <c r="BI253" s="183"/>
      <c r="BJ253" s="183"/>
      <c r="BK253" s="183"/>
      <c r="BL253" s="183"/>
      <c r="BM253" s="183"/>
      <c r="BN253" s="183"/>
      <c r="BO253" s="183"/>
      <c r="BP253" s="183"/>
      <c r="BQ253" s="183"/>
      <c r="BR253" s="183"/>
      <c r="BS253" s="183"/>
      <c r="BT253" s="183"/>
      <c r="BU253" s="183"/>
      <c r="BV253" s="183"/>
      <c r="BW253" s="183"/>
      <c r="BX253" s="183"/>
      <c r="BY253" s="183"/>
      <c r="BZ253" s="183"/>
      <c r="CA253" s="183"/>
      <c r="CB253" s="183"/>
      <c r="CC253" s="183"/>
      <c r="CD253" s="183"/>
      <c r="CE253" s="183"/>
      <c r="CF253" s="183"/>
      <c r="CG253" s="183"/>
      <c r="CH253" s="183"/>
      <c r="CI253" s="183"/>
      <c r="CJ253" s="183"/>
      <c r="CK253" s="183"/>
      <c r="CL253" s="183"/>
      <c r="CM253" s="183"/>
      <c r="CN253" s="183"/>
      <c r="CO253" s="183"/>
      <c r="CP253" s="183"/>
      <c r="CQ253" s="183"/>
      <c r="CR253" s="183"/>
      <c r="CS253" s="183"/>
      <c r="CT253" s="183"/>
      <c r="CU253" s="183"/>
      <c r="CV253" s="183"/>
      <c r="CW253" s="183"/>
      <c r="CX253" s="183"/>
      <c r="CY253" s="183"/>
      <c r="CZ253" s="183"/>
      <c r="DA253" s="183"/>
      <c r="DB253" s="183"/>
      <c r="DC253" s="183"/>
      <c r="DD253" s="183"/>
      <c r="DE253" s="183"/>
      <c r="DF253" s="183"/>
      <c r="DG253" s="183"/>
      <c r="DH253" s="183"/>
      <c r="DI253" s="183"/>
      <c r="DJ253" s="183"/>
      <c r="DK253" s="183"/>
      <c r="DL253" s="183"/>
      <c r="DM253" s="183"/>
      <c r="DN253" s="183"/>
      <c r="DO253" s="183"/>
      <c r="DP253" s="183"/>
      <c r="DQ253" s="183"/>
      <c r="DR253" s="183"/>
      <c r="DS253" s="183"/>
      <c r="DT253" s="183"/>
      <c r="DU253" s="183"/>
      <c r="DV253" s="183"/>
      <c r="DW253" s="183"/>
      <c r="DX253" s="183"/>
      <c r="DY253" s="183"/>
      <c r="DZ253" s="183"/>
      <c r="EA253" s="183"/>
      <c r="EB253" s="183"/>
      <c r="EC253" s="183"/>
      <c r="ED253" s="183"/>
      <c r="EE253" s="183"/>
      <c r="EF253" s="183"/>
      <c r="EG253" s="183"/>
      <c r="EH253" s="183"/>
      <c r="EI253" s="183"/>
      <c r="EJ253" s="183"/>
      <c r="EK253" s="183"/>
      <c r="EL253" s="183"/>
      <c r="EM253" s="183"/>
      <c r="EN253" s="183"/>
      <c r="EO253" s="183"/>
      <c r="EP253" s="183"/>
      <c r="EQ253" s="183"/>
      <c r="ER253" s="183"/>
      <c r="ES253" s="183"/>
      <c r="ET253" s="183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</row>
    <row r="254" spans="1:258" ht="13.5" customHeight="1">
      <c r="A254" s="49"/>
      <c r="B254" s="2"/>
      <c r="C254" s="2"/>
      <c r="D254" s="2"/>
      <c r="E254" s="2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  <c r="AL254" s="183"/>
      <c r="AM254" s="183"/>
      <c r="AN254" s="183"/>
      <c r="AO254" s="183"/>
      <c r="AP254" s="183"/>
      <c r="AQ254" s="183"/>
      <c r="AR254" s="183"/>
      <c r="AS254" s="183"/>
      <c r="AT254" s="183"/>
      <c r="AU254" s="183"/>
      <c r="AV254" s="183"/>
      <c r="AW254" s="183"/>
      <c r="AX254" s="183"/>
      <c r="AY254" s="183"/>
      <c r="AZ254" s="183"/>
      <c r="BA254" s="183"/>
      <c r="BB254" s="183"/>
      <c r="BC254" s="183"/>
      <c r="BD254" s="183"/>
      <c r="BE254" s="183"/>
      <c r="BF254" s="183"/>
      <c r="BG254" s="183"/>
      <c r="BH254" s="183"/>
      <c r="BI254" s="183"/>
      <c r="BJ254" s="183"/>
      <c r="BK254" s="183"/>
      <c r="BL254" s="183"/>
      <c r="BM254" s="183"/>
      <c r="BN254" s="183"/>
      <c r="BO254" s="183"/>
      <c r="BP254" s="183"/>
      <c r="BQ254" s="183"/>
      <c r="BR254" s="183"/>
      <c r="BS254" s="183"/>
      <c r="BT254" s="183"/>
      <c r="BU254" s="183"/>
      <c r="BV254" s="183"/>
      <c r="BW254" s="183"/>
      <c r="BX254" s="183"/>
      <c r="BY254" s="183"/>
      <c r="BZ254" s="183"/>
      <c r="CA254" s="183"/>
      <c r="CB254" s="183"/>
      <c r="CC254" s="183"/>
      <c r="CD254" s="183"/>
      <c r="CE254" s="183"/>
      <c r="CF254" s="183"/>
      <c r="CG254" s="183"/>
      <c r="CH254" s="183"/>
      <c r="CI254" s="183"/>
      <c r="CJ254" s="183"/>
      <c r="CK254" s="183"/>
      <c r="CL254" s="183"/>
      <c r="CM254" s="183"/>
      <c r="CN254" s="183"/>
      <c r="CO254" s="183"/>
      <c r="CP254" s="183"/>
      <c r="CQ254" s="183"/>
      <c r="CR254" s="183"/>
      <c r="CS254" s="183"/>
      <c r="CT254" s="183"/>
      <c r="CU254" s="183"/>
      <c r="CV254" s="183"/>
      <c r="CW254" s="183"/>
      <c r="CX254" s="183"/>
      <c r="CY254" s="183"/>
      <c r="CZ254" s="183"/>
      <c r="DA254" s="183"/>
      <c r="DB254" s="183"/>
      <c r="DC254" s="183"/>
      <c r="DD254" s="183"/>
      <c r="DE254" s="183"/>
      <c r="DF254" s="183"/>
      <c r="DG254" s="183"/>
      <c r="DH254" s="183"/>
      <c r="DI254" s="183"/>
      <c r="DJ254" s="183"/>
      <c r="DK254" s="183"/>
      <c r="DL254" s="183"/>
      <c r="DM254" s="183"/>
      <c r="DN254" s="183"/>
      <c r="DO254" s="183"/>
      <c r="DP254" s="183"/>
      <c r="DQ254" s="183"/>
      <c r="DR254" s="183"/>
      <c r="DS254" s="183"/>
      <c r="DT254" s="183"/>
      <c r="DU254" s="183"/>
      <c r="DV254" s="183"/>
      <c r="DW254" s="183"/>
      <c r="DX254" s="183"/>
      <c r="DY254" s="183"/>
      <c r="DZ254" s="183"/>
      <c r="EA254" s="183"/>
      <c r="EB254" s="183"/>
      <c r="EC254" s="183"/>
      <c r="ED254" s="183"/>
      <c r="EE254" s="183"/>
      <c r="EF254" s="183"/>
      <c r="EG254" s="183"/>
      <c r="EH254" s="183"/>
      <c r="EI254" s="183"/>
      <c r="EJ254" s="183"/>
      <c r="EK254" s="183"/>
      <c r="EL254" s="183"/>
      <c r="EM254" s="183"/>
      <c r="EN254" s="183"/>
      <c r="EO254" s="183"/>
      <c r="EP254" s="183"/>
      <c r="EQ254" s="183"/>
      <c r="ER254" s="183"/>
      <c r="ES254" s="183"/>
      <c r="ET254" s="183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</row>
    <row r="255" spans="1:258" ht="13.5" customHeight="1">
      <c r="A255" s="49"/>
      <c r="B255" s="2"/>
      <c r="C255" s="2"/>
      <c r="D255" s="2"/>
      <c r="E255" s="2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  <c r="AL255" s="183"/>
      <c r="AM255" s="183"/>
      <c r="AN255" s="183"/>
      <c r="AO255" s="183"/>
      <c r="AP255" s="183"/>
      <c r="AQ255" s="183"/>
      <c r="AR255" s="183"/>
      <c r="AS255" s="183"/>
      <c r="AT255" s="183"/>
      <c r="AU255" s="183"/>
      <c r="AV255" s="183"/>
      <c r="AW255" s="183"/>
      <c r="AX255" s="183"/>
      <c r="AY255" s="183"/>
      <c r="AZ255" s="183"/>
      <c r="BA255" s="183"/>
      <c r="BB255" s="183"/>
      <c r="BC255" s="183"/>
      <c r="BD255" s="183"/>
      <c r="BE255" s="183"/>
      <c r="BF255" s="183"/>
      <c r="BG255" s="183"/>
      <c r="BH255" s="183"/>
      <c r="BI255" s="183"/>
      <c r="BJ255" s="183"/>
      <c r="BK255" s="183"/>
      <c r="BL255" s="183"/>
      <c r="BM255" s="183"/>
      <c r="BN255" s="183"/>
      <c r="BO255" s="183"/>
      <c r="BP255" s="183"/>
      <c r="BQ255" s="183"/>
      <c r="BR255" s="183"/>
      <c r="BS255" s="183"/>
      <c r="BT255" s="183"/>
      <c r="BU255" s="183"/>
      <c r="BV255" s="183"/>
      <c r="BW255" s="183"/>
      <c r="BX255" s="183"/>
      <c r="BY255" s="183"/>
      <c r="BZ255" s="183"/>
      <c r="CA255" s="183"/>
      <c r="CB255" s="183"/>
      <c r="CC255" s="183"/>
      <c r="CD255" s="183"/>
      <c r="CE255" s="183"/>
      <c r="CF255" s="183"/>
      <c r="CG255" s="183"/>
      <c r="CH255" s="183"/>
      <c r="CI255" s="183"/>
      <c r="CJ255" s="183"/>
      <c r="CK255" s="183"/>
      <c r="CL255" s="183"/>
      <c r="CM255" s="183"/>
      <c r="CN255" s="183"/>
      <c r="CO255" s="183"/>
      <c r="CP255" s="183"/>
      <c r="CQ255" s="183"/>
      <c r="CR255" s="183"/>
      <c r="CS255" s="183"/>
      <c r="CT255" s="183"/>
      <c r="CU255" s="183"/>
      <c r="CV255" s="183"/>
      <c r="CW255" s="183"/>
      <c r="CX255" s="183"/>
      <c r="CY255" s="183"/>
      <c r="CZ255" s="183"/>
      <c r="DA255" s="183"/>
      <c r="DB255" s="183"/>
      <c r="DC255" s="183"/>
      <c r="DD255" s="183"/>
      <c r="DE255" s="183"/>
      <c r="DF255" s="183"/>
      <c r="DG255" s="183"/>
      <c r="DH255" s="183"/>
      <c r="DI255" s="183"/>
      <c r="DJ255" s="183"/>
      <c r="DK255" s="183"/>
      <c r="DL255" s="183"/>
      <c r="DM255" s="183"/>
      <c r="DN255" s="183"/>
      <c r="DO255" s="183"/>
      <c r="DP255" s="183"/>
      <c r="DQ255" s="183"/>
      <c r="DR255" s="183"/>
      <c r="DS255" s="183"/>
      <c r="DT255" s="183"/>
      <c r="DU255" s="183"/>
      <c r="DV255" s="183"/>
      <c r="DW255" s="183"/>
      <c r="DX255" s="183"/>
      <c r="DY255" s="183"/>
      <c r="DZ255" s="183"/>
      <c r="EA255" s="183"/>
      <c r="EB255" s="183"/>
      <c r="EC255" s="183"/>
      <c r="ED255" s="183"/>
      <c r="EE255" s="183"/>
      <c r="EF255" s="183"/>
      <c r="EG255" s="183"/>
      <c r="EH255" s="183"/>
      <c r="EI255" s="183"/>
      <c r="EJ255" s="183"/>
      <c r="EK255" s="183"/>
      <c r="EL255" s="183"/>
      <c r="EM255" s="183"/>
      <c r="EN255" s="183"/>
      <c r="EO255" s="183"/>
      <c r="EP255" s="183"/>
      <c r="EQ255" s="183"/>
      <c r="ER255" s="183"/>
      <c r="ES255" s="183"/>
      <c r="ET255" s="183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</row>
    <row r="256" spans="1:258" ht="13.5" customHeight="1">
      <c r="A256" s="49"/>
      <c r="B256" s="2"/>
      <c r="C256" s="2"/>
      <c r="D256" s="2"/>
      <c r="E256" s="2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  <c r="AL256" s="183"/>
      <c r="AM256" s="183"/>
      <c r="AN256" s="183"/>
      <c r="AO256" s="183"/>
      <c r="AP256" s="183"/>
      <c r="AQ256" s="183"/>
      <c r="AR256" s="183"/>
      <c r="AS256" s="183"/>
      <c r="AT256" s="183"/>
      <c r="AU256" s="183"/>
      <c r="AV256" s="183"/>
      <c r="AW256" s="183"/>
      <c r="AX256" s="183"/>
      <c r="AY256" s="183"/>
      <c r="AZ256" s="183"/>
      <c r="BA256" s="183"/>
      <c r="BB256" s="183"/>
      <c r="BC256" s="183"/>
      <c r="BD256" s="183"/>
      <c r="BE256" s="183"/>
      <c r="BF256" s="183"/>
      <c r="BG256" s="183"/>
      <c r="BH256" s="183"/>
      <c r="BI256" s="183"/>
      <c r="BJ256" s="183"/>
      <c r="BK256" s="183"/>
      <c r="BL256" s="183"/>
      <c r="BM256" s="183"/>
      <c r="BN256" s="183"/>
      <c r="BO256" s="183"/>
      <c r="BP256" s="183"/>
      <c r="BQ256" s="183"/>
      <c r="BR256" s="183"/>
      <c r="BS256" s="183"/>
      <c r="BT256" s="183"/>
      <c r="BU256" s="183"/>
      <c r="BV256" s="183"/>
      <c r="BW256" s="183"/>
      <c r="BX256" s="183"/>
      <c r="BY256" s="183"/>
      <c r="BZ256" s="183"/>
      <c r="CA256" s="183"/>
      <c r="CB256" s="183"/>
      <c r="CC256" s="183"/>
      <c r="CD256" s="183"/>
      <c r="CE256" s="183"/>
      <c r="CF256" s="183"/>
      <c r="CG256" s="183"/>
      <c r="CH256" s="183"/>
      <c r="CI256" s="183"/>
      <c r="CJ256" s="183"/>
      <c r="CK256" s="183"/>
      <c r="CL256" s="183"/>
      <c r="CM256" s="183"/>
      <c r="CN256" s="183"/>
      <c r="CO256" s="183"/>
      <c r="CP256" s="183"/>
      <c r="CQ256" s="183"/>
      <c r="CR256" s="183"/>
      <c r="CS256" s="183"/>
      <c r="CT256" s="183"/>
      <c r="CU256" s="183"/>
      <c r="CV256" s="183"/>
      <c r="CW256" s="183"/>
      <c r="CX256" s="183"/>
      <c r="CY256" s="183"/>
      <c r="CZ256" s="183"/>
      <c r="DA256" s="183"/>
      <c r="DB256" s="183"/>
      <c r="DC256" s="183"/>
      <c r="DD256" s="183"/>
      <c r="DE256" s="183"/>
      <c r="DF256" s="183"/>
      <c r="DG256" s="183"/>
      <c r="DH256" s="183"/>
      <c r="DI256" s="183"/>
      <c r="DJ256" s="183"/>
      <c r="DK256" s="183"/>
      <c r="DL256" s="183"/>
      <c r="DM256" s="183"/>
      <c r="DN256" s="183"/>
      <c r="DO256" s="183"/>
      <c r="DP256" s="183"/>
      <c r="DQ256" s="183"/>
      <c r="DR256" s="183"/>
      <c r="DS256" s="183"/>
      <c r="DT256" s="183"/>
      <c r="DU256" s="183"/>
      <c r="DV256" s="183"/>
      <c r="DW256" s="183"/>
      <c r="DX256" s="183"/>
      <c r="DY256" s="183"/>
      <c r="DZ256" s="183"/>
      <c r="EA256" s="183"/>
      <c r="EB256" s="183"/>
      <c r="EC256" s="183"/>
      <c r="ED256" s="183"/>
      <c r="EE256" s="183"/>
      <c r="EF256" s="183"/>
      <c r="EG256" s="183"/>
      <c r="EH256" s="183"/>
      <c r="EI256" s="183"/>
      <c r="EJ256" s="183"/>
      <c r="EK256" s="183"/>
      <c r="EL256" s="183"/>
      <c r="EM256" s="183"/>
      <c r="EN256" s="183"/>
      <c r="EO256" s="183"/>
      <c r="EP256" s="183"/>
      <c r="EQ256" s="183"/>
      <c r="ER256" s="183"/>
      <c r="ES256" s="183"/>
      <c r="ET256" s="183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</row>
    <row r="257" spans="1:258" ht="13.5" customHeight="1">
      <c r="A257" s="49"/>
      <c r="B257" s="2"/>
      <c r="C257" s="2"/>
      <c r="D257" s="2"/>
      <c r="E257" s="2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  <c r="AL257" s="183"/>
      <c r="AM257" s="183"/>
      <c r="AN257" s="183"/>
      <c r="AO257" s="183"/>
      <c r="AP257" s="183"/>
      <c r="AQ257" s="183"/>
      <c r="AR257" s="183"/>
      <c r="AS257" s="183"/>
      <c r="AT257" s="183"/>
      <c r="AU257" s="183"/>
      <c r="AV257" s="183"/>
      <c r="AW257" s="183"/>
      <c r="AX257" s="183"/>
      <c r="AY257" s="183"/>
      <c r="AZ257" s="183"/>
      <c r="BA257" s="183"/>
      <c r="BB257" s="183"/>
      <c r="BC257" s="183"/>
      <c r="BD257" s="183"/>
      <c r="BE257" s="183"/>
      <c r="BF257" s="183"/>
      <c r="BG257" s="183"/>
      <c r="BH257" s="183"/>
      <c r="BI257" s="183"/>
      <c r="BJ257" s="183"/>
      <c r="BK257" s="183"/>
      <c r="BL257" s="183"/>
      <c r="BM257" s="183"/>
      <c r="BN257" s="183"/>
      <c r="BO257" s="183"/>
      <c r="BP257" s="183"/>
      <c r="BQ257" s="183"/>
      <c r="BR257" s="183"/>
      <c r="BS257" s="183"/>
      <c r="BT257" s="183"/>
      <c r="BU257" s="183"/>
      <c r="BV257" s="183"/>
      <c r="BW257" s="183"/>
      <c r="BX257" s="183"/>
      <c r="BY257" s="183"/>
      <c r="BZ257" s="183"/>
      <c r="CA257" s="183"/>
      <c r="CB257" s="183"/>
      <c r="CC257" s="183"/>
      <c r="CD257" s="183"/>
      <c r="CE257" s="183"/>
      <c r="CF257" s="183"/>
      <c r="CG257" s="183"/>
      <c r="CH257" s="183"/>
      <c r="CI257" s="183"/>
      <c r="CJ257" s="183"/>
      <c r="CK257" s="183"/>
      <c r="CL257" s="183"/>
      <c r="CM257" s="183"/>
      <c r="CN257" s="183"/>
      <c r="CO257" s="183"/>
      <c r="CP257" s="183"/>
      <c r="CQ257" s="183"/>
      <c r="CR257" s="183"/>
      <c r="CS257" s="183"/>
      <c r="CT257" s="183"/>
      <c r="CU257" s="183"/>
      <c r="CV257" s="183"/>
      <c r="CW257" s="183"/>
      <c r="CX257" s="183"/>
      <c r="CY257" s="183"/>
      <c r="CZ257" s="183"/>
      <c r="DA257" s="183"/>
      <c r="DB257" s="183"/>
      <c r="DC257" s="183"/>
      <c r="DD257" s="183"/>
      <c r="DE257" s="183"/>
      <c r="DF257" s="183"/>
      <c r="DG257" s="183"/>
      <c r="DH257" s="183"/>
      <c r="DI257" s="183"/>
      <c r="DJ257" s="183"/>
      <c r="DK257" s="183"/>
      <c r="DL257" s="183"/>
      <c r="DM257" s="183"/>
      <c r="DN257" s="183"/>
      <c r="DO257" s="183"/>
      <c r="DP257" s="183"/>
      <c r="DQ257" s="183"/>
      <c r="DR257" s="183"/>
      <c r="DS257" s="183"/>
      <c r="DT257" s="183"/>
      <c r="DU257" s="183"/>
      <c r="DV257" s="183"/>
      <c r="DW257" s="183"/>
      <c r="DX257" s="183"/>
      <c r="DY257" s="183"/>
      <c r="DZ257" s="183"/>
      <c r="EA257" s="183"/>
      <c r="EB257" s="183"/>
      <c r="EC257" s="183"/>
      <c r="ED257" s="183"/>
      <c r="EE257" s="183"/>
      <c r="EF257" s="183"/>
      <c r="EG257" s="183"/>
      <c r="EH257" s="183"/>
      <c r="EI257" s="183"/>
      <c r="EJ257" s="183"/>
      <c r="EK257" s="183"/>
      <c r="EL257" s="183"/>
      <c r="EM257" s="183"/>
      <c r="EN257" s="183"/>
      <c r="EO257" s="183"/>
      <c r="EP257" s="183"/>
      <c r="EQ257" s="183"/>
      <c r="ER257" s="183"/>
      <c r="ES257" s="183"/>
      <c r="ET257" s="183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</row>
    <row r="258" spans="1:258" ht="13.5" customHeight="1">
      <c r="A258" s="49"/>
      <c r="B258" s="2"/>
      <c r="C258" s="2"/>
      <c r="D258" s="2"/>
      <c r="E258" s="2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  <c r="AP258" s="183"/>
      <c r="AQ258" s="183"/>
      <c r="AR258" s="183"/>
      <c r="AS258" s="183"/>
      <c r="AT258" s="183"/>
      <c r="AU258" s="183"/>
      <c r="AV258" s="183"/>
      <c r="AW258" s="183"/>
      <c r="AX258" s="183"/>
      <c r="AY258" s="183"/>
      <c r="AZ258" s="183"/>
      <c r="BA258" s="183"/>
      <c r="BB258" s="183"/>
      <c r="BC258" s="183"/>
      <c r="BD258" s="183"/>
      <c r="BE258" s="183"/>
      <c r="BF258" s="183"/>
      <c r="BG258" s="183"/>
      <c r="BH258" s="183"/>
      <c r="BI258" s="183"/>
      <c r="BJ258" s="183"/>
      <c r="BK258" s="183"/>
      <c r="BL258" s="183"/>
      <c r="BM258" s="183"/>
      <c r="BN258" s="183"/>
      <c r="BO258" s="183"/>
      <c r="BP258" s="183"/>
      <c r="BQ258" s="183"/>
      <c r="BR258" s="183"/>
      <c r="BS258" s="183"/>
      <c r="BT258" s="183"/>
      <c r="BU258" s="183"/>
      <c r="BV258" s="183"/>
      <c r="BW258" s="183"/>
      <c r="BX258" s="183"/>
      <c r="BY258" s="183"/>
      <c r="BZ258" s="183"/>
      <c r="CA258" s="183"/>
      <c r="CB258" s="183"/>
      <c r="CC258" s="183"/>
      <c r="CD258" s="183"/>
      <c r="CE258" s="183"/>
      <c r="CF258" s="183"/>
      <c r="CG258" s="183"/>
      <c r="CH258" s="183"/>
      <c r="CI258" s="183"/>
      <c r="CJ258" s="183"/>
      <c r="CK258" s="183"/>
      <c r="CL258" s="183"/>
      <c r="CM258" s="183"/>
      <c r="CN258" s="183"/>
      <c r="CO258" s="183"/>
      <c r="CP258" s="183"/>
      <c r="CQ258" s="183"/>
      <c r="CR258" s="183"/>
      <c r="CS258" s="183"/>
      <c r="CT258" s="183"/>
      <c r="CU258" s="183"/>
      <c r="CV258" s="183"/>
      <c r="CW258" s="183"/>
      <c r="CX258" s="183"/>
      <c r="CY258" s="183"/>
      <c r="CZ258" s="183"/>
      <c r="DA258" s="183"/>
      <c r="DB258" s="183"/>
      <c r="DC258" s="183"/>
      <c r="DD258" s="183"/>
      <c r="DE258" s="183"/>
      <c r="DF258" s="183"/>
      <c r="DG258" s="183"/>
      <c r="DH258" s="183"/>
      <c r="DI258" s="183"/>
      <c r="DJ258" s="183"/>
      <c r="DK258" s="183"/>
      <c r="DL258" s="183"/>
      <c r="DM258" s="183"/>
      <c r="DN258" s="183"/>
      <c r="DO258" s="183"/>
      <c r="DP258" s="183"/>
      <c r="DQ258" s="183"/>
      <c r="DR258" s="183"/>
      <c r="DS258" s="183"/>
      <c r="DT258" s="183"/>
      <c r="DU258" s="183"/>
      <c r="DV258" s="183"/>
      <c r="DW258" s="183"/>
      <c r="DX258" s="183"/>
      <c r="DY258" s="183"/>
      <c r="DZ258" s="183"/>
      <c r="EA258" s="183"/>
      <c r="EB258" s="183"/>
      <c r="EC258" s="183"/>
      <c r="ED258" s="183"/>
      <c r="EE258" s="183"/>
      <c r="EF258" s="183"/>
      <c r="EG258" s="183"/>
      <c r="EH258" s="183"/>
      <c r="EI258" s="183"/>
      <c r="EJ258" s="183"/>
      <c r="EK258" s="183"/>
      <c r="EL258" s="183"/>
      <c r="EM258" s="183"/>
      <c r="EN258" s="183"/>
      <c r="EO258" s="183"/>
      <c r="EP258" s="183"/>
      <c r="EQ258" s="183"/>
      <c r="ER258" s="183"/>
      <c r="ES258" s="183"/>
      <c r="ET258" s="183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</row>
    <row r="259" spans="1:258" ht="13.5" customHeight="1">
      <c r="A259" s="49"/>
      <c r="B259" s="2"/>
      <c r="C259" s="2"/>
      <c r="D259" s="2"/>
      <c r="E259" s="2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3"/>
      <c r="AU259" s="183"/>
      <c r="AV259" s="183"/>
      <c r="AW259" s="183"/>
      <c r="AX259" s="183"/>
      <c r="AY259" s="183"/>
      <c r="AZ259" s="183"/>
      <c r="BA259" s="183"/>
      <c r="BB259" s="183"/>
      <c r="BC259" s="183"/>
      <c r="BD259" s="183"/>
      <c r="BE259" s="183"/>
      <c r="BF259" s="183"/>
      <c r="BG259" s="183"/>
      <c r="BH259" s="183"/>
      <c r="BI259" s="183"/>
      <c r="BJ259" s="183"/>
      <c r="BK259" s="183"/>
      <c r="BL259" s="183"/>
      <c r="BM259" s="183"/>
      <c r="BN259" s="183"/>
      <c r="BO259" s="183"/>
      <c r="BP259" s="183"/>
      <c r="BQ259" s="183"/>
      <c r="BR259" s="183"/>
      <c r="BS259" s="183"/>
      <c r="BT259" s="183"/>
      <c r="BU259" s="183"/>
      <c r="BV259" s="183"/>
      <c r="BW259" s="183"/>
      <c r="BX259" s="183"/>
      <c r="BY259" s="183"/>
      <c r="BZ259" s="183"/>
      <c r="CA259" s="183"/>
      <c r="CB259" s="183"/>
      <c r="CC259" s="183"/>
      <c r="CD259" s="183"/>
      <c r="CE259" s="183"/>
      <c r="CF259" s="183"/>
      <c r="CG259" s="183"/>
      <c r="CH259" s="183"/>
      <c r="CI259" s="183"/>
      <c r="CJ259" s="183"/>
      <c r="CK259" s="183"/>
      <c r="CL259" s="183"/>
      <c r="CM259" s="183"/>
      <c r="CN259" s="183"/>
      <c r="CO259" s="183"/>
      <c r="CP259" s="183"/>
      <c r="CQ259" s="183"/>
      <c r="CR259" s="183"/>
      <c r="CS259" s="183"/>
      <c r="CT259" s="183"/>
      <c r="CU259" s="183"/>
      <c r="CV259" s="183"/>
      <c r="CW259" s="183"/>
      <c r="CX259" s="183"/>
      <c r="CY259" s="183"/>
      <c r="CZ259" s="183"/>
      <c r="DA259" s="183"/>
      <c r="DB259" s="183"/>
      <c r="DC259" s="183"/>
      <c r="DD259" s="183"/>
      <c r="DE259" s="183"/>
      <c r="DF259" s="183"/>
      <c r="DG259" s="183"/>
      <c r="DH259" s="183"/>
      <c r="DI259" s="183"/>
      <c r="DJ259" s="183"/>
      <c r="DK259" s="183"/>
      <c r="DL259" s="183"/>
      <c r="DM259" s="183"/>
      <c r="DN259" s="183"/>
      <c r="DO259" s="183"/>
      <c r="DP259" s="183"/>
      <c r="DQ259" s="183"/>
      <c r="DR259" s="183"/>
      <c r="DS259" s="183"/>
      <c r="DT259" s="183"/>
      <c r="DU259" s="183"/>
      <c r="DV259" s="183"/>
      <c r="DW259" s="183"/>
      <c r="DX259" s="183"/>
      <c r="DY259" s="183"/>
      <c r="DZ259" s="183"/>
      <c r="EA259" s="183"/>
      <c r="EB259" s="183"/>
      <c r="EC259" s="183"/>
      <c r="ED259" s="183"/>
      <c r="EE259" s="183"/>
      <c r="EF259" s="183"/>
      <c r="EG259" s="183"/>
      <c r="EH259" s="183"/>
      <c r="EI259" s="183"/>
      <c r="EJ259" s="183"/>
      <c r="EK259" s="183"/>
      <c r="EL259" s="183"/>
      <c r="EM259" s="183"/>
      <c r="EN259" s="183"/>
      <c r="EO259" s="183"/>
      <c r="EP259" s="183"/>
      <c r="EQ259" s="183"/>
      <c r="ER259" s="183"/>
      <c r="ES259" s="183"/>
      <c r="ET259" s="183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</row>
    <row r="260" spans="1:258" ht="13.5" customHeight="1">
      <c r="A260" s="49"/>
      <c r="B260" s="2"/>
      <c r="C260" s="2"/>
      <c r="D260" s="2"/>
      <c r="E260" s="2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  <c r="AL260" s="183"/>
      <c r="AM260" s="183"/>
      <c r="AN260" s="183"/>
      <c r="AO260" s="183"/>
      <c r="AP260" s="183"/>
      <c r="AQ260" s="183"/>
      <c r="AR260" s="183"/>
      <c r="AS260" s="183"/>
      <c r="AT260" s="183"/>
      <c r="AU260" s="183"/>
      <c r="AV260" s="183"/>
      <c r="AW260" s="183"/>
      <c r="AX260" s="183"/>
      <c r="AY260" s="183"/>
      <c r="AZ260" s="183"/>
      <c r="BA260" s="183"/>
      <c r="BB260" s="183"/>
      <c r="BC260" s="183"/>
      <c r="BD260" s="183"/>
      <c r="BE260" s="183"/>
      <c r="BF260" s="183"/>
      <c r="BG260" s="183"/>
      <c r="BH260" s="183"/>
      <c r="BI260" s="183"/>
      <c r="BJ260" s="183"/>
      <c r="BK260" s="183"/>
      <c r="BL260" s="183"/>
      <c r="BM260" s="183"/>
      <c r="BN260" s="183"/>
      <c r="BO260" s="183"/>
      <c r="BP260" s="183"/>
      <c r="BQ260" s="183"/>
      <c r="BR260" s="183"/>
      <c r="BS260" s="183"/>
      <c r="BT260" s="183"/>
      <c r="BU260" s="183"/>
      <c r="BV260" s="183"/>
      <c r="BW260" s="183"/>
      <c r="BX260" s="183"/>
      <c r="BY260" s="183"/>
      <c r="BZ260" s="183"/>
      <c r="CA260" s="183"/>
      <c r="CB260" s="183"/>
      <c r="CC260" s="183"/>
      <c r="CD260" s="183"/>
      <c r="CE260" s="183"/>
      <c r="CF260" s="183"/>
      <c r="CG260" s="183"/>
      <c r="CH260" s="183"/>
      <c r="CI260" s="183"/>
      <c r="CJ260" s="183"/>
      <c r="CK260" s="183"/>
      <c r="CL260" s="183"/>
      <c r="CM260" s="183"/>
      <c r="CN260" s="183"/>
      <c r="CO260" s="183"/>
      <c r="CP260" s="183"/>
      <c r="CQ260" s="183"/>
      <c r="CR260" s="183"/>
      <c r="CS260" s="183"/>
      <c r="CT260" s="183"/>
      <c r="CU260" s="183"/>
      <c r="CV260" s="183"/>
      <c r="CW260" s="183"/>
      <c r="CX260" s="183"/>
      <c r="CY260" s="183"/>
      <c r="CZ260" s="183"/>
      <c r="DA260" s="183"/>
      <c r="DB260" s="183"/>
      <c r="DC260" s="183"/>
      <c r="DD260" s="183"/>
      <c r="DE260" s="183"/>
      <c r="DF260" s="183"/>
      <c r="DG260" s="183"/>
      <c r="DH260" s="183"/>
      <c r="DI260" s="183"/>
      <c r="DJ260" s="183"/>
      <c r="DK260" s="183"/>
      <c r="DL260" s="183"/>
      <c r="DM260" s="183"/>
      <c r="DN260" s="183"/>
      <c r="DO260" s="183"/>
      <c r="DP260" s="183"/>
      <c r="DQ260" s="183"/>
      <c r="DR260" s="183"/>
      <c r="DS260" s="183"/>
      <c r="DT260" s="183"/>
      <c r="DU260" s="183"/>
      <c r="DV260" s="183"/>
      <c r="DW260" s="183"/>
      <c r="DX260" s="183"/>
      <c r="DY260" s="183"/>
      <c r="DZ260" s="183"/>
      <c r="EA260" s="183"/>
      <c r="EB260" s="183"/>
      <c r="EC260" s="183"/>
      <c r="ED260" s="183"/>
      <c r="EE260" s="183"/>
      <c r="EF260" s="183"/>
      <c r="EG260" s="183"/>
      <c r="EH260" s="183"/>
      <c r="EI260" s="183"/>
      <c r="EJ260" s="183"/>
      <c r="EK260" s="183"/>
      <c r="EL260" s="183"/>
      <c r="EM260" s="183"/>
      <c r="EN260" s="183"/>
      <c r="EO260" s="183"/>
      <c r="EP260" s="183"/>
      <c r="EQ260" s="183"/>
      <c r="ER260" s="183"/>
      <c r="ES260" s="183"/>
      <c r="ET260" s="183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</row>
    <row r="261" spans="1:258" ht="13.5" customHeight="1">
      <c r="A261" s="49"/>
      <c r="B261" s="2"/>
      <c r="C261" s="2"/>
      <c r="D261" s="2"/>
      <c r="E261" s="2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  <c r="AL261" s="183"/>
      <c r="AM261" s="183"/>
      <c r="AN261" s="183"/>
      <c r="AO261" s="183"/>
      <c r="AP261" s="183"/>
      <c r="AQ261" s="183"/>
      <c r="AR261" s="183"/>
      <c r="AS261" s="183"/>
      <c r="AT261" s="183"/>
      <c r="AU261" s="183"/>
      <c r="AV261" s="183"/>
      <c r="AW261" s="183"/>
      <c r="AX261" s="183"/>
      <c r="AY261" s="183"/>
      <c r="AZ261" s="183"/>
      <c r="BA261" s="183"/>
      <c r="BB261" s="183"/>
      <c r="BC261" s="183"/>
      <c r="BD261" s="183"/>
      <c r="BE261" s="183"/>
      <c r="BF261" s="183"/>
      <c r="BG261" s="183"/>
      <c r="BH261" s="183"/>
      <c r="BI261" s="183"/>
      <c r="BJ261" s="183"/>
      <c r="BK261" s="183"/>
      <c r="BL261" s="183"/>
      <c r="BM261" s="183"/>
      <c r="BN261" s="183"/>
      <c r="BO261" s="183"/>
      <c r="BP261" s="183"/>
      <c r="BQ261" s="183"/>
      <c r="BR261" s="183"/>
      <c r="BS261" s="183"/>
      <c r="BT261" s="183"/>
      <c r="BU261" s="183"/>
      <c r="BV261" s="183"/>
      <c r="BW261" s="183"/>
      <c r="BX261" s="183"/>
      <c r="BY261" s="183"/>
      <c r="BZ261" s="183"/>
      <c r="CA261" s="183"/>
      <c r="CB261" s="183"/>
      <c r="CC261" s="183"/>
      <c r="CD261" s="183"/>
      <c r="CE261" s="183"/>
      <c r="CF261" s="183"/>
      <c r="CG261" s="183"/>
      <c r="CH261" s="183"/>
      <c r="CI261" s="183"/>
      <c r="CJ261" s="183"/>
      <c r="CK261" s="183"/>
      <c r="CL261" s="183"/>
      <c r="CM261" s="183"/>
      <c r="CN261" s="183"/>
      <c r="CO261" s="183"/>
      <c r="CP261" s="183"/>
      <c r="CQ261" s="183"/>
      <c r="CR261" s="183"/>
      <c r="CS261" s="183"/>
      <c r="CT261" s="183"/>
      <c r="CU261" s="183"/>
      <c r="CV261" s="183"/>
      <c r="CW261" s="183"/>
      <c r="CX261" s="183"/>
      <c r="CY261" s="183"/>
      <c r="CZ261" s="183"/>
      <c r="DA261" s="183"/>
      <c r="DB261" s="183"/>
      <c r="DC261" s="183"/>
      <c r="DD261" s="183"/>
      <c r="DE261" s="183"/>
      <c r="DF261" s="183"/>
      <c r="DG261" s="183"/>
      <c r="DH261" s="183"/>
      <c r="DI261" s="183"/>
      <c r="DJ261" s="183"/>
      <c r="DK261" s="183"/>
      <c r="DL261" s="183"/>
      <c r="DM261" s="183"/>
      <c r="DN261" s="183"/>
      <c r="DO261" s="183"/>
      <c r="DP261" s="183"/>
      <c r="DQ261" s="183"/>
      <c r="DR261" s="183"/>
      <c r="DS261" s="183"/>
      <c r="DT261" s="183"/>
      <c r="DU261" s="183"/>
      <c r="DV261" s="183"/>
      <c r="DW261" s="183"/>
      <c r="DX261" s="183"/>
      <c r="DY261" s="183"/>
      <c r="DZ261" s="183"/>
      <c r="EA261" s="183"/>
      <c r="EB261" s="183"/>
      <c r="EC261" s="183"/>
      <c r="ED261" s="183"/>
      <c r="EE261" s="183"/>
      <c r="EF261" s="183"/>
      <c r="EG261" s="183"/>
      <c r="EH261" s="183"/>
      <c r="EI261" s="183"/>
      <c r="EJ261" s="183"/>
      <c r="EK261" s="183"/>
      <c r="EL261" s="183"/>
      <c r="EM261" s="183"/>
      <c r="EN261" s="183"/>
      <c r="EO261" s="183"/>
      <c r="EP261" s="183"/>
      <c r="EQ261" s="183"/>
      <c r="ER261" s="183"/>
      <c r="ES261" s="183"/>
      <c r="ET261" s="183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</row>
    <row r="262" spans="1:258" ht="13.5" customHeight="1">
      <c r="A262" s="49"/>
      <c r="B262" s="2"/>
      <c r="C262" s="2"/>
      <c r="D262" s="2"/>
      <c r="E262" s="2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  <c r="AL262" s="183"/>
      <c r="AM262" s="183"/>
      <c r="AN262" s="183"/>
      <c r="AO262" s="183"/>
      <c r="AP262" s="183"/>
      <c r="AQ262" s="183"/>
      <c r="AR262" s="183"/>
      <c r="AS262" s="183"/>
      <c r="AT262" s="183"/>
      <c r="AU262" s="183"/>
      <c r="AV262" s="183"/>
      <c r="AW262" s="183"/>
      <c r="AX262" s="183"/>
      <c r="AY262" s="183"/>
      <c r="AZ262" s="183"/>
      <c r="BA262" s="183"/>
      <c r="BB262" s="183"/>
      <c r="BC262" s="183"/>
      <c r="BD262" s="183"/>
      <c r="BE262" s="183"/>
      <c r="BF262" s="183"/>
      <c r="BG262" s="183"/>
      <c r="BH262" s="183"/>
      <c r="BI262" s="183"/>
      <c r="BJ262" s="183"/>
      <c r="BK262" s="183"/>
      <c r="BL262" s="183"/>
      <c r="BM262" s="183"/>
      <c r="BN262" s="183"/>
      <c r="BO262" s="183"/>
      <c r="BP262" s="183"/>
      <c r="BQ262" s="183"/>
      <c r="BR262" s="183"/>
      <c r="BS262" s="183"/>
      <c r="BT262" s="183"/>
      <c r="BU262" s="183"/>
      <c r="BV262" s="183"/>
      <c r="BW262" s="183"/>
      <c r="BX262" s="183"/>
      <c r="BY262" s="183"/>
      <c r="BZ262" s="183"/>
      <c r="CA262" s="183"/>
      <c r="CB262" s="183"/>
      <c r="CC262" s="183"/>
      <c r="CD262" s="183"/>
      <c r="CE262" s="183"/>
      <c r="CF262" s="183"/>
      <c r="CG262" s="183"/>
      <c r="CH262" s="183"/>
      <c r="CI262" s="183"/>
      <c r="CJ262" s="183"/>
      <c r="CK262" s="183"/>
      <c r="CL262" s="183"/>
      <c r="CM262" s="183"/>
      <c r="CN262" s="183"/>
      <c r="CO262" s="183"/>
      <c r="CP262" s="183"/>
      <c r="CQ262" s="183"/>
      <c r="CR262" s="183"/>
      <c r="CS262" s="183"/>
      <c r="CT262" s="183"/>
      <c r="CU262" s="183"/>
      <c r="CV262" s="183"/>
      <c r="CW262" s="183"/>
      <c r="CX262" s="183"/>
      <c r="CY262" s="183"/>
      <c r="CZ262" s="183"/>
      <c r="DA262" s="183"/>
      <c r="DB262" s="183"/>
      <c r="DC262" s="183"/>
      <c r="DD262" s="183"/>
      <c r="DE262" s="183"/>
      <c r="DF262" s="183"/>
      <c r="DG262" s="183"/>
      <c r="DH262" s="183"/>
      <c r="DI262" s="183"/>
      <c r="DJ262" s="183"/>
      <c r="DK262" s="183"/>
      <c r="DL262" s="183"/>
      <c r="DM262" s="183"/>
      <c r="DN262" s="183"/>
      <c r="DO262" s="183"/>
      <c r="DP262" s="183"/>
      <c r="DQ262" s="183"/>
      <c r="DR262" s="183"/>
      <c r="DS262" s="183"/>
      <c r="DT262" s="183"/>
      <c r="DU262" s="183"/>
      <c r="DV262" s="183"/>
      <c r="DW262" s="183"/>
      <c r="DX262" s="183"/>
      <c r="DY262" s="183"/>
      <c r="DZ262" s="183"/>
      <c r="EA262" s="183"/>
      <c r="EB262" s="183"/>
      <c r="EC262" s="183"/>
      <c r="ED262" s="183"/>
      <c r="EE262" s="183"/>
      <c r="EF262" s="183"/>
      <c r="EG262" s="183"/>
      <c r="EH262" s="183"/>
      <c r="EI262" s="183"/>
      <c r="EJ262" s="183"/>
      <c r="EK262" s="183"/>
      <c r="EL262" s="183"/>
      <c r="EM262" s="183"/>
      <c r="EN262" s="183"/>
      <c r="EO262" s="183"/>
      <c r="EP262" s="183"/>
      <c r="EQ262" s="183"/>
      <c r="ER262" s="183"/>
      <c r="ES262" s="183"/>
      <c r="ET262" s="183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</row>
    <row r="263" spans="1:258" ht="13.5" customHeight="1">
      <c r="A263" s="49"/>
      <c r="B263" s="2"/>
      <c r="C263" s="2"/>
      <c r="D263" s="2"/>
      <c r="E263" s="2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  <c r="AL263" s="183"/>
      <c r="AM263" s="183"/>
      <c r="AN263" s="183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83"/>
      <c r="BB263" s="183"/>
      <c r="BC263" s="183"/>
      <c r="BD263" s="183"/>
      <c r="BE263" s="183"/>
      <c r="BF263" s="183"/>
      <c r="BG263" s="183"/>
      <c r="BH263" s="183"/>
      <c r="BI263" s="183"/>
      <c r="BJ263" s="183"/>
      <c r="BK263" s="183"/>
      <c r="BL263" s="183"/>
      <c r="BM263" s="183"/>
      <c r="BN263" s="183"/>
      <c r="BO263" s="183"/>
      <c r="BP263" s="183"/>
      <c r="BQ263" s="183"/>
      <c r="BR263" s="183"/>
      <c r="BS263" s="183"/>
      <c r="BT263" s="183"/>
      <c r="BU263" s="183"/>
      <c r="BV263" s="183"/>
      <c r="BW263" s="183"/>
      <c r="BX263" s="183"/>
      <c r="BY263" s="183"/>
      <c r="BZ263" s="183"/>
      <c r="CA263" s="183"/>
      <c r="CB263" s="183"/>
      <c r="CC263" s="183"/>
      <c r="CD263" s="183"/>
      <c r="CE263" s="183"/>
      <c r="CF263" s="183"/>
      <c r="CG263" s="183"/>
      <c r="CH263" s="183"/>
      <c r="CI263" s="183"/>
      <c r="CJ263" s="183"/>
      <c r="CK263" s="183"/>
      <c r="CL263" s="183"/>
      <c r="CM263" s="183"/>
      <c r="CN263" s="183"/>
      <c r="CO263" s="183"/>
      <c r="CP263" s="183"/>
      <c r="CQ263" s="183"/>
      <c r="CR263" s="183"/>
      <c r="CS263" s="183"/>
      <c r="CT263" s="183"/>
      <c r="CU263" s="183"/>
      <c r="CV263" s="183"/>
      <c r="CW263" s="183"/>
      <c r="CX263" s="183"/>
      <c r="CY263" s="183"/>
      <c r="CZ263" s="183"/>
      <c r="DA263" s="183"/>
      <c r="DB263" s="183"/>
      <c r="DC263" s="183"/>
      <c r="DD263" s="183"/>
      <c r="DE263" s="183"/>
      <c r="DF263" s="183"/>
      <c r="DG263" s="183"/>
      <c r="DH263" s="183"/>
      <c r="DI263" s="183"/>
      <c r="DJ263" s="183"/>
      <c r="DK263" s="183"/>
      <c r="DL263" s="183"/>
      <c r="DM263" s="183"/>
      <c r="DN263" s="183"/>
      <c r="DO263" s="183"/>
      <c r="DP263" s="183"/>
      <c r="DQ263" s="183"/>
      <c r="DR263" s="183"/>
      <c r="DS263" s="183"/>
      <c r="DT263" s="183"/>
      <c r="DU263" s="183"/>
      <c r="DV263" s="183"/>
      <c r="DW263" s="183"/>
      <c r="DX263" s="183"/>
      <c r="DY263" s="183"/>
      <c r="DZ263" s="183"/>
      <c r="EA263" s="183"/>
      <c r="EB263" s="183"/>
      <c r="EC263" s="183"/>
      <c r="ED263" s="183"/>
      <c r="EE263" s="183"/>
      <c r="EF263" s="183"/>
      <c r="EG263" s="183"/>
      <c r="EH263" s="183"/>
      <c r="EI263" s="183"/>
      <c r="EJ263" s="183"/>
      <c r="EK263" s="183"/>
      <c r="EL263" s="183"/>
      <c r="EM263" s="183"/>
      <c r="EN263" s="183"/>
      <c r="EO263" s="183"/>
      <c r="EP263" s="183"/>
      <c r="EQ263" s="183"/>
      <c r="ER263" s="183"/>
      <c r="ES263" s="183"/>
      <c r="ET263" s="183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</row>
    <row r="264" spans="1:258" ht="13.5" customHeight="1">
      <c r="A264" s="49"/>
      <c r="B264" s="2"/>
      <c r="C264" s="2"/>
      <c r="D264" s="2"/>
      <c r="E264" s="2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83"/>
      <c r="BB264" s="183"/>
      <c r="BC264" s="183"/>
      <c r="BD264" s="183"/>
      <c r="BE264" s="183"/>
      <c r="BF264" s="183"/>
      <c r="BG264" s="183"/>
      <c r="BH264" s="183"/>
      <c r="BI264" s="183"/>
      <c r="BJ264" s="183"/>
      <c r="BK264" s="183"/>
      <c r="BL264" s="183"/>
      <c r="BM264" s="183"/>
      <c r="BN264" s="183"/>
      <c r="BO264" s="183"/>
      <c r="BP264" s="183"/>
      <c r="BQ264" s="183"/>
      <c r="BR264" s="183"/>
      <c r="BS264" s="183"/>
      <c r="BT264" s="183"/>
      <c r="BU264" s="183"/>
      <c r="BV264" s="183"/>
      <c r="BW264" s="183"/>
      <c r="BX264" s="183"/>
      <c r="BY264" s="183"/>
      <c r="BZ264" s="183"/>
      <c r="CA264" s="183"/>
      <c r="CB264" s="183"/>
      <c r="CC264" s="183"/>
      <c r="CD264" s="183"/>
      <c r="CE264" s="183"/>
      <c r="CF264" s="183"/>
      <c r="CG264" s="183"/>
      <c r="CH264" s="183"/>
      <c r="CI264" s="183"/>
      <c r="CJ264" s="183"/>
      <c r="CK264" s="183"/>
      <c r="CL264" s="183"/>
      <c r="CM264" s="183"/>
      <c r="CN264" s="183"/>
      <c r="CO264" s="183"/>
      <c r="CP264" s="183"/>
      <c r="CQ264" s="183"/>
      <c r="CR264" s="183"/>
      <c r="CS264" s="183"/>
      <c r="CT264" s="183"/>
      <c r="CU264" s="183"/>
      <c r="CV264" s="183"/>
      <c r="CW264" s="183"/>
      <c r="CX264" s="183"/>
      <c r="CY264" s="183"/>
      <c r="CZ264" s="183"/>
      <c r="DA264" s="183"/>
      <c r="DB264" s="183"/>
      <c r="DC264" s="183"/>
      <c r="DD264" s="183"/>
      <c r="DE264" s="183"/>
      <c r="DF264" s="183"/>
      <c r="DG264" s="183"/>
      <c r="DH264" s="183"/>
      <c r="DI264" s="183"/>
      <c r="DJ264" s="183"/>
      <c r="DK264" s="183"/>
      <c r="DL264" s="183"/>
      <c r="DM264" s="183"/>
      <c r="DN264" s="183"/>
      <c r="DO264" s="183"/>
      <c r="DP264" s="183"/>
      <c r="DQ264" s="183"/>
      <c r="DR264" s="183"/>
      <c r="DS264" s="183"/>
      <c r="DT264" s="183"/>
      <c r="DU264" s="183"/>
      <c r="DV264" s="183"/>
      <c r="DW264" s="183"/>
      <c r="DX264" s="183"/>
      <c r="DY264" s="183"/>
      <c r="DZ264" s="183"/>
      <c r="EA264" s="183"/>
      <c r="EB264" s="183"/>
      <c r="EC264" s="183"/>
      <c r="ED264" s="183"/>
      <c r="EE264" s="183"/>
      <c r="EF264" s="183"/>
      <c r="EG264" s="183"/>
      <c r="EH264" s="183"/>
      <c r="EI264" s="183"/>
      <c r="EJ264" s="183"/>
      <c r="EK264" s="183"/>
      <c r="EL264" s="183"/>
      <c r="EM264" s="183"/>
      <c r="EN264" s="183"/>
      <c r="EO264" s="183"/>
      <c r="EP264" s="183"/>
      <c r="EQ264" s="183"/>
      <c r="ER264" s="183"/>
      <c r="ES264" s="183"/>
      <c r="ET264" s="183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</row>
    <row r="265" spans="1:258" ht="13.5" customHeight="1">
      <c r="A265" s="49"/>
      <c r="B265" s="2"/>
      <c r="C265" s="2"/>
      <c r="D265" s="2"/>
      <c r="E265" s="2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  <c r="AL265" s="183"/>
      <c r="AM265" s="183"/>
      <c r="AN265" s="183"/>
      <c r="AO265" s="183"/>
      <c r="AP265" s="183"/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183"/>
      <c r="BB265" s="183"/>
      <c r="BC265" s="183"/>
      <c r="BD265" s="183"/>
      <c r="BE265" s="183"/>
      <c r="BF265" s="183"/>
      <c r="BG265" s="183"/>
      <c r="BH265" s="183"/>
      <c r="BI265" s="183"/>
      <c r="BJ265" s="183"/>
      <c r="BK265" s="183"/>
      <c r="BL265" s="183"/>
      <c r="BM265" s="183"/>
      <c r="BN265" s="183"/>
      <c r="BO265" s="183"/>
      <c r="BP265" s="183"/>
      <c r="BQ265" s="183"/>
      <c r="BR265" s="183"/>
      <c r="BS265" s="183"/>
      <c r="BT265" s="183"/>
      <c r="BU265" s="183"/>
      <c r="BV265" s="183"/>
      <c r="BW265" s="183"/>
      <c r="BX265" s="183"/>
      <c r="BY265" s="183"/>
      <c r="BZ265" s="183"/>
      <c r="CA265" s="183"/>
      <c r="CB265" s="183"/>
      <c r="CC265" s="183"/>
      <c r="CD265" s="183"/>
      <c r="CE265" s="183"/>
      <c r="CF265" s="183"/>
      <c r="CG265" s="183"/>
      <c r="CH265" s="183"/>
      <c r="CI265" s="183"/>
      <c r="CJ265" s="183"/>
      <c r="CK265" s="183"/>
      <c r="CL265" s="183"/>
      <c r="CM265" s="183"/>
      <c r="CN265" s="183"/>
      <c r="CO265" s="183"/>
      <c r="CP265" s="183"/>
      <c r="CQ265" s="183"/>
      <c r="CR265" s="183"/>
      <c r="CS265" s="183"/>
      <c r="CT265" s="183"/>
      <c r="CU265" s="183"/>
      <c r="CV265" s="183"/>
      <c r="CW265" s="183"/>
      <c r="CX265" s="183"/>
      <c r="CY265" s="183"/>
      <c r="CZ265" s="183"/>
      <c r="DA265" s="183"/>
      <c r="DB265" s="183"/>
      <c r="DC265" s="183"/>
      <c r="DD265" s="183"/>
      <c r="DE265" s="183"/>
      <c r="DF265" s="183"/>
      <c r="DG265" s="183"/>
      <c r="DH265" s="183"/>
      <c r="DI265" s="183"/>
      <c r="DJ265" s="183"/>
      <c r="DK265" s="183"/>
      <c r="DL265" s="183"/>
      <c r="DM265" s="183"/>
      <c r="DN265" s="183"/>
      <c r="DO265" s="183"/>
      <c r="DP265" s="183"/>
      <c r="DQ265" s="183"/>
      <c r="DR265" s="183"/>
      <c r="DS265" s="183"/>
      <c r="DT265" s="183"/>
      <c r="DU265" s="183"/>
      <c r="DV265" s="183"/>
      <c r="DW265" s="183"/>
      <c r="DX265" s="183"/>
      <c r="DY265" s="183"/>
      <c r="DZ265" s="183"/>
      <c r="EA265" s="183"/>
      <c r="EB265" s="183"/>
      <c r="EC265" s="183"/>
      <c r="ED265" s="183"/>
      <c r="EE265" s="183"/>
      <c r="EF265" s="183"/>
      <c r="EG265" s="183"/>
      <c r="EH265" s="183"/>
      <c r="EI265" s="183"/>
      <c r="EJ265" s="183"/>
      <c r="EK265" s="183"/>
      <c r="EL265" s="183"/>
      <c r="EM265" s="183"/>
      <c r="EN265" s="183"/>
      <c r="EO265" s="183"/>
      <c r="EP265" s="183"/>
      <c r="EQ265" s="183"/>
      <c r="ER265" s="183"/>
      <c r="ES265" s="183"/>
      <c r="ET265" s="183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</row>
    <row r="266" spans="1:258" ht="13.5" customHeight="1">
      <c r="A266" s="49"/>
      <c r="B266" s="2"/>
      <c r="C266" s="2"/>
      <c r="D266" s="2"/>
      <c r="E266" s="2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  <c r="AL266" s="183"/>
      <c r="AM266" s="183"/>
      <c r="AN266" s="183"/>
      <c r="AO266" s="183"/>
      <c r="AP266" s="183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83"/>
      <c r="BB266" s="183"/>
      <c r="BC266" s="183"/>
      <c r="BD266" s="183"/>
      <c r="BE266" s="183"/>
      <c r="BF266" s="183"/>
      <c r="BG266" s="183"/>
      <c r="BH266" s="183"/>
      <c r="BI266" s="183"/>
      <c r="BJ266" s="183"/>
      <c r="BK266" s="183"/>
      <c r="BL266" s="183"/>
      <c r="BM266" s="183"/>
      <c r="BN266" s="183"/>
      <c r="BO266" s="183"/>
      <c r="BP266" s="183"/>
      <c r="BQ266" s="183"/>
      <c r="BR266" s="183"/>
      <c r="BS266" s="183"/>
      <c r="BT266" s="183"/>
      <c r="BU266" s="183"/>
      <c r="BV266" s="183"/>
      <c r="BW266" s="183"/>
      <c r="BX266" s="183"/>
      <c r="BY266" s="183"/>
      <c r="BZ266" s="183"/>
      <c r="CA266" s="183"/>
      <c r="CB266" s="183"/>
      <c r="CC266" s="183"/>
      <c r="CD266" s="183"/>
      <c r="CE266" s="183"/>
      <c r="CF266" s="183"/>
      <c r="CG266" s="183"/>
      <c r="CH266" s="183"/>
      <c r="CI266" s="183"/>
      <c r="CJ266" s="183"/>
      <c r="CK266" s="183"/>
      <c r="CL266" s="183"/>
      <c r="CM266" s="183"/>
      <c r="CN266" s="183"/>
      <c r="CO266" s="183"/>
      <c r="CP266" s="183"/>
      <c r="CQ266" s="183"/>
      <c r="CR266" s="183"/>
      <c r="CS266" s="183"/>
      <c r="CT266" s="183"/>
      <c r="CU266" s="183"/>
      <c r="CV266" s="183"/>
      <c r="CW266" s="183"/>
      <c r="CX266" s="183"/>
      <c r="CY266" s="183"/>
      <c r="CZ266" s="183"/>
      <c r="DA266" s="183"/>
      <c r="DB266" s="183"/>
      <c r="DC266" s="183"/>
      <c r="DD266" s="183"/>
      <c r="DE266" s="183"/>
      <c r="DF266" s="183"/>
      <c r="DG266" s="183"/>
      <c r="DH266" s="183"/>
      <c r="DI266" s="183"/>
      <c r="DJ266" s="183"/>
      <c r="DK266" s="183"/>
      <c r="DL266" s="183"/>
      <c r="DM266" s="183"/>
      <c r="DN266" s="183"/>
      <c r="DO266" s="183"/>
      <c r="DP266" s="183"/>
      <c r="DQ266" s="183"/>
      <c r="DR266" s="183"/>
      <c r="DS266" s="183"/>
      <c r="DT266" s="183"/>
      <c r="DU266" s="183"/>
      <c r="DV266" s="183"/>
      <c r="DW266" s="183"/>
      <c r="DX266" s="183"/>
      <c r="DY266" s="183"/>
      <c r="DZ266" s="183"/>
      <c r="EA266" s="183"/>
      <c r="EB266" s="183"/>
      <c r="EC266" s="183"/>
      <c r="ED266" s="183"/>
      <c r="EE266" s="183"/>
      <c r="EF266" s="183"/>
      <c r="EG266" s="183"/>
      <c r="EH266" s="183"/>
      <c r="EI266" s="183"/>
      <c r="EJ266" s="183"/>
      <c r="EK266" s="183"/>
      <c r="EL266" s="183"/>
      <c r="EM266" s="183"/>
      <c r="EN266" s="183"/>
      <c r="EO266" s="183"/>
      <c r="EP266" s="183"/>
      <c r="EQ266" s="183"/>
      <c r="ER266" s="183"/>
      <c r="ES266" s="183"/>
      <c r="ET266" s="183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</row>
    <row r="267" spans="1:258" ht="13.5" customHeight="1">
      <c r="A267" s="49"/>
      <c r="B267" s="2"/>
      <c r="C267" s="2"/>
      <c r="D267" s="2"/>
      <c r="E267" s="2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  <c r="AL267" s="183"/>
      <c r="AM267" s="183"/>
      <c r="AN267" s="183"/>
      <c r="AO267" s="183"/>
      <c r="AP267" s="183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83"/>
      <c r="BB267" s="183"/>
      <c r="BC267" s="183"/>
      <c r="BD267" s="183"/>
      <c r="BE267" s="183"/>
      <c r="BF267" s="183"/>
      <c r="BG267" s="183"/>
      <c r="BH267" s="183"/>
      <c r="BI267" s="183"/>
      <c r="BJ267" s="183"/>
      <c r="BK267" s="183"/>
      <c r="BL267" s="183"/>
      <c r="BM267" s="183"/>
      <c r="BN267" s="183"/>
      <c r="BO267" s="183"/>
      <c r="BP267" s="183"/>
      <c r="BQ267" s="183"/>
      <c r="BR267" s="183"/>
      <c r="BS267" s="183"/>
      <c r="BT267" s="183"/>
      <c r="BU267" s="183"/>
      <c r="BV267" s="183"/>
      <c r="BW267" s="183"/>
      <c r="BX267" s="183"/>
      <c r="BY267" s="183"/>
      <c r="BZ267" s="183"/>
      <c r="CA267" s="183"/>
      <c r="CB267" s="183"/>
      <c r="CC267" s="183"/>
      <c r="CD267" s="183"/>
      <c r="CE267" s="183"/>
      <c r="CF267" s="183"/>
      <c r="CG267" s="183"/>
      <c r="CH267" s="183"/>
      <c r="CI267" s="183"/>
      <c r="CJ267" s="183"/>
      <c r="CK267" s="183"/>
      <c r="CL267" s="183"/>
      <c r="CM267" s="183"/>
      <c r="CN267" s="183"/>
      <c r="CO267" s="183"/>
      <c r="CP267" s="183"/>
      <c r="CQ267" s="183"/>
      <c r="CR267" s="183"/>
      <c r="CS267" s="183"/>
      <c r="CT267" s="183"/>
      <c r="CU267" s="183"/>
      <c r="CV267" s="183"/>
      <c r="CW267" s="183"/>
      <c r="CX267" s="183"/>
      <c r="CY267" s="183"/>
      <c r="CZ267" s="183"/>
      <c r="DA267" s="183"/>
      <c r="DB267" s="183"/>
      <c r="DC267" s="183"/>
      <c r="DD267" s="183"/>
      <c r="DE267" s="183"/>
      <c r="DF267" s="183"/>
      <c r="DG267" s="183"/>
      <c r="DH267" s="183"/>
      <c r="DI267" s="183"/>
      <c r="DJ267" s="183"/>
      <c r="DK267" s="183"/>
      <c r="DL267" s="183"/>
      <c r="DM267" s="183"/>
      <c r="DN267" s="183"/>
      <c r="DO267" s="183"/>
      <c r="DP267" s="183"/>
      <c r="DQ267" s="183"/>
      <c r="DR267" s="183"/>
      <c r="DS267" s="183"/>
      <c r="DT267" s="183"/>
      <c r="DU267" s="183"/>
      <c r="DV267" s="183"/>
      <c r="DW267" s="183"/>
      <c r="DX267" s="183"/>
      <c r="DY267" s="183"/>
      <c r="DZ267" s="183"/>
      <c r="EA267" s="183"/>
      <c r="EB267" s="183"/>
      <c r="EC267" s="183"/>
      <c r="ED267" s="183"/>
      <c r="EE267" s="183"/>
      <c r="EF267" s="183"/>
      <c r="EG267" s="183"/>
      <c r="EH267" s="183"/>
      <c r="EI267" s="183"/>
      <c r="EJ267" s="183"/>
      <c r="EK267" s="183"/>
      <c r="EL267" s="183"/>
      <c r="EM267" s="183"/>
      <c r="EN267" s="183"/>
      <c r="EO267" s="183"/>
      <c r="EP267" s="183"/>
      <c r="EQ267" s="183"/>
      <c r="ER267" s="183"/>
      <c r="ES267" s="183"/>
      <c r="ET267" s="183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</row>
    <row r="268" spans="1:258" ht="13.5" customHeight="1">
      <c r="A268" s="49"/>
      <c r="B268" s="2"/>
      <c r="C268" s="2"/>
      <c r="D268" s="2"/>
      <c r="E268" s="2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  <c r="AL268" s="183"/>
      <c r="AM268" s="183"/>
      <c r="AN268" s="183"/>
      <c r="AO268" s="183"/>
      <c r="AP268" s="183"/>
      <c r="AQ268" s="183"/>
      <c r="AR268" s="183"/>
      <c r="AS268" s="183"/>
      <c r="AT268" s="183"/>
      <c r="AU268" s="183"/>
      <c r="AV268" s="183"/>
      <c r="AW268" s="183"/>
      <c r="AX268" s="183"/>
      <c r="AY268" s="183"/>
      <c r="AZ268" s="183"/>
      <c r="BA268" s="183"/>
      <c r="BB268" s="183"/>
      <c r="BC268" s="183"/>
      <c r="BD268" s="183"/>
      <c r="BE268" s="183"/>
      <c r="BF268" s="183"/>
      <c r="BG268" s="183"/>
      <c r="BH268" s="183"/>
      <c r="BI268" s="183"/>
      <c r="BJ268" s="183"/>
      <c r="BK268" s="183"/>
      <c r="BL268" s="183"/>
      <c r="BM268" s="183"/>
      <c r="BN268" s="183"/>
      <c r="BO268" s="183"/>
      <c r="BP268" s="183"/>
      <c r="BQ268" s="183"/>
      <c r="BR268" s="183"/>
      <c r="BS268" s="183"/>
      <c r="BT268" s="183"/>
      <c r="BU268" s="183"/>
      <c r="BV268" s="183"/>
      <c r="BW268" s="183"/>
      <c r="BX268" s="183"/>
      <c r="BY268" s="183"/>
      <c r="BZ268" s="183"/>
      <c r="CA268" s="183"/>
      <c r="CB268" s="183"/>
      <c r="CC268" s="183"/>
      <c r="CD268" s="183"/>
      <c r="CE268" s="183"/>
      <c r="CF268" s="183"/>
      <c r="CG268" s="183"/>
      <c r="CH268" s="183"/>
      <c r="CI268" s="183"/>
      <c r="CJ268" s="183"/>
      <c r="CK268" s="183"/>
      <c r="CL268" s="183"/>
      <c r="CM268" s="183"/>
      <c r="CN268" s="183"/>
      <c r="CO268" s="183"/>
      <c r="CP268" s="183"/>
      <c r="CQ268" s="183"/>
      <c r="CR268" s="183"/>
      <c r="CS268" s="183"/>
      <c r="CT268" s="183"/>
      <c r="CU268" s="183"/>
      <c r="CV268" s="183"/>
      <c r="CW268" s="183"/>
      <c r="CX268" s="183"/>
      <c r="CY268" s="183"/>
      <c r="CZ268" s="183"/>
      <c r="DA268" s="183"/>
      <c r="DB268" s="183"/>
      <c r="DC268" s="183"/>
      <c r="DD268" s="183"/>
      <c r="DE268" s="183"/>
      <c r="DF268" s="183"/>
      <c r="DG268" s="183"/>
      <c r="DH268" s="183"/>
      <c r="DI268" s="183"/>
      <c r="DJ268" s="183"/>
      <c r="DK268" s="183"/>
      <c r="DL268" s="183"/>
      <c r="DM268" s="183"/>
      <c r="DN268" s="183"/>
      <c r="DO268" s="183"/>
      <c r="DP268" s="183"/>
      <c r="DQ268" s="183"/>
      <c r="DR268" s="183"/>
      <c r="DS268" s="183"/>
      <c r="DT268" s="183"/>
      <c r="DU268" s="183"/>
      <c r="DV268" s="183"/>
      <c r="DW268" s="183"/>
      <c r="DX268" s="183"/>
      <c r="DY268" s="183"/>
      <c r="DZ268" s="183"/>
      <c r="EA268" s="183"/>
      <c r="EB268" s="183"/>
      <c r="EC268" s="183"/>
      <c r="ED268" s="183"/>
      <c r="EE268" s="183"/>
      <c r="EF268" s="183"/>
      <c r="EG268" s="183"/>
      <c r="EH268" s="183"/>
      <c r="EI268" s="183"/>
      <c r="EJ268" s="183"/>
      <c r="EK268" s="183"/>
      <c r="EL268" s="183"/>
      <c r="EM268" s="183"/>
      <c r="EN268" s="183"/>
      <c r="EO268" s="183"/>
      <c r="EP268" s="183"/>
      <c r="EQ268" s="183"/>
      <c r="ER268" s="183"/>
      <c r="ES268" s="183"/>
      <c r="ET268" s="183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</row>
    <row r="269" spans="1:258" ht="13.5" customHeight="1">
      <c r="A269" s="49"/>
      <c r="B269" s="2"/>
      <c r="C269" s="2"/>
      <c r="D269" s="2"/>
      <c r="E269" s="2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  <c r="AL269" s="183"/>
      <c r="AM269" s="183"/>
      <c r="AN269" s="183"/>
      <c r="AO269" s="183"/>
      <c r="AP269" s="183"/>
      <c r="AQ269" s="183"/>
      <c r="AR269" s="183"/>
      <c r="AS269" s="183"/>
      <c r="AT269" s="183"/>
      <c r="AU269" s="183"/>
      <c r="AV269" s="183"/>
      <c r="AW269" s="183"/>
      <c r="AX269" s="183"/>
      <c r="AY269" s="183"/>
      <c r="AZ269" s="183"/>
      <c r="BA269" s="183"/>
      <c r="BB269" s="183"/>
      <c r="BC269" s="183"/>
      <c r="BD269" s="183"/>
      <c r="BE269" s="183"/>
      <c r="BF269" s="183"/>
      <c r="BG269" s="183"/>
      <c r="BH269" s="183"/>
      <c r="BI269" s="183"/>
      <c r="BJ269" s="183"/>
      <c r="BK269" s="183"/>
      <c r="BL269" s="183"/>
      <c r="BM269" s="183"/>
      <c r="BN269" s="183"/>
      <c r="BO269" s="183"/>
      <c r="BP269" s="183"/>
      <c r="BQ269" s="183"/>
      <c r="BR269" s="183"/>
      <c r="BS269" s="183"/>
      <c r="BT269" s="183"/>
      <c r="BU269" s="183"/>
      <c r="BV269" s="183"/>
      <c r="BW269" s="183"/>
      <c r="BX269" s="183"/>
      <c r="BY269" s="183"/>
      <c r="BZ269" s="183"/>
      <c r="CA269" s="183"/>
      <c r="CB269" s="183"/>
      <c r="CC269" s="183"/>
      <c r="CD269" s="183"/>
      <c r="CE269" s="183"/>
      <c r="CF269" s="183"/>
      <c r="CG269" s="183"/>
      <c r="CH269" s="183"/>
      <c r="CI269" s="183"/>
      <c r="CJ269" s="183"/>
      <c r="CK269" s="183"/>
      <c r="CL269" s="183"/>
      <c r="CM269" s="183"/>
      <c r="CN269" s="183"/>
      <c r="CO269" s="183"/>
      <c r="CP269" s="183"/>
      <c r="CQ269" s="183"/>
      <c r="CR269" s="183"/>
      <c r="CS269" s="183"/>
      <c r="CT269" s="183"/>
      <c r="CU269" s="183"/>
      <c r="CV269" s="183"/>
      <c r="CW269" s="183"/>
      <c r="CX269" s="183"/>
      <c r="CY269" s="183"/>
      <c r="CZ269" s="183"/>
      <c r="DA269" s="183"/>
      <c r="DB269" s="183"/>
      <c r="DC269" s="183"/>
      <c r="DD269" s="183"/>
      <c r="DE269" s="183"/>
      <c r="DF269" s="183"/>
      <c r="DG269" s="183"/>
      <c r="DH269" s="183"/>
      <c r="DI269" s="183"/>
      <c r="DJ269" s="183"/>
      <c r="DK269" s="183"/>
      <c r="DL269" s="183"/>
      <c r="DM269" s="183"/>
      <c r="DN269" s="183"/>
      <c r="DO269" s="183"/>
      <c r="DP269" s="183"/>
      <c r="DQ269" s="183"/>
      <c r="DR269" s="183"/>
      <c r="DS269" s="183"/>
      <c r="DT269" s="183"/>
      <c r="DU269" s="183"/>
      <c r="DV269" s="183"/>
      <c r="DW269" s="183"/>
      <c r="DX269" s="183"/>
      <c r="DY269" s="183"/>
      <c r="DZ269" s="183"/>
      <c r="EA269" s="183"/>
      <c r="EB269" s="183"/>
      <c r="EC269" s="183"/>
      <c r="ED269" s="183"/>
      <c r="EE269" s="183"/>
      <c r="EF269" s="183"/>
      <c r="EG269" s="183"/>
      <c r="EH269" s="183"/>
      <c r="EI269" s="183"/>
      <c r="EJ269" s="183"/>
      <c r="EK269" s="183"/>
      <c r="EL269" s="183"/>
      <c r="EM269" s="183"/>
      <c r="EN269" s="183"/>
      <c r="EO269" s="183"/>
      <c r="EP269" s="183"/>
      <c r="EQ269" s="183"/>
      <c r="ER269" s="183"/>
      <c r="ES269" s="183"/>
      <c r="ET269" s="183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</row>
    <row r="270" spans="1:258" ht="13.5" customHeight="1">
      <c r="A270" s="49"/>
      <c r="B270" s="2"/>
      <c r="C270" s="2"/>
      <c r="D270" s="2"/>
      <c r="E270" s="2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  <c r="AL270" s="183"/>
      <c r="AM270" s="183"/>
      <c r="AN270" s="183"/>
      <c r="AO270" s="183"/>
      <c r="AP270" s="183"/>
      <c r="AQ270" s="183"/>
      <c r="AR270" s="183"/>
      <c r="AS270" s="183"/>
      <c r="AT270" s="183"/>
      <c r="AU270" s="183"/>
      <c r="AV270" s="183"/>
      <c r="AW270" s="183"/>
      <c r="AX270" s="183"/>
      <c r="AY270" s="183"/>
      <c r="AZ270" s="183"/>
      <c r="BA270" s="183"/>
      <c r="BB270" s="183"/>
      <c r="BC270" s="183"/>
      <c r="BD270" s="183"/>
      <c r="BE270" s="183"/>
      <c r="BF270" s="183"/>
      <c r="BG270" s="183"/>
      <c r="BH270" s="183"/>
      <c r="BI270" s="183"/>
      <c r="BJ270" s="183"/>
      <c r="BK270" s="183"/>
      <c r="BL270" s="183"/>
      <c r="BM270" s="183"/>
      <c r="BN270" s="183"/>
      <c r="BO270" s="183"/>
      <c r="BP270" s="183"/>
      <c r="BQ270" s="183"/>
      <c r="BR270" s="183"/>
      <c r="BS270" s="183"/>
      <c r="BT270" s="183"/>
      <c r="BU270" s="183"/>
      <c r="BV270" s="183"/>
      <c r="BW270" s="183"/>
      <c r="BX270" s="183"/>
      <c r="BY270" s="183"/>
      <c r="BZ270" s="183"/>
      <c r="CA270" s="183"/>
      <c r="CB270" s="183"/>
      <c r="CC270" s="183"/>
      <c r="CD270" s="183"/>
      <c r="CE270" s="183"/>
      <c r="CF270" s="183"/>
      <c r="CG270" s="183"/>
      <c r="CH270" s="183"/>
      <c r="CI270" s="183"/>
      <c r="CJ270" s="183"/>
      <c r="CK270" s="183"/>
      <c r="CL270" s="183"/>
      <c r="CM270" s="183"/>
      <c r="CN270" s="183"/>
      <c r="CO270" s="183"/>
      <c r="CP270" s="183"/>
      <c r="CQ270" s="183"/>
      <c r="CR270" s="183"/>
      <c r="CS270" s="183"/>
      <c r="CT270" s="183"/>
      <c r="CU270" s="183"/>
      <c r="CV270" s="183"/>
      <c r="CW270" s="183"/>
      <c r="CX270" s="183"/>
      <c r="CY270" s="183"/>
      <c r="CZ270" s="183"/>
      <c r="DA270" s="183"/>
      <c r="DB270" s="183"/>
      <c r="DC270" s="183"/>
      <c r="DD270" s="183"/>
      <c r="DE270" s="183"/>
      <c r="DF270" s="183"/>
      <c r="DG270" s="183"/>
      <c r="DH270" s="183"/>
      <c r="DI270" s="183"/>
      <c r="DJ270" s="183"/>
      <c r="DK270" s="183"/>
      <c r="DL270" s="183"/>
      <c r="DM270" s="183"/>
      <c r="DN270" s="183"/>
      <c r="DO270" s="183"/>
      <c r="DP270" s="183"/>
      <c r="DQ270" s="183"/>
      <c r="DR270" s="183"/>
      <c r="DS270" s="183"/>
      <c r="DT270" s="183"/>
      <c r="DU270" s="183"/>
      <c r="DV270" s="183"/>
      <c r="DW270" s="183"/>
      <c r="DX270" s="183"/>
      <c r="DY270" s="183"/>
      <c r="DZ270" s="183"/>
      <c r="EA270" s="183"/>
      <c r="EB270" s="183"/>
      <c r="EC270" s="183"/>
      <c r="ED270" s="183"/>
      <c r="EE270" s="183"/>
      <c r="EF270" s="183"/>
      <c r="EG270" s="183"/>
      <c r="EH270" s="183"/>
      <c r="EI270" s="183"/>
      <c r="EJ270" s="183"/>
      <c r="EK270" s="183"/>
      <c r="EL270" s="183"/>
      <c r="EM270" s="183"/>
      <c r="EN270" s="183"/>
      <c r="EO270" s="183"/>
      <c r="EP270" s="183"/>
      <c r="EQ270" s="183"/>
      <c r="ER270" s="183"/>
      <c r="ES270" s="183"/>
      <c r="ET270" s="183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</row>
    <row r="271" spans="1:258" ht="13.5" customHeight="1">
      <c r="A271" s="49"/>
      <c r="B271" s="2"/>
      <c r="C271" s="2"/>
      <c r="D271" s="2"/>
      <c r="E271" s="2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  <c r="AL271" s="183"/>
      <c r="AM271" s="183"/>
      <c r="AN271" s="183"/>
      <c r="AO271" s="183"/>
      <c r="AP271" s="183"/>
      <c r="AQ271" s="183"/>
      <c r="AR271" s="183"/>
      <c r="AS271" s="183"/>
      <c r="AT271" s="183"/>
      <c r="AU271" s="183"/>
      <c r="AV271" s="183"/>
      <c r="AW271" s="183"/>
      <c r="AX271" s="183"/>
      <c r="AY271" s="183"/>
      <c r="AZ271" s="183"/>
      <c r="BA271" s="183"/>
      <c r="BB271" s="183"/>
      <c r="BC271" s="183"/>
      <c r="BD271" s="183"/>
      <c r="BE271" s="183"/>
      <c r="BF271" s="183"/>
      <c r="BG271" s="183"/>
      <c r="BH271" s="183"/>
      <c r="BI271" s="183"/>
      <c r="BJ271" s="183"/>
      <c r="BK271" s="183"/>
      <c r="BL271" s="183"/>
      <c r="BM271" s="183"/>
      <c r="BN271" s="183"/>
      <c r="BO271" s="183"/>
      <c r="BP271" s="183"/>
      <c r="BQ271" s="183"/>
      <c r="BR271" s="183"/>
      <c r="BS271" s="183"/>
      <c r="BT271" s="183"/>
      <c r="BU271" s="183"/>
      <c r="BV271" s="183"/>
      <c r="BW271" s="183"/>
      <c r="BX271" s="183"/>
      <c r="BY271" s="183"/>
      <c r="BZ271" s="183"/>
      <c r="CA271" s="183"/>
      <c r="CB271" s="183"/>
      <c r="CC271" s="183"/>
      <c r="CD271" s="183"/>
      <c r="CE271" s="183"/>
      <c r="CF271" s="183"/>
      <c r="CG271" s="183"/>
      <c r="CH271" s="183"/>
      <c r="CI271" s="183"/>
      <c r="CJ271" s="183"/>
      <c r="CK271" s="183"/>
      <c r="CL271" s="183"/>
      <c r="CM271" s="183"/>
      <c r="CN271" s="183"/>
      <c r="CO271" s="183"/>
      <c r="CP271" s="183"/>
      <c r="CQ271" s="183"/>
      <c r="CR271" s="183"/>
      <c r="CS271" s="183"/>
      <c r="CT271" s="183"/>
      <c r="CU271" s="183"/>
      <c r="CV271" s="183"/>
      <c r="CW271" s="183"/>
      <c r="CX271" s="183"/>
      <c r="CY271" s="183"/>
      <c r="CZ271" s="183"/>
      <c r="DA271" s="183"/>
      <c r="DB271" s="183"/>
      <c r="DC271" s="183"/>
      <c r="DD271" s="183"/>
      <c r="DE271" s="183"/>
      <c r="DF271" s="183"/>
      <c r="DG271" s="183"/>
      <c r="DH271" s="183"/>
      <c r="DI271" s="183"/>
      <c r="DJ271" s="183"/>
      <c r="DK271" s="183"/>
      <c r="DL271" s="183"/>
      <c r="DM271" s="183"/>
      <c r="DN271" s="183"/>
      <c r="DO271" s="183"/>
      <c r="DP271" s="183"/>
      <c r="DQ271" s="183"/>
      <c r="DR271" s="183"/>
      <c r="DS271" s="183"/>
      <c r="DT271" s="183"/>
      <c r="DU271" s="183"/>
      <c r="DV271" s="183"/>
      <c r="DW271" s="183"/>
      <c r="DX271" s="183"/>
      <c r="DY271" s="183"/>
      <c r="DZ271" s="183"/>
      <c r="EA271" s="183"/>
      <c r="EB271" s="183"/>
      <c r="EC271" s="183"/>
      <c r="ED271" s="183"/>
      <c r="EE271" s="183"/>
      <c r="EF271" s="183"/>
      <c r="EG271" s="183"/>
      <c r="EH271" s="183"/>
      <c r="EI271" s="183"/>
      <c r="EJ271" s="183"/>
      <c r="EK271" s="183"/>
      <c r="EL271" s="183"/>
      <c r="EM271" s="183"/>
      <c r="EN271" s="183"/>
      <c r="EO271" s="183"/>
      <c r="EP271" s="183"/>
      <c r="EQ271" s="183"/>
      <c r="ER271" s="183"/>
      <c r="ES271" s="183"/>
      <c r="ET271" s="183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</row>
    <row r="272" spans="1:258" ht="13.5" customHeight="1">
      <c r="A272" s="49"/>
      <c r="B272" s="2"/>
      <c r="C272" s="2"/>
      <c r="D272" s="2"/>
      <c r="E272" s="2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  <c r="AL272" s="183"/>
      <c r="AM272" s="183"/>
      <c r="AN272" s="183"/>
      <c r="AO272" s="183"/>
      <c r="AP272" s="183"/>
      <c r="AQ272" s="183"/>
      <c r="AR272" s="183"/>
      <c r="AS272" s="183"/>
      <c r="AT272" s="183"/>
      <c r="AU272" s="183"/>
      <c r="AV272" s="183"/>
      <c r="AW272" s="183"/>
      <c r="AX272" s="183"/>
      <c r="AY272" s="183"/>
      <c r="AZ272" s="183"/>
      <c r="BA272" s="183"/>
      <c r="BB272" s="183"/>
      <c r="BC272" s="183"/>
      <c r="BD272" s="183"/>
      <c r="BE272" s="183"/>
      <c r="BF272" s="183"/>
      <c r="BG272" s="183"/>
      <c r="BH272" s="183"/>
      <c r="BI272" s="183"/>
      <c r="BJ272" s="183"/>
      <c r="BK272" s="183"/>
      <c r="BL272" s="183"/>
      <c r="BM272" s="183"/>
      <c r="BN272" s="183"/>
      <c r="BO272" s="183"/>
      <c r="BP272" s="183"/>
      <c r="BQ272" s="183"/>
      <c r="BR272" s="183"/>
      <c r="BS272" s="183"/>
      <c r="BT272" s="183"/>
      <c r="BU272" s="183"/>
      <c r="BV272" s="183"/>
      <c r="BW272" s="183"/>
      <c r="BX272" s="183"/>
      <c r="BY272" s="183"/>
      <c r="BZ272" s="183"/>
      <c r="CA272" s="183"/>
      <c r="CB272" s="183"/>
      <c r="CC272" s="183"/>
      <c r="CD272" s="183"/>
      <c r="CE272" s="183"/>
      <c r="CF272" s="183"/>
      <c r="CG272" s="183"/>
      <c r="CH272" s="183"/>
      <c r="CI272" s="183"/>
      <c r="CJ272" s="183"/>
      <c r="CK272" s="183"/>
      <c r="CL272" s="183"/>
      <c r="CM272" s="183"/>
      <c r="CN272" s="183"/>
      <c r="CO272" s="183"/>
      <c r="CP272" s="183"/>
      <c r="CQ272" s="183"/>
      <c r="CR272" s="183"/>
      <c r="CS272" s="183"/>
      <c r="CT272" s="183"/>
      <c r="CU272" s="183"/>
      <c r="CV272" s="183"/>
      <c r="CW272" s="183"/>
      <c r="CX272" s="183"/>
      <c r="CY272" s="183"/>
      <c r="CZ272" s="183"/>
      <c r="DA272" s="183"/>
      <c r="DB272" s="183"/>
      <c r="DC272" s="183"/>
      <c r="DD272" s="183"/>
      <c r="DE272" s="183"/>
      <c r="DF272" s="183"/>
      <c r="DG272" s="183"/>
      <c r="DH272" s="183"/>
      <c r="DI272" s="183"/>
      <c r="DJ272" s="183"/>
      <c r="DK272" s="183"/>
      <c r="DL272" s="183"/>
      <c r="DM272" s="183"/>
      <c r="DN272" s="183"/>
      <c r="DO272" s="183"/>
      <c r="DP272" s="183"/>
      <c r="DQ272" s="183"/>
      <c r="DR272" s="183"/>
      <c r="DS272" s="183"/>
      <c r="DT272" s="183"/>
      <c r="DU272" s="183"/>
      <c r="DV272" s="183"/>
      <c r="DW272" s="183"/>
      <c r="DX272" s="183"/>
      <c r="DY272" s="183"/>
      <c r="DZ272" s="183"/>
      <c r="EA272" s="183"/>
      <c r="EB272" s="183"/>
      <c r="EC272" s="183"/>
      <c r="ED272" s="183"/>
      <c r="EE272" s="183"/>
      <c r="EF272" s="183"/>
      <c r="EG272" s="183"/>
      <c r="EH272" s="183"/>
      <c r="EI272" s="183"/>
      <c r="EJ272" s="183"/>
      <c r="EK272" s="183"/>
      <c r="EL272" s="183"/>
      <c r="EM272" s="183"/>
      <c r="EN272" s="183"/>
      <c r="EO272" s="183"/>
      <c r="EP272" s="183"/>
      <c r="EQ272" s="183"/>
      <c r="ER272" s="183"/>
      <c r="ES272" s="183"/>
      <c r="ET272" s="183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</row>
    <row r="273" spans="1:258" ht="13.5" customHeight="1">
      <c r="A273" s="49"/>
      <c r="B273" s="2"/>
      <c r="C273" s="2"/>
      <c r="D273" s="2"/>
      <c r="E273" s="2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  <c r="AL273" s="183"/>
      <c r="AM273" s="183"/>
      <c r="AN273" s="183"/>
      <c r="AO273" s="183"/>
      <c r="AP273" s="183"/>
      <c r="AQ273" s="183"/>
      <c r="AR273" s="183"/>
      <c r="AS273" s="183"/>
      <c r="AT273" s="183"/>
      <c r="AU273" s="183"/>
      <c r="AV273" s="183"/>
      <c r="AW273" s="183"/>
      <c r="AX273" s="183"/>
      <c r="AY273" s="183"/>
      <c r="AZ273" s="183"/>
      <c r="BA273" s="183"/>
      <c r="BB273" s="183"/>
      <c r="BC273" s="183"/>
      <c r="BD273" s="183"/>
      <c r="BE273" s="183"/>
      <c r="BF273" s="183"/>
      <c r="BG273" s="183"/>
      <c r="BH273" s="183"/>
      <c r="BI273" s="183"/>
      <c r="BJ273" s="183"/>
      <c r="BK273" s="183"/>
      <c r="BL273" s="183"/>
      <c r="BM273" s="183"/>
      <c r="BN273" s="183"/>
      <c r="BO273" s="183"/>
      <c r="BP273" s="183"/>
      <c r="BQ273" s="183"/>
      <c r="BR273" s="183"/>
      <c r="BS273" s="183"/>
      <c r="BT273" s="183"/>
      <c r="BU273" s="183"/>
      <c r="BV273" s="183"/>
      <c r="BW273" s="183"/>
      <c r="BX273" s="183"/>
      <c r="BY273" s="183"/>
      <c r="BZ273" s="183"/>
      <c r="CA273" s="183"/>
      <c r="CB273" s="183"/>
      <c r="CC273" s="183"/>
      <c r="CD273" s="183"/>
      <c r="CE273" s="183"/>
      <c r="CF273" s="183"/>
      <c r="CG273" s="183"/>
      <c r="CH273" s="183"/>
      <c r="CI273" s="183"/>
      <c r="CJ273" s="183"/>
      <c r="CK273" s="183"/>
      <c r="CL273" s="183"/>
      <c r="CM273" s="183"/>
      <c r="CN273" s="183"/>
      <c r="CO273" s="183"/>
      <c r="CP273" s="183"/>
      <c r="CQ273" s="183"/>
      <c r="CR273" s="183"/>
      <c r="CS273" s="183"/>
      <c r="CT273" s="183"/>
      <c r="CU273" s="183"/>
      <c r="CV273" s="183"/>
      <c r="CW273" s="183"/>
      <c r="CX273" s="183"/>
      <c r="CY273" s="183"/>
      <c r="CZ273" s="183"/>
      <c r="DA273" s="183"/>
      <c r="DB273" s="183"/>
      <c r="DC273" s="183"/>
      <c r="DD273" s="183"/>
      <c r="DE273" s="183"/>
      <c r="DF273" s="183"/>
      <c r="DG273" s="183"/>
      <c r="DH273" s="183"/>
      <c r="DI273" s="183"/>
      <c r="DJ273" s="183"/>
      <c r="DK273" s="183"/>
      <c r="DL273" s="183"/>
      <c r="DM273" s="183"/>
      <c r="DN273" s="183"/>
      <c r="DO273" s="183"/>
      <c r="DP273" s="183"/>
      <c r="DQ273" s="183"/>
      <c r="DR273" s="183"/>
      <c r="DS273" s="183"/>
      <c r="DT273" s="183"/>
      <c r="DU273" s="183"/>
      <c r="DV273" s="183"/>
      <c r="DW273" s="183"/>
      <c r="DX273" s="183"/>
      <c r="DY273" s="183"/>
      <c r="DZ273" s="183"/>
      <c r="EA273" s="183"/>
      <c r="EB273" s="183"/>
      <c r="EC273" s="183"/>
      <c r="ED273" s="183"/>
      <c r="EE273" s="183"/>
      <c r="EF273" s="183"/>
      <c r="EG273" s="183"/>
      <c r="EH273" s="183"/>
      <c r="EI273" s="183"/>
      <c r="EJ273" s="183"/>
      <c r="EK273" s="183"/>
      <c r="EL273" s="183"/>
      <c r="EM273" s="183"/>
      <c r="EN273" s="183"/>
      <c r="EO273" s="183"/>
      <c r="EP273" s="183"/>
      <c r="EQ273" s="183"/>
      <c r="ER273" s="183"/>
      <c r="ES273" s="183"/>
      <c r="ET273" s="183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</row>
    <row r="274" spans="1:258" ht="13.5" customHeight="1">
      <c r="A274" s="49"/>
      <c r="B274" s="2"/>
      <c r="C274" s="2"/>
      <c r="D274" s="2"/>
      <c r="E274" s="2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183"/>
      <c r="AK274" s="183"/>
      <c r="AL274" s="183"/>
      <c r="AM274" s="183"/>
      <c r="AN274" s="183"/>
      <c r="AO274" s="183"/>
      <c r="AP274" s="183"/>
      <c r="AQ274" s="183"/>
      <c r="AR274" s="183"/>
      <c r="AS274" s="183"/>
      <c r="AT274" s="183"/>
      <c r="AU274" s="183"/>
      <c r="AV274" s="183"/>
      <c r="AW274" s="183"/>
      <c r="AX274" s="183"/>
      <c r="AY274" s="183"/>
      <c r="AZ274" s="183"/>
      <c r="BA274" s="183"/>
      <c r="BB274" s="183"/>
      <c r="BC274" s="183"/>
      <c r="BD274" s="183"/>
      <c r="BE274" s="183"/>
      <c r="BF274" s="183"/>
      <c r="BG274" s="183"/>
      <c r="BH274" s="183"/>
      <c r="BI274" s="183"/>
      <c r="BJ274" s="183"/>
      <c r="BK274" s="183"/>
      <c r="BL274" s="183"/>
      <c r="BM274" s="183"/>
      <c r="BN274" s="183"/>
      <c r="BO274" s="183"/>
      <c r="BP274" s="183"/>
      <c r="BQ274" s="183"/>
      <c r="BR274" s="183"/>
      <c r="BS274" s="183"/>
      <c r="BT274" s="183"/>
      <c r="BU274" s="183"/>
      <c r="BV274" s="183"/>
      <c r="BW274" s="183"/>
      <c r="BX274" s="183"/>
      <c r="BY274" s="183"/>
      <c r="BZ274" s="183"/>
      <c r="CA274" s="183"/>
      <c r="CB274" s="183"/>
      <c r="CC274" s="183"/>
      <c r="CD274" s="183"/>
      <c r="CE274" s="183"/>
      <c r="CF274" s="183"/>
      <c r="CG274" s="183"/>
      <c r="CH274" s="183"/>
      <c r="CI274" s="183"/>
      <c r="CJ274" s="183"/>
      <c r="CK274" s="183"/>
      <c r="CL274" s="183"/>
      <c r="CM274" s="183"/>
      <c r="CN274" s="183"/>
      <c r="CO274" s="183"/>
      <c r="CP274" s="183"/>
      <c r="CQ274" s="183"/>
      <c r="CR274" s="183"/>
      <c r="CS274" s="183"/>
      <c r="CT274" s="183"/>
      <c r="CU274" s="183"/>
      <c r="CV274" s="183"/>
      <c r="CW274" s="183"/>
      <c r="CX274" s="183"/>
      <c r="CY274" s="183"/>
      <c r="CZ274" s="183"/>
      <c r="DA274" s="183"/>
      <c r="DB274" s="183"/>
      <c r="DC274" s="183"/>
      <c r="DD274" s="183"/>
      <c r="DE274" s="183"/>
      <c r="DF274" s="183"/>
      <c r="DG274" s="183"/>
      <c r="DH274" s="183"/>
      <c r="DI274" s="183"/>
      <c r="DJ274" s="183"/>
      <c r="DK274" s="183"/>
      <c r="DL274" s="183"/>
      <c r="DM274" s="183"/>
      <c r="DN274" s="183"/>
      <c r="DO274" s="183"/>
      <c r="DP274" s="183"/>
      <c r="DQ274" s="183"/>
      <c r="DR274" s="183"/>
      <c r="DS274" s="183"/>
      <c r="DT274" s="183"/>
      <c r="DU274" s="183"/>
      <c r="DV274" s="183"/>
      <c r="DW274" s="183"/>
      <c r="DX274" s="183"/>
      <c r="DY274" s="183"/>
      <c r="DZ274" s="183"/>
      <c r="EA274" s="183"/>
      <c r="EB274" s="183"/>
      <c r="EC274" s="183"/>
      <c r="ED274" s="183"/>
      <c r="EE274" s="183"/>
      <c r="EF274" s="183"/>
      <c r="EG274" s="183"/>
      <c r="EH274" s="183"/>
      <c r="EI274" s="183"/>
      <c r="EJ274" s="183"/>
      <c r="EK274" s="183"/>
      <c r="EL274" s="183"/>
      <c r="EM274" s="183"/>
      <c r="EN274" s="183"/>
      <c r="EO274" s="183"/>
      <c r="EP274" s="183"/>
      <c r="EQ274" s="183"/>
      <c r="ER274" s="183"/>
      <c r="ES274" s="183"/>
      <c r="ET274" s="183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</row>
    <row r="275" spans="1:258" ht="13.5" customHeight="1">
      <c r="A275" s="49"/>
      <c r="B275" s="2"/>
      <c r="C275" s="2"/>
      <c r="D275" s="2"/>
      <c r="E275" s="2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183"/>
      <c r="AK275" s="183"/>
      <c r="AL275" s="183"/>
      <c r="AM275" s="183"/>
      <c r="AN275" s="183"/>
      <c r="AO275" s="183"/>
      <c r="AP275" s="183"/>
      <c r="AQ275" s="183"/>
      <c r="AR275" s="183"/>
      <c r="AS275" s="183"/>
      <c r="AT275" s="183"/>
      <c r="AU275" s="183"/>
      <c r="AV275" s="183"/>
      <c r="AW275" s="183"/>
      <c r="AX275" s="183"/>
      <c r="AY275" s="183"/>
      <c r="AZ275" s="183"/>
      <c r="BA275" s="183"/>
      <c r="BB275" s="183"/>
      <c r="BC275" s="183"/>
      <c r="BD275" s="183"/>
      <c r="BE275" s="183"/>
      <c r="BF275" s="183"/>
      <c r="BG275" s="183"/>
      <c r="BH275" s="183"/>
      <c r="BI275" s="183"/>
      <c r="BJ275" s="183"/>
      <c r="BK275" s="183"/>
      <c r="BL275" s="183"/>
      <c r="BM275" s="183"/>
      <c r="BN275" s="183"/>
      <c r="BO275" s="183"/>
      <c r="BP275" s="183"/>
      <c r="BQ275" s="183"/>
      <c r="BR275" s="183"/>
      <c r="BS275" s="183"/>
      <c r="BT275" s="183"/>
      <c r="BU275" s="183"/>
      <c r="BV275" s="183"/>
      <c r="BW275" s="183"/>
      <c r="BX275" s="183"/>
      <c r="BY275" s="183"/>
      <c r="BZ275" s="183"/>
      <c r="CA275" s="183"/>
      <c r="CB275" s="183"/>
      <c r="CC275" s="183"/>
      <c r="CD275" s="183"/>
      <c r="CE275" s="183"/>
      <c r="CF275" s="183"/>
      <c r="CG275" s="183"/>
      <c r="CH275" s="183"/>
      <c r="CI275" s="183"/>
      <c r="CJ275" s="183"/>
      <c r="CK275" s="183"/>
      <c r="CL275" s="183"/>
      <c r="CM275" s="183"/>
      <c r="CN275" s="183"/>
      <c r="CO275" s="183"/>
      <c r="CP275" s="183"/>
      <c r="CQ275" s="183"/>
      <c r="CR275" s="183"/>
      <c r="CS275" s="183"/>
      <c r="CT275" s="183"/>
      <c r="CU275" s="183"/>
      <c r="CV275" s="183"/>
      <c r="CW275" s="183"/>
      <c r="CX275" s="183"/>
      <c r="CY275" s="183"/>
      <c r="CZ275" s="183"/>
      <c r="DA275" s="183"/>
      <c r="DB275" s="183"/>
      <c r="DC275" s="183"/>
      <c r="DD275" s="183"/>
      <c r="DE275" s="183"/>
      <c r="DF275" s="183"/>
      <c r="DG275" s="183"/>
      <c r="DH275" s="183"/>
      <c r="DI275" s="183"/>
      <c r="DJ275" s="183"/>
      <c r="DK275" s="183"/>
      <c r="DL275" s="183"/>
      <c r="DM275" s="183"/>
      <c r="DN275" s="183"/>
      <c r="DO275" s="183"/>
      <c r="DP275" s="183"/>
      <c r="DQ275" s="183"/>
      <c r="DR275" s="183"/>
      <c r="DS275" s="183"/>
      <c r="DT275" s="183"/>
      <c r="DU275" s="183"/>
      <c r="DV275" s="183"/>
      <c r="DW275" s="183"/>
      <c r="DX275" s="183"/>
      <c r="DY275" s="183"/>
      <c r="DZ275" s="183"/>
      <c r="EA275" s="183"/>
      <c r="EB275" s="183"/>
      <c r="EC275" s="183"/>
      <c r="ED275" s="183"/>
      <c r="EE275" s="183"/>
      <c r="EF275" s="183"/>
      <c r="EG275" s="183"/>
      <c r="EH275" s="183"/>
      <c r="EI275" s="183"/>
      <c r="EJ275" s="183"/>
      <c r="EK275" s="183"/>
      <c r="EL275" s="183"/>
      <c r="EM275" s="183"/>
      <c r="EN275" s="183"/>
      <c r="EO275" s="183"/>
      <c r="EP275" s="183"/>
      <c r="EQ275" s="183"/>
      <c r="ER275" s="183"/>
      <c r="ES275" s="183"/>
      <c r="ET275" s="183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</row>
    <row r="276" spans="1:258" ht="13.5" customHeight="1">
      <c r="A276" s="49"/>
      <c r="B276" s="2"/>
      <c r="C276" s="2"/>
      <c r="D276" s="2"/>
      <c r="E276" s="2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  <c r="AC276" s="183"/>
      <c r="AD276" s="183"/>
      <c r="AE276" s="183"/>
      <c r="AF276" s="183"/>
      <c r="AG276" s="183"/>
      <c r="AH276" s="183"/>
      <c r="AI276" s="183"/>
      <c r="AJ276" s="183"/>
      <c r="AK276" s="183"/>
      <c r="AL276" s="183"/>
      <c r="AM276" s="183"/>
      <c r="AN276" s="183"/>
      <c r="AO276" s="183"/>
      <c r="AP276" s="183"/>
      <c r="AQ276" s="183"/>
      <c r="AR276" s="183"/>
      <c r="AS276" s="183"/>
      <c r="AT276" s="183"/>
      <c r="AU276" s="183"/>
      <c r="AV276" s="183"/>
      <c r="AW276" s="183"/>
      <c r="AX276" s="183"/>
      <c r="AY276" s="183"/>
      <c r="AZ276" s="183"/>
      <c r="BA276" s="183"/>
      <c r="BB276" s="183"/>
      <c r="BC276" s="183"/>
      <c r="BD276" s="183"/>
      <c r="BE276" s="183"/>
      <c r="BF276" s="183"/>
      <c r="BG276" s="183"/>
      <c r="BH276" s="183"/>
      <c r="BI276" s="183"/>
      <c r="BJ276" s="183"/>
      <c r="BK276" s="183"/>
      <c r="BL276" s="183"/>
      <c r="BM276" s="183"/>
      <c r="BN276" s="183"/>
      <c r="BO276" s="183"/>
      <c r="BP276" s="183"/>
      <c r="BQ276" s="183"/>
      <c r="BR276" s="183"/>
      <c r="BS276" s="183"/>
      <c r="BT276" s="183"/>
      <c r="BU276" s="183"/>
      <c r="BV276" s="183"/>
      <c r="BW276" s="183"/>
      <c r="BX276" s="183"/>
      <c r="BY276" s="183"/>
      <c r="BZ276" s="183"/>
      <c r="CA276" s="183"/>
      <c r="CB276" s="183"/>
      <c r="CC276" s="183"/>
      <c r="CD276" s="183"/>
      <c r="CE276" s="183"/>
      <c r="CF276" s="183"/>
      <c r="CG276" s="183"/>
      <c r="CH276" s="183"/>
      <c r="CI276" s="183"/>
      <c r="CJ276" s="183"/>
      <c r="CK276" s="183"/>
      <c r="CL276" s="183"/>
      <c r="CM276" s="183"/>
      <c r="CN276" s="183"/>
      <c r="CO276" s="183"/>
      <c r="CP276" s="183"/>
      <c r="CQ276" s="183"/>
      <c r="CR276" s="183"/>
      <c r="CS276" s="183"/>
      <c r="CT276" s="183"/>
      <c r="CU276" s="183"/>
      <c r="CV276" s="183"/>
      <c r="CW276" s="183"/>
      <c r="CX276" s="183"/>
      <c r="CY276" s="183"/>
      <c r="CZ276" s="183"/>
      <c r="DA276" s="183"/>
      <c r="DB276" s="183"/>
      <c r="DC276" s="183"/>
      <c r="DD276" s="183"/>
      <c r="DE276" s="183"/>
      <c r="DF276" s="183"/>
      <c r="DG276" s="183"/>
      <c r="DH276" s="183"/>
      <c r="DI276" s="183"/>
      <c r="DJ276" s="183"/>
      <c r="DK276" s="183"/>
      <c r="DL276" s="183"/>
      <c r="DM276" s="183"/>
      <c r="DN276" s="183"/>
      <c r="DO276" s="183"/>
      <c r="DP276" s="183"/>
      <c r="DQ276" s="183"/>
      <c r="DR276" s="183"/>
      <c r="DS276" s="183"/>
      <c r="DT276" s="183"/>
      <c r="DU276" s="183"/>
      <c r="DV276" s="183"/>
      <c r="DW276" s="183"/>
      <c r="DX276" s="183"/>
      <c r="DY276" s="183"/>
      <c r="DZ276" s="183"/>
      <c r="EA276" s="183"/>
      <c r="EB276" s="183"/>
      <c r="EC276" s="183"/>
      <c r="ED276" s="183"/>
      <c r="EE276" s="183"/>
      <c r="EF276" s="183"/>
      <c r="EG276" s="183"/>
      <c r="EH276" s="183"/>
      <c r="EI276" s="183"/>
      <c r="EJ276" s="183"/>
      <c r="EK276" s="183"/>
      <c r="EL276" s="183"/>
      <c r="EM276" s="183"/>
      <c r="EN276" s="183"/>
      <c r="EO276" s="183"/>
      <c r="EP276" s="183"/>
      <c r="EQ276" s="183"/>
      <c r="ER276" s="183"/>
      <c r="ES276" s="183"/>
      <c r="ET276" s="183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</row>
    <row r="277" spans="1:258" ht="13.5" customHeight="1">
      <c r="A277" s="49"/>
      <c r="B277" s="2"/>
      <c r="C277" s="2"/>
      <c r="D277" s="2"/>
      <c r="E277" s="2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  <c r="AC277" s="183"/>
      <c r="AD277" s="183"/>
      <c r="AE277" s="183"/>
      <c r="AF277" s="183"/>
      <c r="AG277" s="183"/>
      <c r="AH277" s="183"/>
      <c r="AI277" s="183"/>
      <c r="AJ277" s="183"/>
      <c r="AK277" s="183"/>
      <c r="AL277" s="183"/>
      <c r="AM277" s="183"/>
      <c r="AN277" s="183"/>
      <c r="AO277" s="183"/>
      <c r="AP277" s="183"/>
      <c r="AQ277" s="183"/>
      <c r="AR277" s="183"/>
      <c r="AS277" s="183"/>
      <c r="AT277" s="183"/>
      <c r="AU277" s="183"/>
      <c r="AV277" s="183"/>
      <c r="AW277" s="183"/>
      <c r="AX277" s="183"/>
      <c r="AY277" s="183"/>
      <c r="AZ277" s="183"/>
      <c r="BA277" s="183"/>
      <c r="BB277" s="183"/>
      <c r="BC277" s="183"/>
      <c r="BD277" s="183"/>
      <c r="BE277" s="183"/>
      <c r="BF277" s="183"/>
      <c r="BG277" s="183"/>
      <c r="BH277" s="183"/>
      <c r="BI277" s="183"/>
      <c r="BJ277" s="183"/>
      <c r="BK277" s="183"/>
      <c r="BL277" s="183"/>
      <c r="BM277" s="183"/>
      <c r="BN277" s="183"/>
      <c r="BO277" s="183"/>
      <c r="BP277" s="183"/>
      <c r="BQ277" s="183"/>
      <c r="BR277" s="183"/>
      <c r="BS277" s="183"/>
      <c r="BT277" s="183"/>
      <c r="BU277" s="183"/>
      <c r="BV277" s="183"/>
      <c r="BW277" s="183"/>
      <c r="BX277" s="183"/>
      <c r="BY277" s="183"/>
      <c r="BZ277" s="183"/>
      <c r="CA277" s="183"/>
      <c r="CB277" s="183"/>
      <c r="CC277" s="183"/>
      <c r="CD277" s="183"/>
      <c r="CE277" s="183"/>
      <c r="CF277" s="183"/>
      <c r="CG277" s="183"/>
      <c r="CH277" s="183"/>
      <c r="CI277" s="183"/>
      <c r="CJ277" s="183"/>
      <c r="CK277" s="183"/>
      <c r="CL277" s="183"/>
      <c r="CM277" s="183"/>
      <c r="CN277" s="183"/>
      <c r="CO277" s="183"/>
      <c r="CP277" s="183"/>
      <c r="CQ277" s="183"/>
      <c r="CR277" s="183"/>
      <c r="CS277" s="183"/>
      <c r="CT277" s="183"/>
      <c r="CU277" s="183"/>
      <c r="CV277" s="183"/>
      <c r="CW277" s="183"/>
      <c r="CX277" s="183"/>
      <c r="CY277" s="183"/>
      <c r="CZ277" s="183"/>
      <c r="DA277" s="183"/>
      <c r="DB277" s="183"/>
      <c r="DC277" s="183"/>
      <c r="DD277" s="183"/>
      <c r="DE277" s="183"/>
      <c r="DF277" s="183"/>
      <c r="DG277" s="183"/>
      <c r="DH277" s="183"/>
      <c r="DI277" s="183"/>
      <c r="DJ277" s="183"/>
      <c r="DK277" s="183"/>
      <c r="DL277" s="183"/>
      <c r="DM277" s="183"/>
      <c r="DN277" s="183"/>
      <c r="DO277" s="183"/>
      <c r="DP277" s="183"/>
      <c r="DQ277" s="183"/>
      <c r="DR277" s="183"/>
      <c r="DS277" s="183"/>
      <c r="DT277" s="183"/>
      <c r="DU277" s="183"/>
      <c r="DV277" s="183"/>
      <c r="DW277" s="183"/>
      <c r="DX277" s="183"/>
      <c r="DY277" s="183"/>
      <c r="DZ277" s="183"/>
      <c r="EA277" s="183"/>
      <c r="EB277" s="183"/>
      <c r="EC277" s="183"/>
      <c r="ED277" s="183"/>
      <c r="EE277" s="183"/>
      <c r="EF277" s="183"/>
      <c r="EG277" s="183"/>
      <c r="EH277" s="183"/>
      <c r="EI277" s="183"/>
      <c r="EJ277" s="183"/>
      <c r="EK277" s="183"/>
      <c r="EL277" s="183"/>
      <c r="EM277" s="183"/>
      <c r="EN277" s="183"/>
      <c r="EO277" s="183"/>
      <c r="EP277" s="183"/>
      <c r="EQ277" s="183"/>
      <c r="ER277" s="183"/>
      <c r="ES277" s="183"/>
      <c r="ET277" s="183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</row>
    <row r="278" spans="1:258" ht="13.5" customHeight="1">
      <c r="A278" s="49"/>
      <c r="B278" s="2"/>
      <c r="C278" s="2"/>
      <c r="D278" s="2"/>
      <c r="E278" s="2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  <c r="AA278" s="183"/>
      <c r="AB278" s="183"/>
      <c r="AC278" s="183"/>
      <c r="AD278" s="183"/>
      <c r="AE278" s="183"/>
      <c r="AF278" s="183"/>
      <c r="AG278" s="183"/>
      <c r="AH278" s="183"/>
      <c r="AI278" s="183"/>
      <c r="AJ278" s="183"/>
      <c r="AK278" s="183"/>
      <c r="AL278" s="183"/>
      <c r="AM278" s="183"/>
      <c r="AN278" s="183"/>
      <c r="AO278" s="183"/>
      <c r="AP278" s="183"/>
      <c r="AQ278" s="183"/>
      <c r="AR278" s="183"/>
      <c r="AS278" s="183"/>
      <c r="AT278" s="183"/>
      <c r="AU278" s="183"/>
      <c r="AV278" s="183"/>
      <c r="AW278" s="183"/>
      <c r="AX278" s="183"/>
      <c r="AY278" s="183"/>
      <c r="AZ278" s="183"/>
      <c r="BA278" s="183"/>
      <c r="BB278" s="183"/>
      <c r="BC278" s="183"/>
      <c r="BD278" s="183"/>
      <c r="BE278" s="183"/>
      <c r="BF278" s="183"/>
      <c r="BG278" s="183"/>
      <c r="BH278" s="183"/>
      <c r="BI278" s="183"/>
      <c r="BJ278" s="183"/>
      <c r="BK278" s="183"/>
      <c r="BL278" s="183"/>
      <c r="BM278" s="183"/>
      <c r="BN278" s="183"/>
      <c r="BO278" s="183"/>
      <c r="BP278" s="183"/>
      <c r="BQ278" s="183"/>
      <c r="BR278" s="183"/>
      <c r="BS278" s="183"/>
      <c r="BT278" s="183"/>
      <c r="BU278" s="183"/>
      <c r="BV278" s="183"/>
      <c r="BW278" s="183"/>
      <c r="BX278" s="183"/>
      <c r="BY278" s="183"/>
      <c r="BZ278" s="183"/>
      <c r="CA278" s="183"/>
      <c r="CB278" s="183"/>
      <c r="CC278" s="183"/>
      <c r="CD278" s="183"/>
      <c r="CE278" s="183"/>
      <c r="CF278" s="183"/>
      <c r="CG278" s="183"/>
      <c r="CH278" s="183"/>
      <c r="CI278" s="183"/>
      <c r="CJ278" s="183"/>
      <c r="CK278" s="183"/>
      <c r="CL278" s="183"/>
      <c r="CM278" s="183"/>
      <c r="CN278" s="183"/>
      <c r="CO278" s="183"/>
      <c r="CP278" s="183"/>
      <c r="CQ278" s="183"/>
      <c r="CR278" s="183"/>
      <c r="CS278" s="183"/>
      <c r="CT278" s="183"/>
      <c r="CU278" s="183"/>
      <c r="CV278" s="183"/>
      <c r="CW278" s="183"/>
      <c r="CX278" s="183"/>
      <c r="CY278" s="183"/>
      <c r="CZ278" s="183"/>
      <c r="DA278" s="183"/>
      <c r="DB278" s="183"/>
      <c r="DC278" s="183"/>
      <c r="DD278" s="183"/>
      <c r="DE278" s="183"/>
      <c r="DF278" s="183"/>
      <c r="DG278" s="183"/>
      <c r="DH278" s="183"/>
      <c r="DI278" s="183"/>
      <c r="DJ278" s="183"/>
      <c r="DK278" s="183"/>
      <c r="DL278" s="183"/>
      <c r="DM278" s="183"/>
      <c r="DN278" s="183"/>
      <c r="DO278" s="183"/>
      <c r="DP278" s="183"/>
      <c r="DQ278" s="183"/>
      <c r="DR278" s="183"/>
      <c r="DS278" s="183"/>
      <c r="DT278" s="183"/>
      <c r="DU278" s="183"/>
      <c r="DV278" s="183"/>
      <c r="DW278" s="183"/>
      <c r="DX278" s="183"/>
      <c r="DY278" s="183"/>
      <c r="DZ278" s="183"/>
      <c r="EA278" s="183"/>
      <c r="EB278" s="183"/>
      <c r="EC278" s="183"/>
      <c r="ED278" s="183"/>
      <c r="EE278" s="183"/>
      <c r="EF278" s="183"/>
      <c r="EG278" s="183"/>
      <c r="EH278" s="183"/>
      <c r="EI278" s="183"/>
      <c r="EJ278" s="183"/>
      <c r="EK278" s="183"/>
      <c r="EL278" s="183"/>
      <c r="EM278" s="183"/>
      <c r="EN278" s="183"/>
      <c r="EO278" s="183"/>
      <c r="EP278" s="183"/>
      <c r="EQ278" s="183"/>
      <c r="ER278" s="183"/>
      <c r="ES278" s="183"/>
      <c r="ET278" s="183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</row>
    <row r="279" spans="1:258" ht="13.5" customHeight="1">
      <c r="A279" s="49"/>
      <c r="B279" s="2"/>
      <c r="C279" s="2"/>
      <c r="D279" s="2"/>
      <c r="E279" s="2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  <c r="AA279" s="183"/>
      <c r="AB279" s="183"/>
      <c r="AC279" s="183"/>
      <c r="AD279" s="183"/>
      <c r="AE279" s="183"/>
      <c r="AF279" s="183"/>
      <c r="AG279" s="183"/>
      <c r="AH279" s="183"/>
      <c r="AI279" s="183"/>
      <c r="AJ279" s="183"/>
      <c r="AK279" s="183"/>
      <c r="AL279" s="183"/>
      <c r="AM279" s="183"/>
      <c r="AN279" s="183"/>
      <c r="AO279" s="183"/>
      <c r="AP279" s="183"/>
      <c r="AQ279" s="183"/>
      <c r="AR279" s="183"/>
      <c r="AS279" s="183"/>
      <c r="AT279" s="183"/>
      <c r="AU279" s="183"/>
      <c r="AV279" s="183"/>
      <c r="AW279" s="183"/>
      <c r="AX279" s="183"/>
      <c r="AY279" s="183"/>
      <c r="AZ279" s="183"/>
      <c r="BA279" s="183"/>
      <c r="BB279" s="183"/>
      <c r="BC279" s="183"/>
      <c r="BD279" s="183"/>
      <c r="BE279" s="183"/>
      <c r="BF279" s="183"/>
      <c r="BG279" s="183"/>
      <c r="BH279" s="183"/>
      <c r="BI279" s="183"/>
      <c r="BJ279" s="183"/>
      <c r="BK279" s="183"/>
      <c r="BL279" s="183"/>
      <c r="BM279" s="183"/>
      <c r="BN279" s="183"/>
      <c r="BO279" s="183"/>
      <c r="BP279" s="183"/>
      <c r="BQ279" s="183"/>
      <c r="BR279" s="183"/>
      <c r="BS279" s="183"/>
      <c r="BT279" s="183"/>
      <c r="BU279" s="183"/>
      <c r="BV279" s="183"/>
      <c r="BW279" s="183"/>
      <c r="BX279" s="183"/>
      <c r="BY279" s="183"/>
      <c r="BZ279" s="183"/>
      <c r="CA279" s="183"/>
      <c r="CB279" s="183"/>
      <c r="CC279" s="183"/>
      <c r="CD279" s="183"/>
      <c r="CE279" s="183"/>
      <c r="CF279" s="183"/>
      <c r="CG279" s="183"/>
      <c r="CH279" s="183"/>
      <c r="CI279" s="183"/>
      <c r="CJ279" s="183"/>
      <c r="CK279" s="183"/>
      <c r="CL279" s="183"/>
      <c r="CM279" s="183"/>
      <c r="CN279" s="183"/>
      <c r="CO279" s="183"/>
      <c r="CP279" s="183"/>
      <c r="CQ279" s="183"/>
      <c r="CR279" s="183"/>
      <c r="CS279" s="183"/>
      <c r="CT279" s="183"/>
      <c r="CU279" s="183"/>
      <c r="CV279" s="183"/>
      <c r="CW279" s="183"/>
      <c r="CX279" s="183"/>
      <c r="CY279" s="183"/>
      <c r="CZ279" s="183"/>
      <c r="DA279" s="183"/>
      <c r="DB279" s="183"/>
      <c r="DC279" s="183"/>
      <c r="DD279" s="183"/>
      <c r="DE279" s="183"/>
      <c r="DF279" s="183"/>
      <c r="DG279" s="183"/>
      <c r="DH279" s="183"/>
      <c r="DI279" s="183"/>
      <c r="DJ279" s="183"/>
      <c r="DK279" s="183"/>
      <c r="DL279" s="183"/>
      <c r="DM279" s="183"/>
      <c r="DN279" s="183"/>
      <c r="DO279" s="183"/>
      <c r="DP279" s="183"/>
      <c r="DQ279" s="183"/>
      <c r="DR279" s="183"/>
      <c r="DS279" s="183"/>
      <c r="DT279" s="183"/>
      <c r="DU279" s="183"/>
      <c r="DV279" s="183"/>
      <c r="DW279" s="183"/>
      <c r="DX279" s="183"/>
      <c r="DY279" s="183"/>
      <c r="DZ279" s="183"/>
      <c r="EA279" s="183"/>
      <c r="EB279" s="183"/>
      <c r="EC279" s="183"/>
      <c r="ED279" s="183"/>
      <c r="EE279" s="183"/>
      <c r="EF279" s="183"/>
      <c r="EG279" s="183"/>
      <c r="EH279" s="183"/>
      <c r="EI279" s="183"/>
      <c r="EJ279" s="183"/>
      <c r="EK279" s="183"/>
      <c r="EL279" s="183"/>
      <c r="EM279" s="183"/>
      <c r="EN279" s="183"/>
      <c r="EO279" s="183"/>
      <c r="EP279" s="183"/>
      <c r="EQ279" s="183"/>
      <c r="ER279" s="183"/>
      <c r="ES279" s="183"/>
      <c r="ET279" s="183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</row>
    <row r="280" spans="1:258" ht="13.5" customHeight="1">
      <c r="A280" s="49"/>
      <c r="B280" s="2"/>
      <c r="C280" s="2"/>
      <c r="D280" s="2"/>
      <c r="E280" s="2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  <c r="AA280" s="183"/>
      <c r="AB280" s="183"/>
      <c r="AC280" s="183"/>
      <c r="AD280" s="183"/>
      <c r="AE280" s="183"/>
      <c r="AF280" s="183"/>
      <c r="AG280" s="183"/>
      <c r="AH280" s="183"/>
      <c r="AI280" s="183"/>
      <c r="AJ280" s="183"/>
      <c r="AK280" s="183"/>
      <c r="AL280" s="183"/>
      <c r="AM280" s="183"/>
      <c r="AN280" s="183"/>
      <c r="AO280" s="183"/>
      <c r="AP280" s="183"/>
      <c r="AQ280" s="183"/>
      <c r="AR280" s="183"/>
      <c r="AS280" s="183"/>
      <c r="AT280" s="183"/>
      <c r="AU280" s="183"/>
      <c r="AV280" s="183"/>
      <c r="AW280" s="183"/>
      <c r="AX280" s="183"/>
      <c r="AY280" s="183"/>
      <c r="AZ280" s="183"/>
      <c r="BA280" s="183"/>
      <c r="BB280" s="183"/>
      <c r="BC280" s="183"/>
      <c r="BD280" s="183"/>
      <c r="BE280" s="183"/>
      <c r="BF280" s="183"/>
      <c r="BG280" s="183"/>
      <c r="BH280" s="183"/>
      <c r="BI280" s="183"/>
      <c r="BJ280" s="183"/>
      <c r="BK280" s="183"/>
      <c r="BL280" s="183"/>
      <c r="BM280" s="183"/>
      <c r="BN280" s="183"/>
      <c r="BO280" s="183"/>
      <c r="BP280" s="183"/>
      <c r="BQ280" s="183"/>
      <c r="BR280" s="183"/>
      <c r="BS280" s="183"/>
      <c r="BT280" s="183"/>
      <c r="BU280" s="183"/>
      <c r="BV280" s="183"/>
      <c r="BW280" s="183"/>
      <c r="BX280" s="183"/>
      <c r="BY280" s="183"/>
      <c r="BZ280" s="183"/>
      <c r="CA280" s="183"/>
      <c r="CB280" s="183"/>
      <c r="CC280" s="183"/>
      <c r="CD280" s="183"/>
      <c r="CE280" s="183"/>
      <c r="CF280" s="183"/>
      <c r="CG280" s="183"/>
      <c r="CH280" s="183"/>
      <c r="CI280" s="183"/>
      <c r="CJ280" s="183"/>
      <c r="CK280" s="183"/>
      <c r="CL280" s="183"/>
      <c r="CM280" s="183"/>
      <c r="CN280" s="183"/>
      <c r="CO280" s="183"/>
      <c r="CP280" s="183"/>
      <c r="CQ280" s="183"/>
      <c r="CR280" s="183"/>
      <c r="CS280" s="183"/>
      <c r="CT280" s="183"/>
      <c r="CU280" s="183"/>
      <c r="CV280" s="183"/>
      <c r="CW280" s="183"/>
      <c r="CX280" s="183"/>
      <c r="CY280" s="183"/>
      <c r="CZ280" s="183"/>
      <c r="DA280" s="183"/>
      <c r="DB280" s="183"/>
      <c r="DC280" s="183"/>
      <c r="DD280" s="183"/>
      <c r="DE280" s="183"/>
      <c r="DF280" s="183"/>
      <c r="DG280" s="183"/>
      <c r="DH280" s="183"/>
      <c r="DI280" s="183"/>
      <c r="DJ280" s="183"/>
      <c r="DK280" s="183"/>
      <c r="DL280" s="183"/>
      <c r="DM280" s="183"/>
      <c r="DN280" s="183"/>
      <c r="DO280" s="183"/>
      <c r="DP280" s="183"/>
      <c r="DQ280" s="183"/>
      <c r="DR280" s="183"/>
      <c r="DS280" s="183"/>
      <c r="DT280" s="183"/>
      <c r="DU280" s="183"/>
      <c r="DV280" s="183"/>
      <c r="DW280" s="183"/>
      <c r="DX280" s="183"/>
      <c r="DY280" s="183"/>
      <c r="DZ280" s="183"/>
      <c r="EA280" s="183"/>
      <c r="EB280" s="183"/>
      <c r="EC280" s="183"/>
      <c r="ED280" s="183"/>
      <c r="EE280" s="183"/>
      <c r="EF280" s="183"/>
      <c r="EG280" s="183"/>
      <c r="EH280" s="183"/>
      <c r="EI280" s="183"/>
      <c r="EJ280" s="183"/>
      <c r="EK280" s="183"/>
      <c r="EL280" s="183"/>
      <c r="EM280" s="183"/>
      <c r="EN280" s="183"/>
      <c r="EO280" s="183"/>
      <c r="EP280" s="183"/>
      <c r="EQ280" s="183"/>
      <c r="ER280" s="183"/>
      <c r="ES280" s="183"/>
      <c r="ET280" s="183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</row>
  </sheetData>
  <mergeCells count="85">
    <mergeCell ref="HK4:HM4"/>
    <mergeCell ref="DD4:DF4"/>
    <mergeCell ref="FU4:FW4"/>
    <mergeCell ref="FF4:FH4"/>
    <mergeCell ref="HW4:HY4"/>
    <mergeCell ref="FR4:FT4"/>
    <mergeCell ref="A4:A5"/>
    <mergeCell ref="GJ4:GL4"/>
    <mergeCell ref="ET4:EV4"/>
    <mergeCell ref="U4:W4"/>
    <mergeCell ref="GV4:GX4"/>
    <mergeCell ref="AG4:AI4"/>
    <mergeCell ref="B4:B5"/>
    <mergeCell ref="CU4:CW4"/>
    <mergeCell ref="CO4:CQ4"/>
    <mergeCell ref="AY4:BA4"/>
    <mergeCell ref="BQ4:BS4"/>
    <mergeCell ref="DA4:DC4"/>
    <mergeCell ref="DS4:DU4"/>
    <mergeCell ref="FC4:FE4"/>
    <mergeCell ref="DM4:DO4"/>
    <mergeCell ref="FO4:FQ4"/>
    <mergeCell ref="IC4:IE4"/>
    <mergeCell ref="BT4:BV4"/>
    <mergeCell ref="CF4:CH4"/>
    <mergeCell ref="EH4:EJ4"/>
    <mergeCell ref="GY4:HA4"/>
    <mergeCell ref="HB4:HD4"/>
    <mergeCell ref="HH4:HJ4"/>
    <mergeCell ref="HT4:HV4"/>
    <mergeCell ref="HQ4:HS4"/>
    <mergeCell ref="BW4:BY4"/>
    <mergeCell ref="DY4:EA4"/>
    <mergeCell ref="GP4:GR4"/>
    <mergeCell ref="CI4:CK4"/>
    <mergeCell ref="EK4:EM4"/>
    <mergeCell ref="GM4:GO4"/>
    <mergeCell ref="BZ4:CB4"/>
    <mergeCell ref="HZ4:IB4"/>
    <mergeCell ref="GG4:GI4"/>
    <mergeCell ref="EQ4:ES4"/>
    <mergeCell ref="GS4:GU4"/>
    <mergeCell ref="F3:H3"/>
    <mergeCell ref="HE4:HG4"/>
    <mergeCell ref="HN4:HP4"/>
    <mergeCell ref="L4:N4"/>
    <mergeCell ref="BN4:BP4"/>
    <mergeCell ref="DJ4:DL4"/>
    <mergeCell ref="FL4:FN4"/>
    <mergeCell ref="BB4:BD4"/>
    <mergeCell ref="X4:Z4"/>
    <mergeCell ref="AJ4:AL4"/>
    <mergeCell ref="CL4:CN4"/>
    <mergeCell ref="DV4:DX4"/>
    <mergeCell ref="B1:B3"/>
    <mergeCell ref="R4:T4"/>
    <mergeCell ref="DP4:DR4"/>
    <mergeCell ref="C4:C5"/>
    <mergeCell ref="E4:E5"/>
    <mergeCell ref="AM4:AO4"/>
    <mergeCell ref="I4:K4"/>
    <mergeCell ref="D4:D5"/>
    <mergeCell ref="CX4:CZ4"/>
    <mergeCell ref="AD4:AF4"/>
    <mergeCell ref="F4:H4"/>
    <mergeCell ref="AP4:AR4"/>
    <mergeCell ref="BH4:BJ4"/>
    <mergeCell ref="CR4:CT4"/>
    <mergeCell ref="AS4:AU4"/>
    <mergeCell ref="BE4:BG4"/>
    <mergeCell ref="GD4:GF4"/>
    <mergeCell ref="EE4:EG4"/>
    <mergeCell ref="GA4:GC4"/>
    <mergeCell ref="EW4:EY4"/>
    <mergeCell ref="FI4:FK4"/>
    <mergeCell ref="FX4:FZ4"/>
    <mergeCell ref="EN4:EP4"/>
    <mergeCell ref="EZ4:FB4"/>
    <mergeCell ref="EB4:ED4"/>
    <mergeCell ref="DG4:DI4"/>
    <mergeCell ref="O4:Q4"/>
    <mergeCell ref="AA4:AC4"/>
    <mergeCell ref="BK4:BM4"/>
    <mergeCell ref="CC4:CE4"/>
    <mergeCell ref="AV4:AX4"/>
  </mergeCells>
  <conditionalFormatting sqref="B4:B5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77"/>
  <sheetViews>
    <sheetView workbookViewId="0">
      <pane xSplit="164" topLeftCell="IM1" activePane="topRight" state="frozen"/>
      <selection pane="topRight" activeCell="B75" sqref="B75"/>
    </sheetView>
  </sheetViews>
  <sheetFormatPr defaultColWidth="8.81640625" defaultRowHeight="12.5"/>
  <cols>
    <col min="2" max="2" width="51.1796875" bestFit="1" customWidth="1"/>
    <col min="3" max="3" width="13.6328125" customWidth="1"/>
    <col min="4" max="4" width="14.81640625" customWidth="1"/>
    <col min="5" max="5" width="12.6328125" bestFit="1" customWidth="1"/>
    <col min="6" max="6" width="9" hidden="1" customWidth="1"/>
    <col min="7" max="8" width="0" hidden="1"/>
    <col min="9" max="9" width="10.453125" hidden="1" customWidth="1"/>
    <col min="10" max="93" width="0" hidden="1"/>
    <col min="94" max="94" width="9.6328125" hidden="1" customWidth="1"/>
    <col min="95" max="162" width="0" hidden="1"/>
    <col min="163" max="163" width="0.36328125" customWidth="1"/>
    <col min="164" max="164" width="9.36328125" bestFit="1" customWidth="1"/>
    <col min="165" max="165" width="10.36328125" bestFit="1" customWidth="1"/>
    <col min="166" max="166" width="9.81640625" bestFit="1" customWidth="1"/>
    <col min="167" max="167" width="9.6328125" bestFit="1" customWidth="1"/>
    <col min="168" max="169" width="10" bestFit="1" customWidth="1"/>
    <col min="170" max="171" width="9.6328125" bestFit="1" customWidth="1"/>
    <col min="172" max="172" width="10.1796875" bestFit="1" customWidth="1"/>
    <col min="173" max="173" width="9.81640625" bestFit="1" customWidth="1"/>
    <col min="174" max="174" width="10.453125" bestFit="1" customWidth="1"/>
    <col min="175" max="175" width="9.453125" bestFit="1" customWidth="1"/>
    <col min="176" max="176" width="9.36328125" bestFit="1" customWidth="1"/>
    <col min="177" max="177" width="10.36328125" bestFit="1" customWidth="1"/>
    <col min="178" max="179" width="9.6328125" bestFit="1" customWidth="1"/>
    <col min="180" max="180" width="10" bestFit="1" customWidth="1"/>
    <col min="181" max="182" width="9.6328125" bestFit="1" customWidth="1"/>
    <col min="183" max="183" width="10.1796875" bestFit="1" customWidth="1"/>
    <col min="184" max="184" width="9.81640625" bestFit="1" customWidth="1"/>
    <col min="185" max="185" width="10.453125" bestFit="1" customWidth="1"/>
    <col min="186" max="186" width="9.453125" bestFit="1" customWidth="1"/>
    <col min="187" max="187" width="9.36328125" bestFit="1" customWidth="1"/>
    <col min="188" max="188" width="10.36328125" bestFit="1" customWidth="1"/>
    <col min="189" max="189" width="9.81640625" bestFit="1" customWidth="1"/>
    <col min="190" max="190" width="9.6328125" bestFit="1" customWidth="1"/>
    <col min="191" max="192" width="10" bestFit="1" customWidth="1"/>
    <col min="193" max="194" width="9.6328125" bestFit="1" customWidth="1"/>
    <col min="195" max="195" width="10.1796875" bestFit="1" customWidth="1"/>
    <col min="196" max="196" width="9.81640625" bestFit="1" customWidth="1"/>
    <col min="197" max="197" width="10.453125" bestFit="1" customWidth="1"/>
    <col min="198" max="198" width="9.453125" bestFit="1" customWidth="1"/>
    <col min="199" max="199" width="9.36328125" bestFit="1" customWidth="1"/>
    <col min="200" max="200" width="10.36328125" bestFit="1" customWidth="1"/>
    <col min="201" max="201" width="9.81640625" bestFit="1" customWidth="1"/>
    <col min="202" max="202" width="9.6328125" bestFit="1" customWidth="1"/>
    <col min="203" max="204" width="10" bestFit="1" customWidth="1"/>
    <col min="205" max="206" width="9.6328125" bestFit="1" customWidth="1"/>
    <col min="207" max="207" width="10.1796875" bestFit="1" customWidth="1"/>
    <col min="208" max="208" width="9.81640625" bestFit="1" customWidth="1"/>
    <col min="209" max="209" width="10.453125" bestFit="1" customWidth="1"/>
    <col min="210" max="210" width="9.453125" bestFit="1" customWidth="1"/>
    <col min="211" max="211" width="9.36328125" bestFit="1" customWidth="1"/>
    <col min="212" max="212" width="10.36328125" bestFit="1" customWidth="1"/>
    <col min="213" max="213" width="9.81640625" bestFit="1" customWidth="1"/>
    <col min="214" max="214" width="9.6328125" bestFit="1" customWidth="1"/>
    <col min="215" max="216" width="10" bestFit="1" customWidth="1"/>
    <col min="217" max="218" width="9.6328125" bestFit="1" customWidth="1"/>
    <col min="219" max="219" width="10.1796875" bestFit="1" customWidth="1"/>
    <col min="220" max="220" width="9.81640625" bestFit="1" customWidth="1"/>
    <col min="221" max="221" width="10.453125" bestFit="1" customWidth="1"/>
    <col min="222" max="222" width="9.453125" bestFit="1" customWidth="1"/>
    <col min="223" max="223" width="9.36328125" bestFit="1" customWidth="1"/>
    <col min="224" max="224" width="10.36328125" bestFit="1" customWidth="1"/>
    <col min="225" max="225" width="9.81640625" bestFit="1" customWidth="1"/>
    <col min="226" max="227" width="10" bestFit="1" customWidth="1"/>
    <col min="228" max="229" width="9.6328125" bestFit="1" customWidth="1"/>
    <col min="230" max="230" width="10.1796875" bestFit="1" customWidth="1"/>
    <col min="231" max="231" width="9.81640625" bestFit="1" customWidth="1"/>
    <col min="232" max="232" width="10.453125" bestFit="1" customWidth="1"/>
    <col min="233" max="233" width="9.453125" bestFit="1" customWidth="1"/>
    <col min="234" max="234" width="9.36328125" bestFit="1" customWidth="1"/>
    <col min="235" max="236" width="10.36328125" bestFit="1" customWidth="1"/>
    <col min="237" max="237" width="9.6328125" bestFit="1" customWidth="1"/>
    <col min="238" max="239" width="10" bestFit="1" customWidth="1"/>
    <col min="240" max="241" width="9.6328125" bestFit="1" customWidth="1"/>
    <col min="242" max="242" width="10.1796875" bestFit="1" customWidth="1"/>
    <col min="243" max="243" width="9.81640625" bestFit="1" customWidth="1"/>
    <col min="244" max="244" width="10.453125" bestFit="1" customWidth="1"/>
    <col min="245" max="245" width="9.453125" bestFit="1" customWidth="1"/>
    <col min="246" max="246" width="9.36328125" bestFit="1" customWidth="1"/>
    <col min="247" max="247" width="10.36328125" bestFit="1" customWidth="1"/>
    <col min="248" max="248" width="9.81640625" bestFit="1" customWidth="1"/>
    <col min="249" max="249" width="9.6328125" bestFit="1" customWidth="1"/>
    <col min="250" max="251" width="10" bestFit="1" customWidth="1"/>
    <col min="252" max="252" width="9.6328125" bestFit="1" customWidth="1"/>
    <col min="253" max="253" width="18" customWidth="1"/>
  </cols>
  <sheetData>
    <row r="1" spans="1:273" ht="13" customHeight="1" thickBot="1"/>
    <row r="2" spans="1:273" ht="25" customHeight="1">
      <c r="A2" s="290" t="s">
        <v>57</v>
      </c>
      <c r="B2" s="289" t="s">
        <v>86</v>
      </c>
      <c r="C2" s="289" t="s">
        <v>87</v>
      </c>
      <c r="D2" s="289" t="s">
        <v>147</v>
      </c>
      <c r="E2" s="289" t="s">
        <v>148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250">
        <v>42582</v>
      </c>
      <c r="FI2" s="250">
        <v>42613</v>
      </c>
      <c r="FJ2" s="250">
        <v>42643</v>
      </c>
      <c r="FK2" s="250">
        <v>42674</v>
      </c>
      <c r="FL2" s="250">
        <v>42704</v>
      </c>
      <c r="FM2" s="250">
        <v>42734</v>
      </c>
      <c r="FN2" s="250">
        <v>42766</v>
      </c>
      <c r="FO2" s="250">
        <v>42794</v>
      </c>
      <c r="FP2" s="250">
        <v>42825</v>
      </c>
      <c r="FQ2" s="250">
        <v>42855</v>
      </c>
      <c r="FR2" s="250">
        <v>42886</v>
      </c>
      <c r="FS2" s="250">
        <v>42916</v>
      </c>
      <c r="FT2" s="250">
        <v>42947</v>
      </c>
      <c r="FU2" s="250">
        <v>42978</v>
      </c>
      <c r="FV2" s="250">
        <v>43011</v>
      </c>
      <c r="FW2" s="250">
        <v>43039</v>
      </c>
      <c r="FX2" s="250">
        <v>43069</v>
      </c>
      <c r="FY2" s="250">
        <v>43102</v>
      </c>
      <c r="FZ2" s="250">
        <v>43132</v>
      </c>
      <c r="GA2" s="250">
        <v>43160</v>
      </c>
      <c r="GB2" s="250">
        <v>43192</v>
      </c>
      <c r="GC2" s="250">
        <v>43221</v>
      </c>
      <c r="GD2" s="250">
        <v>43255</v>
      </c>
      <c r="GE2" s="250">
        <v>43285</v>
      </c>
      <c r="GF2" s="250">
        <v>43314</v>
      </c>
      <c r="GG2" s="250">
        <v>43348</v>
      </c>
      <c r="GH2" s="250">
        <v>43378</v>
      </c>
      <c r="GI2" s="250">
        <v>43406</v>
      </c>
      <c r="GJ2" s="250">
        <v>43434</v>
      </c>
      <c r="GK2" s="250">
        <v>43467</v>
      </c>
      <c r="GL2" s="250">
        <v>43500</v>
      </c>
      <c r="GM2" s="250">
        <v>43525</v>
      </c>
      <c r="GN2" s="250">
        <v>43557</v>
      </c>
      <c r="GO2" s="250">
        <v>43587</v>
      </c>
      <c r="GP2" s="250">
        <v>43619</v>
      </c>
      <c r="GQ2" s="250">
        <v>43649</v>
      </c>
      <c r="GR2" s="250">
        <v>43679</v>
      </c>
      <c r="GS2" s="250">
        <v>43711</v>
      </c>
      <c r="GT2" s="250">
        <v>43745</v>
      </c>
      <c r="GU2" s="250">
        <v>43774</v>
      </c>
      <c r="GV2" s="250">
        <v>43801</v>
      </c>
      <c r="GW2" s="250">
        <v>43833</v>
      </c>
      <c r="GX2" s="250">
        <v>43865</v>
      </c>
      <c r="GY2" s="250">
        <v>43895</v>
      </c>
      <c r="GZ2" s="250">
        <v>43929</v>
      </c>
      <c r="HA2" s="250">
        <v>43958</v>
      </c>
      <c r="HB2" s="250">
        <v>43990</v>
      </c>
      <c r="HC2" s="250">
        <v>44019</v>
      </c>
      <c r="HD2" s="250">
        <v>44049</v>
      </c>
      <c r="HE2" s="250">
        <v>44076</v>
      </c>
      <c r="HF2" s="250">
        <v>44110</v>
      </c>
      <c r="HG2" s="250">
        <v>44141</v>
      </c>
      <c r="HH2" s="250">
        <v>44169</v>
      </c>
      <c r="HI2" s="250">
        <v>44203</v>
      </c>
      <c r="HJ2" s="250">
        <v>44229</v>
      </c>
      <c r="HK2" s="250">
        <v>44257</v>
      </c>
      <c r="HL2" s="250">
        <v>44287</v>
      </c>
      <c r="HM2" s="250">
        <v>44319</v>
      </c>
      <c r="HN2" s="250">
        <v>44349</v>
      </c>
      <c r="HO2" s="250">
        <v>44379</v>
      </c>
      <c r="HP2" s="250">
        <v>44411</v>
      </c>
      <c r="HQ2" s="250">
        <v>44442</v>
      </c>
      <c r="HR2" s="250">
        <v>44518</v>
      </c>
      <c r="HS2" s="250">
        <v>44543</v>
      </c>
      <c r="HT2" s="250">
        <v>44565</v>
      </c>
      <c r="HU2" s="250">
        <v>44601</v>
      </c>
      <c r="HV2" s="250">
        <v>44631</v>
      </c>
      <c r="HW2" s="250">
        <v>44655</v>
      </c>
      <c r="HX2" s="250">
        <v>44685</v>
      </c>
      <c r="HY2" s="250">
        <v>44718</v>
      </c>
      <c r="HZ2" s="250">
        <v>44747</v>
      </c>
      <c r="IA2" s="250">
        <v>44777</v>
      </c>
      <c r="IB2" s="250">
        <v>44804</v>
      </c>
      <c r="IC2" s="250">
        <v>44841</v>
      </c>
      <c r="ID2" s="250">
        <v>44867</v>
      </c>
      <c r="IE2" s="250">
        <v>44897</v>
      </c>
      <c r="IF2" s="250">
        <v>44930</v>
      </c>
      <c r="IG2" s="250">
        <v>44959</v>
      </c>
      <c r="IH2" s="250">
        <v>44986</v>
      </c>
      <c r="II2" s="250">
        <v>45020</v>
      </c>
      <c r="IJ2" s="250">
        <v>45048</v>
      </c>
      <c r="IK2" s="250">
        <v>45082</v>
      </c>
      <c r="IL2" s="250">
        <v>45113</v>
      </c>
      <c r="IM2" s="250">
        <v>45141</v>
      </c>
      <c r="IN2" s="250">
        <v>45175</v>
      </c>
      <c r="IO2" s="250">
        <v>45204</v>
      </c>
      <c r="IP2" s="250">
        <v>45235</v>
      </c>
      <c r="IQ2" s="250">
        <v>45265</v>
      </c>
      <c r="IR2" s="250">
        <v>45294</v>
      </c>
      <c r="IS2" s="251" t="s">
        <v>149</v>
      </c>
    </row>
    <row r="3" spans="1:273" ht="36.75" customHeight="1">
      <c r="A3" s="287"/>
      <c r="B3" s="282"/>
      <c r="C3" s="282"/>
      <c r="D3" s="282"/>
      <c r="E3" s="282"/>
      <c r="F3" s="103" t="s">
        <v>43</v>
      </c>
      <c r="G3" s="103" t="s">
        <v>43</v>
      </c>
      <c r="H3" s="103" t="s">
        <v>43</v>
      </c>
      <c r="I3" s="103" t="s">
        <v>43</v>
      </c>
      <c r="J3" s="103" t="s">
        <v>43</v>
      </c>
      <c r="K3" s="103" t="s">
        <v>43</v>
      </c>
      <c r="L3" s="103" t="s">
        <v>43</v>
      </c>
      <c r="M3" s="103" t="s">
        <v>43</v>
      </c>
      <c r="N3" s="103" t="s">
        <v>43</v>
      </c>
      <c r="O3" s="103" t="s">
        <v>43</v>
      </c>
      <c r="P3" s="103" t="s">
        <v>43</v>
      </c>
      <c r="Q3" s="103" t="s">
        <v>43</v>
      </c>
      <c r="R3" s="103" t="s">
        <v>43</v>
      </c>
      <c r="S3" s="103" t="s">
        <v>43</v>
      </c>
      <c r="T3" s="103" t="s">
        <v>43</v>
      </c>
      <c r="U3" s="103" t="s">
        <v>43</v>
      </c>
      <c r="V3" s="103" t="s">
        <v>43</v>
      </c>
      <c r="W3" s="103" t="s">
        <v>43</v>
      </c>
      <c r="X3" s="103" t="s">
        <v>43</v>
      </c>
      <c r="Y3" s="103" t="s">
        <v>43</v>
      </c>
      <c r="Z3" s="103" t="s">
        <v>43</v>
      </c>
      <c r="AA3" s="103" t="s">
        <v>43</v>
      </c>
      <c r="AB3" s="103" t="s">
        <v>43</v>
      </c>
      <c r="AC3" s="103" t="s">
        <v>43</v>
      </c>
      <c r="AD3" s="103" t="s">
        <v>43</v>
      </c>
      <c r="AE3" s="103" t="s">
        <v>43</v>
      </c>
      <c r="AF3" s="103" t="s">
        <v>43</v>
      </c>
      <c r="AG3" s="103" t="s">
        <v>43</v>
      </c>
      <c r="AH3" s="103" t="s">
        <v>43</v>
      </c>
      <c r="AI3" s="103" t="s">
        <v>43</v>
      </c>
      <c r="AJ3" s="103" t="s">
        <v>43</v>
      </c>
      <c r="AK3" s="103" t="s">
        <v>43</v>
      </c>
      <c r="AL3" s="103" t="s">
        <v>43</v>
      </c>
      <c r="AM3" s="103" t="s">
        <v>43</v>
      </c>
      <c r="AN3" s="103" t="s">
        <v>43</v>
      </c>
      <c r="AO3" s="103" t="s">
        <v>43</v>
      </c>
      <c r="AP3" s="103" t="s">
        <v>43</v>
      </c>
      <c r="AQ3" s="103" t="s">
        <v>43</v>
      </c>
      <c r="AR3" s="103" t="s">
        <v>43</v>
      </c>
      <c r="AS3" s="103" t="s">
        <v>43</v>
      </c>
      <c r="AT3" s="103" t="s">
        <v>43</v>
      </c>
      <c r="AU3" s="103" t="s">
        <v>43</v>
      </c>
      <c r="AV3" s="103" t="s">
        <v>43</v>
      </c>
      <c r="AW3" s="103" t="s">
        <v>43</v>
      </c>
      <c r="AX3" s="103" t="s">
        <v>43</v>
      </c>
      <c r="AY3" s="103" t="s">
        <v>43</v>
      </c>
      <c r="AZ3" s="103" t="s">
        <v>43</v>
      </c>
      <c r="BA3" s="103" t="s">
        <v>43</v>
      </c>
      <c r="BB3" s="103" t="s">
        <v>43</v>
      </c>
      <c r="BC3" s="103" t="s">
        <v>43</v>
      </c>
      <c r="BD3" s="103" t="s">
        <v>43</v>
      </c>
      <c r="BE3" s="103" t="s">
        <v>43</v>
      </c>
      <c r="BF3" s="103" t="s">
        <v>43</v>
      </c>
      <c r="BG3" s="103" t="s">
        <v>43</v>
      </c>
      <c r="BH3" s="103" t="s">
        <v>43</v>
      </c>
      <c r="BI3" s="103" t="s">
        <v>43</v>
      </c>
      <c r="BJ3" s="103" t="s">
        <v>43</v>
      </c>
      <c r="BK3" s="103" t="s">
        <v>43</v>
      </c>
      <c r="BL3" s="103" t="s">
        <v>43</v>
      </c>
      <c r="BM3" s="103" t="s">
        <v>43</v>
      </c>
      <c r="BN3" s="103" t="s">
        <v>43</v>
      </c>
      <c r="BO3" s="103" t="s">
        <v>43</v>
      </c>
      <c r="BP3" s="103" t="s">
        <v>43</v>
      </c>
      <c r="BQ3" s="103" t="s">
        <v>43</v>
      </c>
      <c r="BR3" s="103" t="s">
        <v>43</v>
      </c>
      <c r="BS3" s="103" t="s">
        <v>43</v>
      </c>
      <c r="BT3" s="103" t="s">
        <v>43</v>
      </c>
      <c r="BU3" s="103" t="s">
        <v>43</v>
      </c>
      <c r="BV3" s="103" t="s">
        <v>43</v>
      </c>
      <c r="BW3" s="103" t="s">
        <v>43</v>
      </c>
      <c r="BX3" s="103" t="s">
        <v>43</v>
      </c>
      <c r="BY3" s="103" t="s">
        <v>43</v>
      </c>
      <c r="BZ3" s="103" t="s">
        <v>43</v>
      </c>
      <c r="CA3" s="103" t="s">
        <v>43</v>
      </c>
      <c r="CB3" s="103" t="s">
        <v>43</v>
      </c>
      <c r="CC3" s="103" t="s">
        <v>43</v>
      </c>
      <c r="CD3" s="103" t="s">
        <v>43</v>
      </c>
      <c r="CE3" s="103" t="s">
        <v>43</v>
      </c>
      <c r="CF3" s="103" t="s">
        <v>43</v>
      </c>
      <c r="CG3" s="103" t="s">
        <v>43</v>
      </c>
      <c r="CH3" s="103" t="s">
        <v>43</v>
      </c>
      <c r="CI3" s="103" t="s">
        <v>43</v>
      </c>
      <c r="CJ3" s="103" t="s">
        <v>43</v>
      </c>
      <c r="CK3" s="103" t="s">
        <v>43</v>
      </c>
      <c r="CL3" s="103" t="s">
        <v>43</v>
      </c>
      <c r="CM3" s="103" t="s">
        <v>43</v>
      </c>
      <c r="CN3" s="103" t="s">
        <v>43</v>
      </c>
      <c r="CO3" s="103" t="s">
        <v>43</v>
      </c>
      <c r="CP3" s="103" t="s">
        <v>43</v>
      </c>
      <c r="CQ3" s="104" t="s">
        <v>43</v>
      </c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226"/>
      <c r="DG3" s="226"/>
      <c r="DH3" s="226"/>
      <c r="DI3" s="226"/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6"/>
      <c r="EQ3" s="226"/>
      <c r="ER3" s="226"/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226"/>
      <c r="GA3" s="226"/>
      <c r="GB3" s="226"/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226"/>
      <c r="HJ3" s="226"/>
      <c r="HK3" s="226"/>
      <c r="HL3" s="226"/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105"/>
    </row>
    <row r="4" spans="1:273" ht="17.25" customHeight="1">
      <c r="A4" s="55">
        <v>40</v>
      </c>
      <c r="B4" s="69" t="s">
        <v>150</v>
      </c>
      <c r="C4" s="6">
        <v>10</v>
      </c>
      <c r="D4" s="6">
        <v>10</v>
      </c>
      <c r="E4" s="6"/>
      <c r="F4" s="54" t="s">
        <v>126</v>
      </c>
      <c r="G4" s="54" t="s">
        <v>126</v>
      </c>
      <c r="H4" s="54" t="s">
        <v>126</v>
      </c>
      <c r="I4" s="70">
        <v>100</v>
      </c>
      <c r="J4" s="70">
        <v>100</v>
      </c>
      <c r="K4" s="70">
        <v>100</v>
      </c>
      <c r="L4" s="70">
        <v>100</v>
      </c>
      <c r="M4" s="70">
        <v>100</v>
      </c>
      <c r="N4" s="70">
        <v>100</v>
      </c>
      <c r="O4" s="70">
        <v>100</v>
      </c>
      <c r="P4" s="70">
        <v>100</v>
      </c>
      <c r="Q4" s="70">
        <v>100</v>
      </c>
      <c r="R4" s="70">
        <v>100</v>
      </c>
      <c r="S4" s="70">
        <v>100</v>
      </c>
      <c r="T4" s="70">
        <v>100</v>
      </c>
      <c r="U4" s="54">
        <v>48</v>
      </c>
      <c r="V4" s="70">
        <v>100</v>
      </c>
      <c r="W4" s="70">
        <v>100</v>
      </c>
      <c r="X4" s="54">
        <v>41</v>
      </c>
      <c r="Y4" s="54">
        <v>48</v>
      </c>
      <c r="Z4" s="54">
        <v>72</v>
      </c>
      <c r="AA4" s="54">
        <v>29</v>
      </c>
      <c r="AB4" s="54">
        <v>46</v>
      </c>
      <c r="AC4" s="54">
        <v>69</v>
      </c>
      <c r="AD4" s="54">
        <v>25</v>
      </c>
      <c r="AE4" s="54">
        <v>45</v>
      </c>
      <c r="AF4" s="54">
        <v>69</v>
      </c>
      <c r="AG4" s="54">
        <v>36</v>
      </c>
      <c r="AH4" s="54">
        <v>44</v>
      </c>
      <c r="AI4" s="54">
        <v>62</v>
      </c>
      <c r="AJ4" s="54">
        <v>29</v>
      </c>
      <c r="AK4" s="54">
        <v>41</v>
      </c>
      <c r="AL4" s="54">
        <v>57</v>
      </c>
      <c r="AM4" s="54">
        <v>27</v>
      </c>
      <c r="AN4" s="54">
        <v>49</v>
      </c>
      <c r="AO4" s="54">
        <v>45</v>
      </c>
      <c r="AP4" s="54">
        <v>24</v>
      </c>
      <c r="AQ4" s="54">
        <v>46</v>
      </c>
      <c r="AR4" s="54">
        <v>45</v>
      </c>
      <c r="AS4" s="54">
        <v>22</v>
      </c>
      <c r="AT4" s="54">
        <v>38</v>
      </c>
      <c r="AU4" s="54">
        <v>41</v>
      </c>
      <c r="AV4" s="54">
        <v>21</v>
      </c>
      <c r="AW4" s="54">
        <v>42</v>
      </c>
      <c r="AX4" s="54">
        <v>37</v>
      </c>
      <c r="AY4" s="54">
        <v>28</v>
      </c>
      <c r="AZ4" s="54">
        <v>40</v>
      </c>
      <c r="BA4" s="54">
        <v>35</v>
      </c>
      <c r="BB4" s="54">
        <v>32</v>
      </c>
      <c r="BC4" s="54">
        <v>29</v>
      </c>
      <c r="BD4" s="54">
        <v>26</v>
      </c>
      <c r="BE4" s="54">
        <v>27</v>
      </c>
      <c r="BF4" s="54">
        <v>29</v>
      </c>
      <c r="BG4" s="54">
        <v>19</v>
      </c>
      <c r="BH4" s="54">
        <v>43</v>
      </c>
      <c r="BI4" s="54">
        <v>22</v>
      </c>
      <c r="BJ4" s="54">
        <v>19</v>
      </c>
      <c r="BK4" s="54">
        <v>37</v>
      </c>
      <c r="BL4" s="54">
        <v>16</v>
      </c>
      <c r="BM4" s="54">
        <v>28</v>
      </c>
      <c r="BN4" s="54">
        <v>49</v>
      </c>
      <c r="BO4" s="54">
        <v>34</v>
      </c>
      <c r="BP4" s="54">
        <v>25</v>
      </c>
      <c r="BQ4" s="54">
        <v>46</v>
      </c>
      <c r="BR4" s="54">
        <v>25</v>
      </c>
      <c r="BS4" s="54">
        <v>18</v>
      </c>
      <c r="BT4" s="54">
        <v>41</v>
      </c>
      <c r="BU4" s="54">
        <v>23</v>
      </c>
      <c r="BV4" s="54">
        <v>27</v>
      </c>
      <c r="BW4" s="54">
        <v>52</v>
      </c>
      <c r="BX4" s="54">
        <v>21</v>
      </c>
      <c r="BY4" s="54">
        <v>34</v>
      </c>
      <c r="BZ4" s="54">
        <v>46</v>
      </c>
      <c r="CA4" s="54">
        <v>27</v>
      </c>
      <c r="CB4" s="54">
        <v>39</v>
      </c>
      <c r="CC4" s="54">
        <v>15</v>
      </c>
      <c r="CD4" s="54">
        <v>21</v>
      </c>
      <c r="CE4" s="54">
        <v>18</v>
      </c>
      <c r="CF4" s="54">
        <v>28</v>
      </c>
      <c r="CG4" s="54">
        <v>29</v>
      </c>
      <c r="CH4" s="54">
        <v>13</v>
      </c>
      <c r="CI4" s="54">
        <v>25</v>
      </c>
      <c r="CJ4" s="54">
        <v>24</v>
      </c>
      <c r="CK4" s="54">
        <v>16</v>
      </c>
      <c r="CL4" s="54">
        <v>31</v>
      </c>
      <c r="CM4" s="54">
        <v>22</v>
      </c>
      <c r="CN4" s="54">
        <v>18</v>
      </c>
      <c r="CO4" s="54">
        <v>29</v>
      </c>
      <c r="CP4" s="54">
        <v>29</v>
      </c>
      <c r="CQ4" s="54">
        <v>28</v>
      </c>
      <c r="CR4" s="54">
        <v>22</v>
      </c>
      <c r="CS4" s="54">
        <v>46</v>
      </c>
      <c r="CT4" s="54">
        <v>26</v>
      </c>
      <c r="CU4" s="54">
        <v>27</v>
      </c>
      <c r="CV4" s="54">
        <v>43</v>
      </c>
      <c r="CW4" s="54">
        <v>21</v>
      </c>
      <c r="CX4" s="54">
        <v>25</v>
      </c>
      <c r="CY4" s="54">
        <v>38</v>
      </c>
      <c r="CZ4" s="54">
        <v>21</v>
      </c>
      <c r="DA4" s="54">
        <v>32</v>
      </c>
      <c r="DB4" s="54">
        <v>36</v>
      </c>
      <c r="DC4" s="54">
        <v>28</v>
      </c>
      <c r="DD4" s="54">
        <v>41</v>
      </c>
      <c r="DE4" s="54">
        <v>33</v>
      </c>
      <c r="DF4" s="54">
        <v>25</v>
      </c>
      <c r="DG4" s="54">
        <v>38</v>
      </c>
      <c r="DH4" s="54">
        <v>28</v>
      </c>
      <c r="DI4" s="54">
        <v>27</v>
      </c>
      <c r="DJ4" s="54">
        <v>32</v>
      </c>
      <c r="DK4" s="54">
        <v>26</v>
      </c>
      <c r="DL4" s="54">
        <v>22</v>
      </c>
      <c r="DM4" s="54">
        <v>28</v>
      </c>
      <c r="DN4" s="54">
        <v>30</v>
      </c>
      <c r="DO4" s="54">
        <v>27</v>
      </c>
      <c r="DP4" s="54">
        <v>32</v>
      </c>
      <c r="DQ4" s="54">
        <v>28</v>
      </c>
      <c r="DR4" s="54">
        <v>23</v>
      </c>
      <c r="DS4" s="54">
        <v>38</v>
      </c>
      <c r="DT4" s="54">
        <v>26</v>
      </c>
      <c r="DU4" s="54">
        <v>22</v>
      </c>
      <c r="DV4" s="54">
        <v>31</v>
      </c>
      <c r="DW4" s="54">
        <v>28</v>
      </c>
      <c r="DX4" s="54">
        <v>35</v>
      </c>
      <c r="DY4" s="54">
        <v>38</v>
      </c>
      <c r="DZ4" s="54">
        <v>26</v>
      </c>
      <c r="EA4" s="54">
        <v>33</v>
      </c>
      <c r="EB4" s="54">
        <v>36</v>
      </c>
      <c r="EC4" s="54">
        <v>22</v>
      </c>
      <c r="ED4" s="54">
        <v>29</v>
      </c>
      <c r="EE4" s="54">
        <v>41</v>
      </c>
      <c r="EF4" s="54">
        <v>23</v>
      </c>
      <c r="EG4" s="54">
        <v>26</v>
      </c>
      <c r="EH4" s="54">
        <v>48</v>
      </c>
      <c r="EI4" s="54">
        <v>21</v>
      </c>
      <c r="EJ4" s="54">
        <v>25</v>
      </c>
      <c r="EK4" s="54">
        <v>46</v>
      </c>
      <c r="EL4" s="54">
        <v>34</v>
      </c>
      <c r="EM4" s="54">
        <v>21</v>
      </c>
      <c r="EN4" s="54">
        <v>41</v>
      </c>
      <c r="EO4" s="54">
        <v>29</v>
      </c>
      <c r="EP4" s="54">
        <v>28</v>
      </c>
      <c r="EQ4" s="54">
        <v>45</v>
      </c>
      <c r="ER4" s="54">
        <v>26</v>
      </c>
      <c r="ES4" s="54">
        <v>23</v>
      </c>
      <c r="ET4" s="54">
        <v>43</v>
      </c>
      <c r="EU4" s="54">
        <v>28</v>
      </c>
      <c r="EV4" s="54">
        <v>39</v>
      </c>
      <c r="EW4" s="54">
        <v>38</v>
      </c>
      <c r="EX4" s="54">
        <v>22</v>
      </c>
      <c r="EY4" s="54">
        <v>31</v>
      </c>
      <c r="EZ4" s="54">
        <v>36</v>
      </c>
      <c r="FA4" s="54">
        <v>25</v>
      </c>
      <c r="FB4" s="54">
        <v>39</v>
      </c>
      <c r="FC4" s="71">
        <v>34</v>
      </c>
      <c r="FD4" s="71">
        <v>22</v>
      </c>
      <c r="FE4" s="71">
        <v>33</v>
      </c>
      <c r="FF4" s="71">
        <v>55</v>
      </c>
      <c r="FG4" s="71">
        <v>19</v>
      </c>
      <c r="FH4" s="71">
        <v>38</v>
      </c>
      <c r="FI4" s="71">
        <v>52</v>
      </c>
      <c r="FJ4" s="71">
        <v>12</v>
      </c>
      <c r="FK4" s="71">
        <v>33</v>
      </c>
      <c r="FL4" s="71">
        <v>58</v>
      </c>
      <c r="FM4" s="71">
        <v>19</v>
      </c>
      <c r="FN4" s="71">
        <v>53</v>
      </c>
      <c r="FO4" s="71">
        <v>56</v>
      </c>
      <c r="FP4" s="71">
        <v>16</v>
      </c>
      <c r="FQ4" s="71">
        <v>51</v>
      </c>
      <c r="FR4" s="71">
        <v>48</v>
      </c>
      <c r="FS4" s="71">
        <v>14</v>
      </c>
      <c r="FT4" s="71">
        <v>47</v>
      </c>
      <c r="FU4" s="71">
        <v>40</v>
      </c>
      <c r="FV4" s="71">
        <v>12</v>
      </c>
      <c r="FW4" s="71">
        <v>38</v>
      </c>
      <c r="FX4" s="72">
        <v>37</v>
      </c>
      <c r="FY4" s="72">
        <v>15</v>
      </c>
      <c r="FZ4" s="72">
        <v>35</v>
      </c>
      <c r="GA4" s="73">
        <v>42</v>
      </c>
      <c r="GB4" s="73">
        <v>12</v>
      </c>
      <c r="GC4" s="72">
        <v>28</v>
      </c>
      <c r="GD4" s="73">
        <v>39</v>
      </c>
      <c r="GE4" s="73">
        <v>18</v>
      </c>
      <c r="GF4" s="72">
        <v>26</v>
      </c>
      <c r="GG4" s="73">
        <v>45</v>
      </c>
      <c r="GH4" s="72">
        <v>17</v>
      </c>
      <c r="GI4" s="72">
        <v>23</v>
      </c>
      <c r="GJ4" s="73">
        <v>42</v>
      </c>
      <c r="GK4" s="72">
        <v>23</v>
      </c>
      <c r="GL4" s="72">
        <v>28</v>
      </c>
      <c r="GM4" s="73">
        <v>38</v>
      </c>
      <c r="GN4" s="72">
        <v>25</v>
      </c>
      <c r="GO4" s="72">
        <v>23</v>
      </c>
      <c r="GP4" s="73">
        <v>45</v>
      </c>
      <c r="GQ4" s="72">
        <v>26</v>
      </c>
      <c r="GR4" s="72">
        <v>20</v>
      </c>
      <c r="GS4" s="72">
        <v>57</v>
      </c>
      <c r="GT4" s="72">
        <v>29</v>
      </c>
      <c r="GU4" s="72">
        <v>15</v>
      </c>
      <c r="GV4" s="72">
        <v>62</v>
      </c>
      <c r="GW4" s="72">
        <v>32</v>
      </c>
      <c r="GX4" s="72">
        <v>18</v>
      </c>
      <c r="GY4" s="74">
        <v>100</v>
      </c>
      <c r="GZ4" s="72">
        <v>38</v>
      </c>
      <c r="HA4" s="72">
        <v>22</v>
      </c>
      <c r="HB4" s="74">
        <v>100</v>
      </c>
      <c r="HC4" s="72">
        <v>45</v>
      </c>
      <c r="HD4" s="72">
        <v>28</v>
      </c>
      <c r="HE4" s="72">
        <v>89</v>
      </c>
      <c r="HF4" s="72">
        <v>43</v>
      </c>
      <c r="HG4" s="72">
        <v>35</v>
      </c>
      <c r="HH4" s="72">
        <v>83</v>
      </c>
      <c r="HI4" s="72">
        <v>45</v>
      </c>
      <c r="HJ4" s="72">
        <v>38</v>
      </c>
      <c r="HK4" s="72">
        <v>79</v>
      </c>
      <c r="HL4" s="72">
        <v>42</v>
      </c>
      <c r="HM4" s="72">
        <v>36</v>
      </c>
      <c r="HN4" s="72">
        <v>68</v>
      </c>
      <c r="HO4" s="72">
        <v>46</v>
      </c>
      <c r="HP4" s="72">
        <v>31</v>
      </c>
      <c r="HQ4" s="75">
        <v>63</v>
      </c>
      <c r="HR4" s="75">
        <v>49</v>
      </c>
      <c r="HS4" s="75">
        <v>32</v>
      </c>
      <c r="HT4" s="74">
        <v>100</v>
      </c>
      <c r="HU4" s="72">
        <v>49</v>
      </c>
      <c r="HV4" s="72">
        <v>38</v>
      </c>
      <c r="HW4" s="74">
        <v>100</v>
      </c>
      <c r="HX4" s="72">
        <v>48</v>
      </c>
      <c r="HY4" s="72">
        <v>36</v>
      </c>
      <c r="HZ4" s="74">
        <v>100</v>
      </c>
      <c r="IA4" s="72">
        <v>43</v>
      </c>
      <c r="IB4" s="72">
        <v>36</v>
      </c>
      <c r="IC4" s="76">
        <v>100</v>
      </c>
      <c r="ID4" s="75">
        <v>39</v>
      </c>
      <c r="IE4" s="75">
        <v>33</v>
      </c>
      <c r="IF4" s="74">
        <v>100</v>
      </c>
      <c r="IG4" s="74">
        <v>100</v>
      </c>
      <c r="IH4" s="74">
        <v>100</v>
      </c>
      <c r="II4" s="14">
        <v>100</v>
      </c>
      <c r="IJ4" s="14">
        <v>100</v>
      </c>
      <c r="IK4" s="14">
        <v>100</v>
      </c>
      <c r="IL4" s="14">
        <v>100</v>
      </c>
      <c r="IM4" s="14">
        <v>100</v>
      </c>
      <c r="IN4" s="14">
        <v>100</v>
      </c>
      <c r="IO4" s="14">
        <v>100</v>
      </c>
      <c r="IP4" s="14">
        <v>100</v>
      </c>
      <c r="IQ4" s="14">
        <v>100</v>
      </c>
      <c r="IR4" s="14">
        <v>100</v>
      </c>
      <c r="IS4" s="96">
        <f>IP4-IR4</f>
        <v>0</v>
      </c>
      <c r="IT4" s="186"/>
      <c r="IU4" s="18"/>
      <c r="IV4" s="21"/>
      <c r="IW4" s="21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</row>
    <row r="5" spans="1:273" ht="13.5" customHeight="1">
      <c r="A5" s="97">
        <v>1</v>
      </c>
      <c r="B5" s="77" t="s">
        <v>151</v>
      </c>
      <c r="C5" s="6">
        <v>30</v>
      </c>
      <c r="D5" s="6">
        <v>40</v>
      </c>
      <c r="E5" s="6">
        <v>30</v>
      </c>
      <c r="F5" s="31" t="s">
        <v>126</v>
      </c>
      <c r="G5" s="31" t="s">
        <v>126</v>
      </c>
      <c r="H5" s="31" t="s">
        <v>126</v>
      </c>
      <c r="I5" s="78">
        <v>100</v>
      </c>
      <c r="J5" s="78">
        <v>100</v>
      </c>
      <c r="K5" s="78">
        <v>100</v>
      </c>
      <c r="L5" s="78">
        <v>100</v>
      </c>
      <c r="M5" s="78">
        <v>100</v>
      </c>
      <c r="N5" s="78">
        <v>100</v>
      </c>
      <c r="O5" s="78">
        <v>100</v>
      </c>
      <c r="P5" s="78">
        <v>100</v>
      </c>
      <c r="Q5" s="78">
        <v>100</v>
      </c>
      <c r="R5" s="78">
        <v>100</v>
      </c>
      <c r="S5" s="78">
        <v>100</v>
      </c>
      <c r="T5" s="78">
        <v>100</v>
      </c>
      <c r="U5" s="78">
        <v>100</v>
      </c>
      <c r="V5" s="78">
        <v>100</v>
      </c>
      <c r="W5" s="78">
        <v>100</v>
      </c>
      <c r="X5" s="78">
        <v>100</v>
      </c>
      <c r="Y5" s="78">
        <v>100</v>
      </c>
      <c r="Z5" s="78">
        <v>100</v>
      </c>
      <c r="AA5" s="78">
        <v>100</v>
      </c>
      <c r="AB5" s="78">
        <v>100</v>
      </c>
      <c r="AC5" s="78">
        <v>100</v>
      </c>
      <c r="AD5" s="78">
        <v>100</v>
      </c>
      <c r="AE5" s="78">
        <v>100</v>
      </c>
      <c r="AF5" s="78">
        <v>100</v>
      </c>
      <c r="AG5" s="78">
        <v>100</v>
      </c>
      <c r="AH5" s="78">
        <v>100</v>
      </c>
      <c r="AI5" s="78">
        <v>100</v>
      </c>
      <c r="AJ5" s="78">
        <v>100</v>
      </c>
      <c r="AK5" s="78">
        <v>100</v>
      </c>
      <c r="AL5" s="78">
        <v>100</v>
      </c>
      <c r="AM5" s="78">
        <v>100</v>
      </c>
      <c r="AN5" s="78">
        <v>100</v>
      </c>
      <c r="AO5" s="78">
        <v>100</v>
      </c>
      <c r="AP5" s="78">
        <v>100</v>
      </c>
      <c r="AQ5" s="78">
        <v>100</v>
      </c>
      <c r="AR5" s="78">
        <v>100</v>
      </c>
      <c r="AS5" s="78">
        <v>100</v>
      </c>
      <c r="AT5" s="78">
        <v>100</v>
      </c>
      <c r="AU5" s="78">
        <v>100</v>
      </c>
      <c r="AV5" s="78">
        <v>100</v>
      </c>
      <c r="AW5" s="78">
        <v>100</v>
      </c>
      <c r="AX5" s="78">
        <v>100</v>
      </c>
      <c r="AY5" s="78">
        <v>100</v>
      </c>
      <c r="AZ5" s="78">
        <v>100</v>
      </c>
      <c r="BA5" s="78">
        <v>100</v>
      </c>
      <c r="BB5" s="78">
        <v>100</v>
      </c>
      <c r="BC5" s="78">
        <v>100</v>
      </c>
      <c r="BD5" s="78">
        <v>100</v>
      </c>
      <c r="BE5" s="78">
        <v>100</v>
      </c>
      <c r="BF5" s="78">
        <v>100</v>
      </c>
      <c r="BG5" s="78">
        <v>100</v>
      </c>
      <c r="BH5" s="78">
        <v>100</v>
      </c>
      <c r="BI5" s="78">
        <v>100</v>
      </c>
      <c r="BJ5" s="78">
        <v>100</v>
      </c>
      <c r="BK5" s="78">
        <v>100</v>
      </c>
      <c r="BL5" s="78">
        <v>100</v>
      </c>
      <c r="BM5" s="78">
        <v>100</v>
      </c>
      <c r="BN5" s="78">
        <v>100</v>
      </c>
      <c r="BO5" s="78">
        <v>100</v>
      </c>
      <c r="BP5" s="78">
        <v>100</v>
      </c>
      <c r="BQ5" s="78">
        <v>100</v>
      </c>
      <c r="BR5" s="78">
        <v>100</v>
      </c>
      <c r="BS5" s="78">
        <v>100</v>
      </c>
      <c r="BT5" s="78">
        <v>100</v>
      </c>
      <c r="BU5" s="78">
        <v>100</v>
      </c>
      <c r="BV5" s="78">
        <v>100</v>
      </c>
      <c r="BW5" s="78">
        <v>100</v>
      </c>
      <c r="BX5" s="78">
        <v>100</v>
      </c>
      <c r="BY5" s="78">
        <v>100</v>
      </c>
      <c r="BZ5" s="78">
        <v>100</v>
      </c>
      <c r="CA5" s="78">
        <v>100</v>
      </c>
      <c r="CB5" s="78">
        <v>100</v>
      </c>
      <c r="CC5" s="78">
        <v>100</v>
      </c>
      <c r="CD5" s="78">
        <v>100</v>
      </c>
      <c r="CE5" s="78">
        <v>100</v>
      </c>
      <c r="CF5" s="78">
        <v>100</v>
      </c>
      <c r="CG5" s="78">
        <v>100</v>
      </c>
      <c r="CH5" s="78">
        <v>100</v>
      </c>
      <c r="CI5" s="78">
        <v>100</v>
      </c>
      <c r="CJ5" s="78">
        <v>100</v>
      </c>
      <c r="CK5" s="78">
        <v>100</v>
      </c>
      <c r="CL5" s="78">
        <v>100</v>
      </c>
      <c r="CM5" s="78">
        <v>100</v>
      </c>
      <c r="CN5" s="78">
        <v>100</v>
      </c>
      <c r="CO5" s="78">
        <v>100</v>
      </c>
      <c r="CP5" s="78">
        <v>100</v>
      </c>
      <c r="CQ5" s="78">
        <v>100</v>
      </c>
      <c r="CR5" s="78">
        <v>100</v>
      </c>
      <c r="CS5" s="78">
        <v>100</v>
      </c>
      <c r="CT5" s="78">
        <v>100</v>
      </c>
      <c r="CU5" s="78">
        <v>100</v>
      </c>
      <c r="CV5" s="78">
        <v>100</v>
      </c>
      <c r="CW5" s="78">
        <v>100</v>
      </c>
      <c r="CX5" s="79">
        <v>100</v>
      </c>
      <c r="CY5" s="79">
        <v>100</v>
      </c>
      <c r="CZ5" s="79">
        <v>100</v>
      </c>
      <c r="DA5" s="79">
        <v>100</v>
      </c>
      <c r="DB5" s="79">
        <v>100</v>
      </c>
      <c r="DC5" s="79">
        <v>100</v>
      </c>
      <c r="DD5" s="31">
        <v>89</v>
      </c>
      <c r="DE5" s="78">
        <v>100</v>
      </c>
      <c r="DF5" s="78">
        <v>100</v>
      </c>
      <c r="DG5" s="31">
        <v>86</v>
      </c>
      <c r="DH5" s="31">
        <v>75</v>
      </c>
      <c r="DI5" s="31">
        <v>84</v>
      </c>
      <c r="DJ5" s="31">
        <v>82</v>
      </c>
      <c r="DK5" s="31">
        <v>64</v>
      </c>
      <c r="DL5" s="31">
        <v>73</v>
      </c>
      <c r="DM5" s="31">
        <v>76</v>
      </c>
      <c r="DN5" s="31">
        <v>62</v>
      </c>
      <c r="DO5" s="31">
        <v>69</v>
      </c>
      <c r="DP5" s="31">
        <v>74</v>
      </c>
      <c r="DQ5" s="31">
        <v>59</v>
      </c>
      <c r="DR5" s="31">
        <v>66</v>
      </c>
      <c r="DS5" s="31">
        <v>65</v>
      </c>
      <c r="DT5" s="31">
        <v>43</v>
      </c>
      <c r="DU5" s="31">
        <v>48</v>
      </c>
      <c r="DV5" s="31">
        <v>59</v>
      </c>
      <c r="DW5" s="31">
        <v>40</v>
      </c>
      <c r="DX5" s="31">
        <v>44</v>
      </c>
      <c r="DY5" s="31">
        <v>10</v>
      </c>
      <c r="DZ5" s="31">
        <v>34</v>
      </c>
      <c r="EA5" s="31">
        <v>43</v>
      </c>
      <c r="EB5" s="31">
        <v>16</v>
      </c>
      <c r="EC5" s="31">
        <v>32</v>
      </c>
      <c r="ED5" s="31">
        <v>38</v>
      </c>
      <c r="EE5" s="31">
        <v>8</v>
      </c>
      <c r="EF5" s="31">
        <v>19</v>
      </c>
      <c r="EG5" s="31">
        <v>23</v>
      </c>
      <c r="EH5" s="31">
        <v>6</v>
      </c>
      <c r="EI5" s="31">
        <v>16</v>
      </c>
      <c r="EJ5" s="31">
        <v>18</v>
      </c>
      <c r="EK5" s="31">
        <v>3</v>
      </c>
      <c r="EL5" s="31">
        <v>15</v>
      </c>
      <c r="EM5" s="31">
        <v>15</v>
      </c>
      <c r="EN5" s="31">
        <v>4</v>
      </c>
      <c r="EO5" s="31">
        <v>11</v>
      </c>
      <c r="EP5" s="31">
        <v>13</v>
      </c>
      <c r="EQ5" s="31">
        <v>3</v>
      </c>
      <c r="ER5" s="31">
        <v>10</v>
      </c>
      <c r="ES5" s="31">
        <v>11</v>
      </c>
      <c r="ET5" s="31">
        <v>5</v>
      </c>
      <c r="EU5" s="31">
        <v>9</v>
      </c>
      <c r="EV5" s="31">
        <v>13</v>
      </c>
      <c r="EW5" s="31">
        <v>4</v>
      </c>
      <c r="EX5" s="31">
        <v>7</v>
      </c>
      <c r="EY5" s="31">
        <v>11</v>
      </c>
      <c r="EZ5" s="31">
        <v>2</v>
      </c>
      <c r="FA5" s="31">
        <v>4</v>
      </c>
      <c r="FB5" s="31">
        <v>8</v>
      </c>
      <c r="FC5" s="31">
        <v>3</v>
      </c>
      <c r="FD5" s="31">
        <v>4</v>
      </c>
      <c r="FE5" s="64">
        <v>3</v>
      </c>
      <c r="FF5" s="31">
        <v>2</v>
      </c>
      <c r="FG5" s="31">
        <v>3</v>
      </c>
      <c r="FH5" s="64">
        <v>2</v>
      </c>
      <c r="FI5" s="31">
        <v>5</v>
      </c>
      <c r="FJ5" s="31">
        <v>2</v>
      </c>
      <c r="FK5" s="64">
        <v>2</v>
      </c>
      <c r="FL5" s="31">
        <v>4</v>
      </c>
      <c r="FM5" s="31">
        <v>5</v>
      </c>
      <c r="FN5" s="64">
        <v>6</v>
      </c>
      <c r="FO5" s="31">
        <v>2</v>
      </c>
      <c r="FP5" s="31">
        <v>3</v>
      </c>
      <c r="FQ5" s="64">
        <v>12</v>
      </c>
      <c r="FR5" s="31">
        <v>4</v>
      </c>
      <c r="FS5" s="31">
        <v>5</v>
      </c>
      <c r="FT5" s="64">
        <v>18</v>
      </c>
      <c r="FU5" s="31">
        <v>5</v>
      </c>
      <c r="FV5" s="31">
        <v>8</v>
      </c>
      <c r="FW5" s="64">
        <v>3</v>
      </c>
      <c r="FX5" s="60">
        <v>4</v>
      </c>
      <c r="FY5" s="60">
        <v>7</v>
      </c>
      <c r="FZ5" s="62">
        <v>5</v>
      </c>
      <c r="GA5" s="61">
        <v>3</v>
      </c>
      <c r="GB5" s="61">
        <v>5</v>
      </c>
      <c r="GC5" s="61">
        <v>7</v>
      </c>
      <c r="GD5" s="61">
        <v>5</v>
      </c>
      <c r="GE5" s="61">
        <v>4</v>
      </c>
      <c r="GF5" s="61">
        <v>4</v>
      </c>
      <c r="GG5" s="61">
        <v>4</v>
      </c>
      <c r="GH5" s="62">
        <v>5</v>
      </c>
      <c r="GI5" s="62">
        <v>6</v>
      </c>
      <c r="GJ5" s="61">
        <v>3</v>
      </c>
      <c r="GK5" s="62">
        <v>4</v>
      </c>
      <c r="GL5" s="62">
        <v>3</v>
      </c>
      <c r="GM5" s="61">
        <v>4</v>
      </c>
      <c r="GN5" s="62">
        <v>6</v>
      </c>
      <c r="GO5" s="62">
        <v>4</v>
      </c>
      <c r="GP5" s="61">
        <v>6</v>
      </c>
      <c r="GQ5" s="62">
        <v>5</v>
      </c>
      <c r="GR5" s="62">
        <v>4</v>
      </c>
      <c r="GS5" s="61">
        <v>4</v>
      </c>
      <c r="GT5" s="62">
        <v>8</v>
      </c>
      <c r="GU5" s="62">
        <v>7</v>
      </c>
      <c r="GV5" s="62">
        <v>6</v>
      </c>
      <c r="GW5" s="62">
        <v>4</v>
      </c>
      <c r="GX5" s="62">
        <v>4</v>
      </c>
      <c r="GY5" s="62">
        <v>8</v>
      </c>
      <c r="GZ5" s="62">
        <v>5</v>
      </c>
      <c r="HA5" s="62">
        <v>8</v>
      </c>
      <c r="HB5" s="62">
        <v>10</v>
      </c>
      <c r="HC5" s="62">
        <v>6</v>
      </c>
      <c r="HD5" s="62">
        <v>5</v>
      </c>
      <c r="HE5" s="62">
        <v>5</v>
      </c>
      <c r="HF5" s="62">
        <v>7</v>
      </c>
      <c r="HG5" s="62">
        <v>4</v>
      </c>
      <c r="HH5" s="62">
        <v>8</v>
      </c>
      <c r="HI5" s="62">
        <v>6</v>
      </c>
      <c r="HJ5" s="62">
        <v>8</v>
      </c>
      <c r="HK5" s="62">
        <v>4</v>
      </c>
      <c r="HL5" s="62">
        <v>4</v>
      </c>
      <c r="HM5" s="62">
        <v>5</v>
      </c>
      <c r="HN5" s="62">
        <v>3</v>
      </c>
      <c r="HO5" s="62">
        <v>6</v>
      </c>
      <c r="HP5" s="62">
        <v>6</v>
      </c>
      <c r="HQ5" s="63">
        <v>3</v>
      </c>
      <c r="HR5" s="63">
        <v>5</v>
      </c>
      <c r="HS5" s="63">
        <v>6</v>
      </c>
      <c r="HT5" s="62">
        <v>14</v>
      </c>
      <c r="HU5" s="62">
        <v>6</v>
      </c>
      <c r="HV5" s="62">
        <v>8</v>
      </c>
      <c r="HW5" s="62">
        <v>16</v>
      </c>
      <c r="HX5" s="62">
        <v>7</v>
      </c>
      <c r="HY5" s="62">
        <v>8</v>
      </c>
      <c r="HZ5" s="62">
        <v>13</v>
      </c>
      <c r="IA5" s="62">
        <v>6</v>
      </c>
      <c r="IB5" s="62">
        <v>8</v>
      </c>
      <c r="IC5" s="63">
        <v>11</v>
      </c>
      <c r="ID5" s="63">
        <v>6</v>
      </c>
      <c r="IE5" s="63">
        <v>7</v>
      </c>
      <c r="IF5" s="62">
        <v>15</v>
      </c>
      <c r="IG5" s="61">
        <v>14</v>
      </c>
      <c r="IH5" s="80">
        <v>10</v>
      </c>
      <c r="II5" s="80">
        <v>9</v>
      </c>
      <c r="IJ5" s="80">
        <v>8</v>
      </c>
      <c r="IK5" s="80">
        <v>10</v>
      </c>
      <c r="IL5" s="61">
        <v>23</v>
      </c>
      <c r="IM5" s="61">
        <v>44</v>
      </c>
      <c r="IN5" s="61">
        <v>60</v>
      </c>
      <c r="IO5" s="61">
        <v>72</v>
      </c>
      <c r="IP5" s="61">
        <v>14</v>
      </c>
      <c r="IQ5" s="80">
        <v>8</v>
      </c>
      <c r="IR5" s="80">
        <v>9</v>
      </c>
      <c r="IS5" s="59">
        <f t="shared" ref="IS5:IS12" si="0">IFERROR(IQ5-IR5,0)</f>
        <v>-1</v>
      </c>
      <c r="IT5" s="186"/>
      <c r="IU5" s="18"/>
      <c r="IV5" s="21"/>
      <c r="IW5" s="21"/>
      <c r="IX5" s="18"/>
      <c r="IY5" s="18"/>
      <c r="IZ5" s="18"/>
      <c r="JA5" s="18"/>
      <c r="JB5" s="18"/>
      <c r="JC5" s="18"/>
      <c r="JD5" s="18"/>
      <c r="JE5" s="18"/>
      <c r="JF5" s="18"/>
      <c r="JG5" s="18"/>
      <c r="JH5" s="18"/>
      <c r="JI5" s="18"/>
      <c r="JJ5" s="18"/>
      <c r="JK5" s="18"/>
      <c r="JL5" s="18"/>
      <c r="JM5" s="18"/>
    </row>
    <row r="6" spans="1:273" ht="13.5" customHeight="1">
      <c r="A6" s="97">
        <v>2</v>
      </c>
      <c r="B6" s="77" t="s">
        <v>152</v>
      </c>
      <c r="C6" s="6">
        <v>10</v>
      </c>
      <c r="D6" s="6">
        <v>10</v>
      </c>
      <c r="E6" s="6">
        <v>10</v>
      </c>
      <c r="F6" s="31" t="s">
        <v>126</v>
      </c>
      <c r="G6" s="31" t="s">
        <v>126</v>
      </c>
      <c r="H6" s="31" t="s">
        <v>126</v>
      </c>
      <c r="I6" s="78">
        <v>100</v>
      </c>
      <c r="J6" s="78">
        <v>100</v>
      </c>
      <c r="K6" s="78">
        <v>100</v>
      </c>
      <c r="L6" s="78">
        <v>100</v>
      </c>
      <c r="M6" s="78">
        <v>100</v>
      </c>
      <c r="N6" s="78">
        <v>100</v>
      </c>
      <c r="O6" s="78">
        <v>100</v>
      </c>
      <c r="P6" s="78">
        <v>100</v>
      </c>
      <c r="Q6" s="78">
        <v>100</v>
      </c>
      <c r="R6" s="78">
        <v>100</v>
      </c>
      <c r="S6" s="78">
        <v>100</v>
      </c>
      <c r="T6" s="78">
        <v>100</v>
      </c>
      <c r="U6" s="78">
        <v>100</v>
      </c>
      <c r="V6" s="78">
        <v>100</v>
      </c>
      <c r="W6" s="78">
        <v>100</v>
      </c>
      <c r="X6" s="78">
        <v>100</v>
      </c>
      <c r="Y6" s="78">
        <v>100</v>
      </c>
      <c r="Z6" s="78">
        <v>100</v>
      </c>
      <c r="AA6" s="78">
        <v>100</v>
      </c>
      <c r="AB6" s="78">
        <v>100</v>
      </c>
      <c r="AC6" s="78">
        <v>100</v>
      </c>
      <c r="AD6" s="78">
        <v>100</v>
      </c>
      <c r="AE6" s="78">
        <v>100</v>
      </c>
      <c r="AF6" s="78">
        <v>100</v>
      </c>
      <c r="AG6" s="78">
        <v>100</v>
      </c>
      <c r="AH6" s="78">
        <v>100</v>
      </c>
      <c r="AI6" s="78">
        <v>100</v>
      </c>
      <c r="AJ6" s="31">
        <v>61</v>
      </c>
      <c r="AK6" s="78">
        <v>100</v>
      </c>
      <c r="AL6" s="78">
        <v>100</v>
      </c>
      <c r="AM6" s="31">
        <v>58</v>
      </c>
      <c r="AN6" s="78">
        <v>100</v>
      </c>
      <c r="AO6" s="78">
        <v>100</v>
      </c>
      <c r="AP6" s="31">
        <v>79</v>
      </c>
      <c r="AQ6" s="78">
        <v>100</v>
      </c>
      <c r="AR6" s="78">
        <v>100</v>
      </c>
      <c r="AS6" s="31">
        <v>82</v>
      </c>
      <c r="AT6" s="78">
        <v>100</v>
      </c>
      <c r="AU6" s="31">
        <v>95</v>
      </c>
      <c r="AV6" s="31">
        <v>80</v>
      </c>
      <c r="AW6" s="78">
        <v>100</v>
      </c>
      <c r="AX6" s="31">
        <v>91</v>
      </c>
      <c r="AY6" s="78">
        <v>100</v>
      </c>
      <c r="AZ6" s="78">
        <v>100</v>
      </c>
      <c r="BA6" s="31">
        <v>87</v>
      </c>
      <c r="BB6" s="78">
        <v>100</v>
      </c>
      <c r="BC6" s="78">
        <v>100</v>
      </c>
      <c r="BD6" s="31">
        <v>85</v>
      </c>
      <c r="BE6" s="78">
        <v>100</v>
      </c>
      <c r="BF6" s="78">
        <v>100</v>
      </c>
      <c r="BG6" s="31">
        <v>77</v>
      </c>
      <c r="BH6" s="78">
        <v>100</v>
      </c>
      <c r="BI6" s="78">
        <v>100</v>
      </c>
      <c r="BJ6" s="31">
        <v>74</v>
      </c>
      <c r="BK6" s="78">
        <v>100</v>
      </c>
      <c r="BL6" s="31">
        <v>87</v>
      </c>
      <c r="BM6" s="31">
        <v>70</v>
      </c>
      <c r="BN6" s="78">
        <v>100</v>
      </c>
      <c r="BO6" s="31">
        <v>84</v>
      </c>
      <c r="BP6" s="31">
        <v>68</v>
      </c>
      <c r="BQ6" s="78">
        <v>100</v>
      </c>
      <c r="BR6" s="31">
        <v>63</v>
      </c>
      <c r="BS6" s="31">
        <v>65</v>
      </c>
      <c r="BT6" s="78">
        <v>100</v>
      </c>
      <c r="BU6" s="31">
        <v>69</v>
      </c>
      <c r="BV6" s="31">
        <v>54</v>
      </c>
      <c r="BW6" s="78">
        <v>100</v>
      </c>
      <c r="BX6" s="31">
        <v>67</v>
      </c>
      <c r="BY6" s="31">
        <v>59</v>
      </c>
      <c r="BZ6" s="78">
        <v>100</v>
      </c>
      <c r="CA6" s="31">
        <v>69</v>
      </c>
      <c r="CB6" s="31">
        <v>52</v>
      </c>
      <c r="CC6" s="78">
        <v>100</v>
      </c>
      <c r="CD6" s="31">
        <v>69</v>
      </c>
      <c r="CE6" s="31">
        <v>52</v>
      </c>
      <c r="CF6" s="78">
        <v>100</v>
      </c>
      <c r="CG6" s="31">
        <v>54</v>
      </c>
      <c r="CH6" s="31">
        <v>67</v>
      </c>
      <c r="CI6" s="31">
        <v>92</v>
      </c>
      <c r="CJ6" s="31">
        <v>54</v>
      </c>
      <c r="CK6" s="31">
        <v>65</v>
      </c>
      <c r="CL6" s="31">
        <v>85</v>
      </c>
      <c r="CM6" s="31">
        <v>59</v>
      </c>
      <c r="CN6" s="31">
        <v>67</v>
      </c>
      <c r="CO6" s="31">
        <v>76</v>
      </c>
      <c r="CP6" s="31">
        <v>67</v>
      </c>
      <c r="CQ6" s="31">
        <v>65</v>
      </c>
      <c r="CR6" s="31">
        <v>85</v>
      </c>
      <c r="CS6" s="31">
        <v>64</v>
      </c>
      <c r="CT6" s="31">
        <v>61</v>
      </c>
      <c r="CU6" s="31">
        <v>82</v>
      </c>
      <c r="CV6" s="31">
        <v>64</v>
      </c>
      <c r="CW6" s="31">
        <v>59</v>
      </c>
      <c r="CX6" s="31">
        <v>73</v>
      </c>
      <c r="CY6" s="31">
        <v>68</v>
      </c>
      <c r="CZ6" s="31">
        <v>52</v>
      </c>
      <c r="DA6" s="31">
        <v>70</v>
      </c>
      <c r="DB6" s="31">
        <v>62</v>
      </c>
      <c r="DC6" s="31">
        <v>59</v>
      </c>
      <c r="DD6" s="31">
        <v>68</v>
      </c>
      <c r="DE6" s="31">
        <v>61</v>
      </c>
      <c r="DF6" s="31">
        <v>53</v>
      </c>
      <c r="DG6" s="31">
        <v>59</v>
      </c>
      <c r="DH6" s="31">
        <v>62</v>
      </c>
      <c r="DI6" s="31">
        <v>47</v>
      </c>
      <c r="DJ6" s="31">
        <v>46</v>
      </c>
      <c r="DK6" s="31">
        <v>57</v>
      </c>
      <c r="DL6" s="31">
        <v>35</v>
      </c>
      <c r="DM6" s="31">
        <v>46</v>
      </c>
      <c r="DN6" s="31">
        <v>57</v>
      </c>
      <c r="DO6" s="31">
        <v>35</v>
      </c>
      <c r="DP6" s="31">
        <v>38</v>
      </c>
      <c r="DQ6" s="31">
        <v>52</v>
      </c>
      <c r="DR6" s="31">
        <v>31</v>
      </c>
      <c r="DS6" s="31">
        <v>10</v>
      </c>
      <c r="DT6" s="31">
        <v>46</v>
      </c>
      <c r="DU6" s="31">
        <v>30</v>
      </c>
      <c r="DV6" s="31">
        <v>3</v>
      </c>
      <c r="DW6" s="31">
        <v>42</v>
      </c>
      <c r="DX6" s="31">
        <v>31</v>
      </c>
      <c r="DY6" s="31">
        <v>2</v>
      </c>
      <c r="DZ6" s="31">
        <v>38</v>
      </c>
      <c r="EA6" s="31">
        <v>26</v>
      </c>
      <c r="EB6" s="31">
        <v>1</v>
      </c>
      <c r="EC6" s="31">
        <v>26</v>
      </c>
      <c r="ED6" s="31">
        <v>22</v>
      </c>
      <c r="EE6" s="31">
        <v>1</v>
      </c>
      <c r="EF6" s="31">
        <v>23</v>
      </c>
      <c r="EG6" s="31">
        <v>19</v>
      </c>
      <c r="EH6" s="31">
        <v>1</v>
      </c>
      <c r="EI6" s="31">
        <v>19</v>
      </c>
      <c r="EJ6" s="31">
        <v>16</v>
      </c>
      <c r="EK6" s="31">
        <v>1</v>
      </c>
      <c r="EL6" s="31">
        <v>13</v>
      </c>
      <c r="EM6" s="31">
        <v>12</v>
      </c>
      <c r="EN6" s="31">
        <v>5</v>
      </c>
      <c r="EO6" s="31">
        <v>11</v>
      </c>
      <c r="EP6" s="31">
        <v>13</v>
      </c>
      <c r="EQ6" s="31">
        <v>2</v>
      </c>
      <c r="ER6" s="31">
        <v>10</v>
      </c>
      <c r="ES6" s="31">
        <v>12</v>
      </c>
      <c r="ET6" s="31">
        <v>1</v>
      </c>
      <c r="EU6" s="31">
        <v>8</v>
      </c>
      <c r="EV6" s="31">
        <v>11</v>
      </c>
      <c r="EW6" s="31">
        <v>2</v>
      </c>
      <c r="EX6" s="31">
        <v>6</v>
      </c>
      <c r="EY6" s="31">
        <v>10</v>
      </c>
      <c r="EZ6" s="31">
        <v>1</v>
      </c>
      <c r="FA6" s="31">
        <v>4</v>
      </c>
      <c r="FB6" s="31">
        <v>7</v>
      </c>
      <c r="FC6" s="31">
        <v>2</v>
      </c>
      <c r="FD6" s="31">
        <v>3</v>
      </c>
      <c r="FE6" s="31">
        <v>5</v>
      </c>
      <c r="FF6" s="31">
        <v>9</v>
      </c>
      <c r="FG6" s="64">
        <v>6</v>
      </c>
      <c r="FH6" s="64">
        <v>7</v>
      </c>
      <c r="FI6" s="31">
        <v>6</v>
      </c>
      <c r="FJ6" s="64">
        <v>5</v>
      </c>
      <c r="FK6" s="64">
        <v>6</v>
      </c>
      <c r="FL6" s="64">
        <v>5</v>
      </c>
      <c r="FM6" s="64">
        <v>4</v>
      </c>
      <c r="FN6" s="64">
        <v>4</v>
      </c>
      <c r="FO6" s="64">
        <v>17</v>
      </c>
      <c r="FP6" s="64">
        <v>5</v>
      </c>
      <c r="FQ6" s="64">
        <v>5</v>
      </c>
      <c r="FR6" s="64">
        <v>13</v>
      </c>
      <c r="FS6" s="64">
        <v>4</v>
      </c>
      <c r="FT6" s="64">
        <v>4</v>
      </c>
      <c r="FU6" s="64">
        <v>12</v>
      </c>
      <c r="FV6" s="64">
        <v>3</v>
      </c>
      <c r="FW6" s="64">
        <v>3</v>
      </c>
      <c r="FX6" s="62">
        <v>11</v>
      </c>
      <c r="FY6" s="62">
        <v>5</v>
      </c>
      <c r="FZ6" s="62">
        <v>6</v>
      </c>
      <c r="GA6" s="62">
        <v>9</v>
      </c>
      <c r="GB6" s="62">
        <v>6</v>
      </c>
      <c r="GC6" s="62">
        <v>5</v>
      </c>
      <c r="GD6" s="62">
        <v>8</v>
      </c>
      <c r="GE6" s="62">
        <v>4</v>
      </c>
      <c r="GF6" s="62">
        <v>4</v>
      </c>
      <c r="GG6" s="61">
        <v>7</v>
      </c>
      <c r="GH6" s="62">
        <v>6</v>
      </c>
      <c r="GI6" s="62">
        <v>3</v>
      </c>
      <c r="GJ6" s="61">
        <v>5</v>
      </c>
      <c r="GK6" s="62">
        <v>5</v>
      </c>
      <c r="GL6" s="62">
        <v>6</v>
      </c>
      <c r="GM6" s="61">
        <v>8</v>
      </c>
      <c r="GN6" s="62">
        <v>7</v>
      </c>
      <c r="GO6" s="62">
        <v>4</v>
      </c>
      <c r="GP6" s="61">
        <v>10</v>
      </c>
      <c r="GQ6" s="62">
        <v>8</v>
      </c>
      <c r="GR6" s="62">
        <v>8</v>
      </c>
      <c r="GS6" s="61">
        <v>7</v>
      </c>
      <c r="GT6" s="62">
        <v>6</v>
      </c>
      <c r="GU6" s="62">
        <v>5</v>
      </c>
      <c r="GV6" s="62">
        <v>10</v>
      </c>
      <c r="GW6" s="62">
        <v>8</v>
      </c>
      <c r="GX6" s="62">
        <v>9</v>
      </c>
      <c r="GY6" s="62">
        <v>9</v>
      </c>
      <c r="GZ6" s="62">
        <v>10</v>
      </c>
      <c r="HA6" s="62">
        <v>10</v>
      </c>
      <c r="HB6" s="62">
        <v>10</v>
      </c>
      <c r="HC6" s="62">
        <v>9</v>
      </c>
      <c r="HD6" s="62">
        <v>7</v>
      </c>
      <c r="HE6" s="62">
        <v>8</v>
      </c>
      <c r="HF6" s="62">
        <v>6</v>
      </c>
      <c r="HG6" s="62">
        <v>7</v>
      </c>
      <c r="HH6" s="62">
        <v>10</v>
      </c>
      <c r="HI6" s="62">
        <v>10</v>
      </c>
      <c r="HJ6" s="62">
        <v>9</v>
      </c>
      <c r="HK6" s="62">
        <v>15</v>
      </c>
      <c r="HL6" s="62">
        <v>9</v>
      </c>
      <c r="HM6" s="62">
        <v>6</v>
      </c>
      <c r="HN6" s="62">
        <v>13</v>
      </c>
      <c r="HO6" s="62">
        <v>7</v>
      </c>
      <c r="HP6" s="62">
        <v>5</v>
      </c>
      <c r="HQ6" s="63">
        <v>12</v>
      </c>
      <c r="HR6" s="63">
        <v>5</v>
      </c>
      <c r="HS6" s="63">
        <v>6</v>
      </c>
      <c r="HT6" s="67">
        <v>100</v>
      </c>
      <c r="HU6" s="62">
        <v>9</v>
      </c>
      <c r="HV6" s="62">
        <v>6</v>
      </c>
      <c r="HW6" s="67">
        <v>100</v>
      </c>
      <c r="HX6" s="62">
        <v>6</v>
      </c>
      <c r="HY6" s="62">
        <v>8</v>
      </c>
      <c r="HZ6" s="67">
        <v>100</v>
      </c>
      <c r="IA6" s="62">
        <v>9</v>
      </c>
      <c r="IB6" s="62">
        <v>10</v>
      </c>
      <c r="IC6" s="68">
        <v>100</v>
      </c>
      <c r="ID6" s="63">
        <v>6</v>
      </c>
      <c r="IE6" s="63">
        <v>8</v>
      </c>
      <c r="IF6" s="67">
        <v>100</v>
      </c>
      <c r="IG6" s="67">
        <v>100</v>
      </c>
      <c r="IH6" s="61">
        <v>74</v>
      </c>
      <c r="II6" s="61">
        <v>67</v>
      </c>
      <c r="IJ6" s="61">
        <v>65</v>
      </c>
      <c r="IK6" s="61">
        <v>61</v>
      </c>
      <c r="IL6" s="61">
        <v>78</v>
      </c>
      <c r="IM6" s="61">
        <v>74</v>
      </c>
      <c r="IN6" s="61">
        <v>85</v>
      </c>
      <c r="IO6" s="61">
        <v>84</v>
      </c>
      <c r="IP6" s="61">
        <v>44</v>
      </c>
      <c r="IQ6" s="61">
        <v>50</v>
      </c>
      <c r="IR6" s="61">
        <v>50</v>
      </c>
      <c r="IS6" s="59">
        <f t="shared" si="0"/>
        <v>0</v>
      </c>
      <c r="IT6" s="186"/>
      <c r="IU6" s="18"/>
      <c r="IV6" s="21"/>
      <c r="IW6" s="21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</row>
    <row r="7" spans="1:273" ht="13.5" customHeight="1">
      <c r="A7" s="97">
        <v>3</v>
      </c>
      <c r="B7" s="77" t="s">
        <v>153</v>
      </c>
      <c r="C7" s="8">
        <v>10</v>
      </c>
      <c r="D7" s="8">
        <v>10</v>
      </c>
      <c r="E7" s="8">
        <v>10</v>
      </c>
      <c r="F7" s="31" t="s">
        <v>126</v>
      </c>
      <c r="G7" s="31" t="s">
        <v>126</v>
      </c>
      <c r="H7" s="31" t="s">
        <v>126</v>
      </c>
      <c r="I7" s="78">
        <v>100</v>
      </c>
      <c r="J7" s="78">
        <v>100</v>
      </c>
      <c r="K7" s="78">
        <v>100</v>
      </c>
      <c r="L7" s="78">
        <v>100</v>
      </c>
      <c r="M7" s="78">
        <v>100</v>
      </c>
      <c r="N7" s="78">
        <v>100</v>
      </c>
      <c r="O7" s="78">
        <v>100</v>
      </c>
      <c r="P7" s="78">
        <v>100</v>
      </c>
      <c r="Q7" s="78">
        <v>100</v>
      </c>
      <c r="R7" s="31">
        <v>46</v>
      </c>
      <c r="S7" s="78">
        <v>100</v>
      </c>
      <c r="T7" s="78">
        <v>100</v>
      </c>
      <c r="U7" s="31">
        <v>35</v>
      </c>
      <c r="V7" s="78">
        <v>100</v>
      </c>
      <c r="W7" s="78">
        <v>100</v>
      </c>
      <c r="X7" s="31">
        <v>26</v>
      </c>
      <c r="Y7" s="78">
        <v>100</v>
      </c>
      <c r="Z7" s="78">
        <v>100</v>
      </c>
      <c r="AA7" s="31">
        <v>19</v>
      </c>
      <c r="AB7" s="78">
        <v>21</v>
      </c>
      <c r="AC7" s="78">
        <v>100</v>
      </c>
      <c r="AD7" s="78">
        <v>100</v>
      </c>
      <c r="AE7" s="78">
        <v>21</v>
      </c>
      <c r="AF7" s="78">
        <v>100</v>
      </c>
      <c r="AG7" s="78">
        <v>100</v>
      </c>
      <c r="AH7" s="78">
        <v>21</v>
      </c>
      <c r="AI7" s="78">
        <v>100</v>
      </c>
      <c r="AJ7" s="31">
        <v>22</v>
      </c>
      <c r="AK7" s="78">
        <v>21</v>
      </c>
      <c r="AL7" s="78">
        <v>100</v>
      </c>
      <c r="AM7" s="31">
        <v>35</v>
      </c>
      <c r="AN7" s="78">
        <v>21</v>
      </c>
      <c r="AO7" s="78">
        <v>100</v>
      </c>
      <c r="AP7" s="31">
        <v>86</v>
      </c>
      <c r="AQ7" s="78">
        <v>100</v>
      </c>
      <c r="AR7" s="78">
        <v>100</v>
      </c>
      <c r="AS7" s="31">
        <v>74</v>
      </c>
      <c r="AT7" s="31">
        <v>89</v>
      </c>
      <c r="AU7" s="78">
        <v>100</v>
      </c>
      <c r="AV7" s="31">
        <v>57</v>
      </c>
      <c r="AW7" s="31">
        <v>87</v>
      </c>
      <c r="AX7" s="78">
        <v>100</v>
      </c>
      <c r="AY7" s="31">
        <v>59</v>
      </c>
      <c r="AZ7" s="31">
        <v>76</v>
      </c>
      <c r="BA7" s="31">
        <v>96</v>
      </c>
      <c r="BB7" s="31">
        <v>47</v>
      </c>
      <c r="BC7" s="31">
        <v>65</v>
      </c>
      <c r="BD7" s="31">
        <v>84</v>
      </c>
      <c r="BE7" s="31">
        <v>38</v>
      </c>
      <c r="BF7" s="31">
        <v>60</v>
      </c>
      <c r="BG7" s="31">
        <v>64</v>
      </c>
      <c r="BH7" s="31">
        <v>29</v>
      </c>
      <c r="BI7" s="31">
        <v>48</v>
      </c>
      <c r="BJ7" s="31">
        <v>34</v>
      </c>
      <c r="BK7" s="31">
        <v>10</v>
      </c>
      <c r="BL7" s="31">
        <v>27</v>
      </c>
      <c r="BM7" s="31">
        <v>31</v>
      </c>
      <c r="BN7" s="31">
        <v>9</v>
      </c>
      <c r="BO7" s="31">
        <v>8</v>
      </c>
      <c r="BP7" s="31">
        <v>27</v>
      </c>
      <c r="BQ7" s="31">
        <v>7</v>
      </c>
      <c r="BR7" s="31">
        <v>9</v>
      </c>
      <c r="BS7" s="31">
        <v>18</v>
      </c>
      <c r="BT7" s="31">
        <v>9</v>
      </c>
      <c r="BU7" s="31">
        <v>8</v>
      </c>
      <c r="BV7" s="31">
        <v>7</v>
      </c>
      <c r="BW7" s="31">
        <v>7</v>
      </c>
      <c r="BX7" s="31">
        <v>12</v>
      </c>
      <c r="BY7" s="31">
        <v>6</v>
      </c>
      <c r="BZ7" s="31">
        <v>8</v>
      </c>
      <c r="CA7" s="31">
        <v>10</v>
      </c>
      <c r="CB7" s="31">
        <v>9</v>
      </c>
      <c r="CC7" s="31">
        <v>13</v>
      </c>
      <c r="CD7" s="31">
        <v>11</v>
      </c>
      <c r="CE7" s="31">
        <v>8</v>
      </c>
      <c r="CF7" s="31">
        <v>16</v>
      </c>
      <c r="CG7" s="31">
        <v>19</v>
      </c>
      <c r="CH7" s="31">
        <v>14</v>
      </c>
      <c r="CI7" s="31">
        <v>6</v>
      </c>
      <c r="CJ7" s="31">
        <v>10</v>
      </c>
      <c r="CK7" s="31">
        <v>11</v>
      </c>
      <c r="CL7" s="31">
        <v>5</v>
      </c>
      <c r="CM7" s="31">
        <v>8</v>
      </c>
      <c r="CN7" s="31">
        <v>10</v>
      </c>
      <c r="CO7" s="31">
        <v>3</v>
      </c>
      <c r="CP7" s="31">
        <v>5</v>
      </c>
      <c r="CQ7" s="31">
        <v>8</v>
      </c>
      <c r="CR7" s="31">
        <v>2</v>
      </c>
      <c r="CS7" s="31">
        <v>3</v>
      </c>
      <c r="CT7" s="31">
        <v>6</v>
      </c>
      <c r="CU7" s="31">
        <v>1</v>
      </c>
      <c r="CV7" s="31">
        <v>2</v>
      </c>
      <c r="CW7" s="31">
        <v>4</v>
      </c>
      <c r="CX7" s="31">
        <v>1</v>
      </c>
      <c r="CY7" s="31">
        <v>2</v>
      </c>
      <c r="CZ7" s="31">
        <v>3</v>
      </c>
      <c r="DA7" s="31">
        <v>1</v>
      </c>
      <c r="DB7" s="31">
        <v>2</v>
      </c>
      <c r="DC7" s="31">
        <v>2</v>
      </c>
      <c r="DD7" s="31">
        <v>5</v>
      </c>
      <c r="DE7" s="31">
        <v>2</v>
      </c>
      <c r="DF7" s="31">
        <v>4</v>
      </c>
      <c r="DG7" s="31">
        <v>4</v>
      </c>
      <c r="DH7" s="31">
        <v>2</v>
      </c>
      <c r="DI7" s="31">
        <v>4</v>
      </c>
      <c r="DJ7" s="31">
        <v>3</v>
      </c>
      <c r="DK7" s="31">
        <v>2</v>
      </c>
      <c r="DL7" s="31">
        <v>3</v>
      </c>
      <c r="DM7" s="31">
        <v>6</v>
      </c>
      <c r="DN7" s="31">
        <v>4</v>
      </c>
      <c r="DO7" s="31">
        <v>5</v>
      </c>
      <c r="DP7" s="31">
        <v>4</v>
      </c>
      <c r="DQ7" s="31">
        <v>3</v>
      </c>
      <c r="DR7" s="31">
        <v>4</v>
      </c>
      <c r="DS7" s="31">
        <v>8</v>
      </c>
      <c r="DT7" s="31">
        <v>3</v>
      </c>
      <c r="DU7" s="31">
        <v>3</v>
      </c>
      <c r="DV7" s="31">
        <v>6</v>
      </c>
      <c r="DW7" s="31">
        <v>8</v>
      </c>
      <c r="DX7" s="31">
        <v>5</v>
      </c>
      <c r="DY7" s="31">
        <v>5</v>
      </c>
      <c r="DZ7" s="31">
        <v>2</v>
      </c>
      <c r="EA7" s="31">
        <v>5</v>
      </c>
      <c r="EB7" s="31">
        <v>4</v>
      </c>
      <c r="EC7" s="31">
        <v>1</v>
      </c>
      <c r="ED7" s="31">
        <v>3</v>
      </c>
      <c r="EE7" s="31">
        <v>3</v>
      </c>
      <c r="EF7" s="31">
        <v>5</v>
      </c>
      <c r="EG7" s="31">
        <v>2</v>
      </c>
      <c r="EH7" s="31">
        <v>5</v>
      </c>
      <c r="EI7" s="31">
        <v>4</v>
      </c>
      <c r="EJ7" s="31">
        <v>6</v>
      </c>
      <c r="EK7" s="31">
        <v>4</v>
      </c>
      <c r="EL7" s="31">
        <v>3</v>
      </c>
      <c r="EM7" s="31">
        <v>8</v>
      </c>
      <c r="EN7" s="31">
        <v>3</v>
      </c>
      <c r="EO7" s="31">
        <v>4</v>
      </c>
      <c r="EP7" s="31">
        <v>6</v>
      </c>
      <c r="EQ7" s="31">
        <v>6</v>
      </c>
      <c r="ER7" s="31">
        <v>5</v>
      </c>
      <c r="ES7" s="31">
        <v>4</v>
      </c>
      <c r="ET7" s="31">
        <v>5</v>
      </c>
      <c r="EU7" s="31">
        <v>6</v>
      </c>
      <c r="EV7" s="31">
        <v>5</v>
      </c>
      <c r="EW7" s="31">
        <v>6</v>
      </c>
      <c r="EX7" s="31">
        <v>5</v>
      </c>
      <c r="EY7" s="31">
        <v>7</v>
      </c>
      <c r="EZ7" s="31">
        <v>8</v>
      </c>
      <c r="FA7" s="31">
        <v>4</v>
      </c>
      <c r="FB7" s="31">
        <v>5</v>
      </c>
      <c r="FC7" s="31">
        <v>6</v>
      </c>
      <c r="FD7" s="31">
        <v>4</v>
      </c>
      <c r="FE7" s="31">
        <v>4</v>
      </c>
      <c r="FF7" s="31">
        <v>5</v>
      </c>
      <c r="FG7" s="31">
        <v>3</v>
      </c>
      <c r="FH7" s="31">
        <v>3</v>
      </c>
      <c r="FI7" s="31">
        <v>4</v>
      </c>
      <c r="FJ7" s="31">
        <v>5</v>
      </c>
      <c r="FK7" s="31">
        <v>2</v>
      </c>
      <c r="FL7" s="31">
        <v>5</v>
      </c>
      <c r="FM7" s="31">
        <v>4</v>
      </c>
      <c r="FN7" s="31">
        <v>6</v>
      </c>
      <c r="FO7" s="31">
        <v>8</v>
      </c>
      <c r="FP7" s="31">
        <v>5</v>
      </c>
      <c r="FQ7" s="31">
        <v>9</v>
      </c>
      <c r="FR7" s="31">
        <v>9</v>
      </c>
      <c r="FS7" s="64">
        <v>4</v>
      </c>
      <c r="FT7" s="31">
        <v>8</v>
      </c>
      <c r="FU7" s="31">
        <v>7</v>
      </c>
      <c r="FV7" s="64">
        <v>5</v>
      </c>
      <c r="FW7" s="31">
        <v>6</v>
      </c>
      <c r="FX7" s="60">
        <v>6</v>
      </c>
      <c r="FY7" s="62">
        <v>8</v>
      </c>
      <c r="FZ7" s="60">
        <v>5</v>
      </c>
      <c r="GA7" s="61">
        <v>8</v>
      </c>
      <c r="GB7" s="62">
        <v>6</v>
      </c>
      <c r="GC7" s="62">
        <v>4</v>
      </c>
      <c r="GD7" s="61">
        <v>10</v>
      </c>
      <c r="GE7" s="62">
        <v>10</v>
      </c>
      <c r="GF7" s="62">
        <v>5</v>
      </c>
      <c r="GG7" s="61">
        <v>9</v>
      </c>
      <c r="GH7" s="61">
        <v>7</v>
      </c>
      <c r="GI7" s="61">
        <v>8</v>
      </c>
      <c r="GJ7" s="61">
        <v>6</v>
      </c>
      <c r="GK7" s="61">
        <v>5</v>
      </c>
      <c r="GL7" s="61">
        <v>6</v>
      </c>
      <c r="GM7" s="61">
        <v>9</v>
      </c>
      <c r="GN7" s="61">
        <v>7</v>
      </c>
      <c r="GO7" s="61">
        <v>5</v>
      </c>
      <c r="GP7" s="61">
        <v>5</v>
      </c>
      <c r="GQ7" s="62">
        <v>4</v>
      </c>
      <c r="GR7" s="62">
        <v>4</v>
      </c>
      <c r="GS7" s="62">
        <v>4</v>
      </c>
      <c r="GT7" s="62">
        <v>6</v>
      </c>
      <c r="GU7" s="62">
        <v>3</v>
      </c>
      <c r="GV7" s="62">
        <v>5</v>
      </c>
      <c r="GW7" s="62">
        <v>4</v>
      </c>
      <c r="GX7" s="62">
        <v>8</v>
      </c>
      <c r="GY7" s="62">
        <v>6</v>
      </c>
      <c r="GZ7" s="62">
        <v>3</v>
      </c>
      <c r="HA7" s="62">
        <v>5</v>
      </c>
      <c r="HB7" s="62">
        <v>4</v>
      </c>
      <c r="HC7" s="62">
        <v>6</v>
      </c>
      <c r="HD7" s="62">
        <v>4</v>
      </c>
      <c r="HE7" s="62">
        <v>6</v>
      </c>
      <c r="HF7" s="62">
        <v>10</v>
      </c>
      <c r="HG7" s="62">
        <v>10</v>
      </c>
      <c r="HH7" s="62">
        <v>3</v>
      </c>
      <c r="HI7" s="62">
        <v>6</v>
      </c>
      <c r="HJ7" s="62">
        <v>7</v>
      </c>
      <c r="HK7" s="62">
        <v>5</v>
      </c>
      <c r="HL7" s="62">
        <v>4</v>
      </c>
      <c r="HM7" s="62">
        <v>4</v>
      </c>
      <c r="HN7" s="62">
        <v>8</v>
      </c>
      <c r="HO7" s="62">
        <v>8</v>
      </c>
      <c r="HP7" s="62">
        <v>9</v>
      </c>
      <c r="HQ7" s="63">
        <v>10</v>
      </c>
      <c r="HR7" s="63">
        <v>6</v>
      </c>
      <c r="HS7" s="63">
        <v>10</v>
      </c>
      <c r="HT7" s="62">
        <v>21</v>
      </c>
      <c r="HU7" s="62">
        <v>7</v>
      </c>
      <c r="HV7" s="62">
        <v>9</v>
      </c>
      <c r="HW7" s="62">
        <v>17</v>
      </c>
      <c r="HX7" s="62">
        <v>7</v>
      </c>
      <c r="HY7" s="62">
        <v>6</v>
      </c>
      <c r="HZ7" s="62">
        <v>12</v>
      </c>
      <c r="IA7" s="62">
        <v>7</v>
      </c>
      <c r="IB7" s="62">
        <v>6</v>
      </c>
      <c r="IC7" s="63">
        <v>8</v>
      </c>
      <c r="ID7" s="63">
        <v>7</v>
      </c>
      <c r="IE7" s="63">
        <v>6</v>
      </c>
      <c r="IF7" s="62">
        <v>5</v>
      </c>
      <c r="IG7" s="81">
        <v>3</v>
      </c>
      <c r="IH7" s="81">
        <v>2</v>
      </c>
      <c r="II7" s="81">
        <v>2</v>
      </c>
      <c r="IJ7" s="81">
        <v>3</v>
      </c>
      <c r="IK7" s="81">
        <v>4</v>
      </c>
      <c r="IL7" s="81">
        <v>4</v>
      </c>
      <c r="IM7" s="81">
        <v>3</v>
      </c>
      <c r="IN7" s="81">
        <v>4</v>
      </c>
      <c r="IO7" s="81">
        <v>4</v>
      </c>
      <c r="IP7" s="81">
        <v>7</v>
      </c>
      <c r="IQ7" s="81">
        <v>7</v>
      </c>
      <c r="IR7" s="81">
        <v>7</v>
      </c>
      <c r="IS7" s="59">
        <f t="shared" si="0"/>
        <v>0</v>
      </c>
      <c r="IT7" s="186"/>
      <c r="IU7" s="18"/>
      <c r="IV7" s="21"/>
      <c r="IW7" s="21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</row>
    <row r="8" spans="1:273" ht="13.5" customHeight="1">
      <c r="A8" s="97">
        <v>4</v>
      </c>
      <c r="B8" s="107" t="s">
        <v>124</v>
      </c>
      <c r="C8" s="6">
        <v>70</v>
      </c>
      <c r="D8" s="6">
        <v>90</v>
      </c>
      <c r="E8" s="6">
        <v>110</v>
      </c>
      <c r="F8" s="31" t="s">
        <v>126</v>
      </c>
      <c r="G8" s="31" t="s">
        <v>126</v>
      </c>
      <c r="H8" s="31" t="s">
        <v>126</v>
      </c>
      <c r="I8" s="78">
        <v>100</v>
      </c>
      <c r="J8" s="78">
        <v>100</v>
      </c>
      <c r="K8" s="78">
        <v>100</v>
      </c>
      <c r="L8" s="64">
        <v>55</v>
      </c>
      <c r="M8" s="64">
        <v>54</v>
      </c>
      <c r="N8" s="64">
        <v>52</v>
      </c>
      <c r="O8" s="64">
        <v>46</v>
      </c>
      <c r="P8" s="64">
        <v>29</v>
      </c>
      <c r="Q8" s="64">
        <v>32</v>
      </c>
      <c r="R8" s="64">
        <v>42</v>
      </c>
      <c r="S8" s="64">
        <v>28</v>
      </c>
      <c r="T8" s="64">
        <v>40</v>
      </c>
      <c r="U8" s="64">
        <v>10</v>
      </c>
      <c r="V8" s="64">
        <v>27</v>
      </c>
      <c r="W8" s="64">
        <v>37</v>
      </c>
      <c r="X8" s="64">
        <v>11</v>
      </c>
      <c r="Y8" s="64">
        <v>48</v>
      </c>
      <c r="Z8" s="64">
        <v>35</v>
      </c>
      <c r="AA8" s="64">
        <v>10</v>
      </c>
      <c r="AB8" s="64">
        <v>42</v>
      </c>
      <c r="AC8" s="64">
        <v>37</v>
      </c>
      <c r="AD8" s="64">
        <v>8</v>
      </c>
      <c r="AE8" s="64">
        <v>40</v>
      </c>
      <c r="AF8" s="64">
        <v>31</v>
      </c>
      <c r="AG8" s="64">
        <v>7</v>
      </c>
      <c r="AH8" s="64">
        <v>14</v>
      </c>
      <c r="AI8" s="64">
        <v>26</v>
      </c>
      <c r="AJ8" s="64">
        <v>6</v>
      </c>
      <c r="AK8" s="64">
        <v>12</v>
      </c>
      <c r="AL8" s="64">
        <v>14</v>
      </c>
      <c r="AM8" s="64">
        <v>8</v>
      </c>
      <c r="AN8" s="64">
        <v>6</v>
      </c>
      <c r="AO8" s="64">
        <v>10</v>
      </c>
      <c r="AP8" s="64">
        <v>10</v>
      </c>
      <c r="AQ8" s="64">
        <v>5</v>
      </c>
      <c r="AR8" s="64">
        <v>12</v>
      </c>
      <c r="AS8" s="64">
        <v>9</v>
      </c>
      <c r="AT8" s="64">
        <v>4</v>
      </c>
      <c r="AU8" s="64">
        <v>10</v>
      </c>
      <c r="AV8" s="64">
        <v>8</v>
      </c>
      <c r="AW8" s="64">
        <v>6</v>
      </c>
      <c r="AX8" s="64">
        <v>10</v>
      </c>
      <c r="AY8" s="64">
        <v>8</v>
      </c>
      <c r="AZ8" s="64">
        <v>13</v>
      </c>
      <c r="BA8" s="64">
        <v>15</v>
      </c>
      <c r="BB8" s="64">
        <v>8</v>
      </c>
      <c r="BC8" s="64">
        <v>12</v>
      </c>
      <c r="BD8" s="64">
        <v>14</v>
      </c>
      <c r="BE8" s="64">
        <v>10</v>
      </c>
      <c r="BF8" s="64">
        <v>23</v>
      </c>
      <c r="BG8" s="64">
        <v>18</v>
      </c>
      <c r="BH8" s="64">
        <v>16</v>
      </c>
      <c r="BI8" s="64">
        <v>39</v>
      </c>
      <c r="BJ8" s="64">
        <v>14</v>
      </c>
      <c r="BK8" s="64">
        <v>14</v>
      </c>
      <c r="BL8" s="64">
        <v>33</v>
      </c>
      <c r="BM8" s="64">
        <v>11</v>
      </c>
      <c r="BN8" s="64">
        <v>8</v>
      </c>
      <c r="BO8" s="64">
        <v>25</v>
      </c>
      <c r="BP8" s="64">
        <v>14</v>
      </c>
      <c r="BQ8" s="64">
        <v>6</v>
      </c>
      <c r="BR8" s="64">
        <v>18</v>
      </c>
      <c r="BS8" s="64">
        <v>26</v>
      </c>
      <c r="BT8" s="64">
        <v>4</v>
      </c>
      <c r="BU8" s="64">
        <v>14</v>
      </c>
      <c r="BV8" s="64">
        <v>17</v>
      </c>
      <c r="BW8" s="64">
        <v>2</v>
      </c>
      <c r="BX8" s="64">
        <v>10</v>
      </c>
      <c r="BY8" s="64">
        <v>28</v>
      </c>
      <c r="BZ8" s="64">
        <v>2</v>
      </c>
      <c r="CA8" s="64">
        <v>6</v>
      </c>
      <c r="CB8" s="64">
        <v>16</v>
      </c>
      <c r="CC8" s="64">
        <v>1</v>
      </c>
      <c r="CD8" s="64">
        <v>6</v>
      </c>
      <c r="CE8" s="64">
        <v>9</v>
      </c>
      <c r="CF8" s="64">
        <v>1</v>
      </c>
      <c r="CG8" s="64">
        <v>9</v>
      </c>
      <c r="CH8" s="64">
        <v>8</v>
      </c>
      <c r="CI8" s="64">
        <v>1</v>
      </c>
      <c r="CJ8" s="64">
        <v>7</v>
      </c>
      <c r="CK8" s="64">
        <v>6</v>
      </c>
      <c r="CL8" s="64">
        <v>1</v>
      </c>
      <c r="CM8" s="64">
        <v>6</v>
      </c>
      <c r="CN8" s="64">
        <v>5</v>
      </c>
      <c r="CO8" s="64">
        <v>1</v>
      </c>
      <c r="CP8" s="64">
        <v>4</v>
      </c>
      <c r="CQ8" s="64">
        <v>4</v>
      </c>
      <c r="CR8" s="64">
        <v>1</v>
      </c>
      <c r="CS8" s="64">
        <v>3</v>
      </c>
      <c r="CT8" s="64">
        <v>4</v>
      </c>
      <c r="CU8" s="64">
        <v>1</v>
      </c>
      <c r="CV8" s="64">
        <v>2</v>
      </c>
      <c r="CW8" s="64">
        <v>5</v>
      </c>
      <c r="CX8" s="64">
        <v>1</v>
      </c>
      <c r="CY8" s="64">
        <v>5</v>
      </c>
      <c r="CZ8" s="64">
        <v>4</v>
      </c>
      <c r="DA8" s="64">
        <v>1</v>
      </c>
      <c r="DB8" s="64">
        <v>3</v>
      </c>
      <c r="DC8" s="64">
        <v>3</v>
      </c>
      <c r="DD8" s="64">
        <v>1</v>
      </c>
      <c r="DE8" s="64">
        <v>3</v>
      </c>
      <c r="DF8" s="64">
        <v>2</v>
      </c>
      <c r="DG8" s="64">
        <v>1</v>
      </c>
      <c r="DH8" s="64">
        <v>2</v>
      </c>
      <c r="DI8" s="64">
        <v>2</v>
      </c>
      <c r="DJ8" s="64">
        <v>1</v>
      </c>
      <c r="DK8" s="64">
        <v>2</v>
      </c>
      <c r="DL8" s="64">
        <v>2</v>
      </c>
      <c r="DM8" s="64">
        <v>1</v>
      </c>
      <c r="DN8" s="64">
        <v>2</v>
      </c>
      <c r="DO8" s="64">
        <v>1</v>
      </c>
      <c r="DP8" s="64">
        <v>1</v>
      </c>
      <c r="DQ8" s="64">
        <v>1</v>
      </c>
      <c r="DR8" s="64">
        <v>1</v>
      </c>
      <c r="DS8" s="64">
        <v>2</v>
      </c>
      <c r="DT8" s="64">
        <v>1</v>
      </c>
      <c r="DU8" s="64">
        <v>1</v>
      </c>
      <c r="DV8" s="64">
        <v>1</v>
      </c>
      <c r="DW8" s="64">
        <v>1</v>
      </c>
      <c r="DX8" s="64">
        <v>1</v>
      </c>
      <c r="DY8" s="64">
        <v>1</v>
      </c>
      <c r="DZ8" s="64">
        <v>4</v>
      </c>
      <c r="EA8" s="64">
        <v>1</v>
      </c>
      <c r="EB8" s="64">
        <v>5</v>
      </c>
      <c r="EC8" s="64">
        <v>3</v>
      </c>
      <c r="ED8" s="64">
        <v>6</v>
      </c>
      <c r="EE8" s="64">
        <v>4</v>
      </c>
      <c r="EF8" s="64">
        <v>2</v>
      </c>
      <c r="EG8" s="64">
        <v>4</v>
      </c>
      <c r="EH8" s="64">
        <v>2</v>
      </c>
      <c r="EI8" s="64">
        <v>2</v>
      </c>
      <c r="EJ8" s="64">
        <v>3</v>
      </c>
      <c r="EK8" s="64">
        <v>4</v>
      </c>
      <c r="EL8" s="64">
        <v>5</v>
      </c>
      <c r="EM8" s="64">
        <v>2</v>
      </c>
      <c r="EN8" s="64">
        <v>3</v>
      </c>
      <c r="EO8" s="64">
        <v>3</v>
      </c>
      <c r="EP8" s="64">
        <v>5</v>
      </c>
      <c r="EQ8" s="64">
        <v>2</v>
      </c>
      <c r="ER8" s="64">
        <v>3</v>
      </c>
      <c r="ES8" s="64">
        <v>4</v>
      </c>
      <c r="ET8" s="64">
        <v>2</v>
      </c>
      <c r="EU8" s="64">
        <v>4</v>
      </c>
      <c r="EV8" s="64">
        <v>3</v>
      </c>
      <c r="EW8" s="64">
        <v>2</v>
      </c>
      <c r="EX8" s="64">
        <v>3</v>
      </c>
      <c r="EY8" s="64">
        <v>2</v>
      </c>
      <c r="EZ8" s="64">
        <v>1</v>
      </c>
      <c r="FA8" s="64">
        <v>2</v>
      </c>
      <c r="FB8" s="64">
        <v>2</v>
      </c>
      <c r="FC8" s="64">
        <v>2</v>
      </c>
      <c r="FD8" s="64">
        <v>3</v>
      </c>
      <c r="FE8" s="64">
        <v>2</v>
      </c>
      <c r="FF8" s="64">
        <v>2</v>
      </c>
      <c r="FG8" s="64">
        <v>5</v>
      </c>
      <c r="FH8" s="64">
        <v>3</v>
      </c>
      <c r="FI8" s="64">
        <v>2</v>
      </c>
      <c r="FJ8" s="64">
        <v>4</v>
      </c>
      <c r="FK8" s="64">
        <v>4</v>
      </c>
      <c r="FL8" s="64">
        <v>2</v>
      </c>
      <c r="FM8" s="64">
        <v>5</v>
      </c>
      <c r="FN8" s="64">
        <v>3</v>
      </c>
      <c r="FO8" s="64">
        <v>2</v>
      </c>
      <c r="FP8" s="31">
        <v>4</v>
      </c>
      <c r="FQ8" s="31">
        <v>8</v>
      </c>
      <c r="FR8" s="64">
        <v>3</v>
      </c>
      <c r="FS8" s="31">
        <v>7</v>
      </c>
      <c r="FT8" s="31">
        <v>7</v>
      </c>
      <c r="FU8" s="64">
        <v>3</v>
      </c>
      <c r="FV8" s="31">
        <v>8</v>
      </c>
      <c r="FW8" s="31">
        <v>6</v>
      </c>
      <c r="FX8" s="62">
        <v>2</v>
      </c>
      <c r="FY8" s="60">
        <v>6</v>
      </c>
      <c r="FZ8" s="60">
        <v>5</v>
      </c>
      <c r="GA8" s="61">
        <v>2</v>
      </c>
      <c r="GB8" s="61">
        <v>5</v>
      </c>
      <c r="GC8" s="61">
        <v>4</v>
      </c>
      <c r="GD8" s="61">
        <v>2</v>
      </c>
      <c r="GE8" s="61">
        <v>4</v>
      </c>
      <c r="GF8" s="61">
        <v>3</v>
      </c>
      <c r="GG8" s="61">
        <v>3</v>
      </c>
      <c r="GH8" s="62">
        <v>3</v>
      </c>
      <c r="GI8" s="62">
        <v>2</v>
      </c>
      <c r="GJ8" s="61">
        <v>2</v>
      </c>
      <c r="GK8" s="62">
        <v>5</v>
      </c>
      <c r="GL8" s="62">
        <v>6</v>
      </c>
      <c r="GM8" s="61">
        <v>1</v>
      </c>
      <c r="GN8" s="62">
        <v>3</v>
      </c>
      <c r="GO8" s="62">
        <v>4</v>
      </c>
      <c r="GP8" s="61">
        <v>2</v>
      </c>
      <c r="GQ8" s="62">
        <v>2</v>
      </c>
      <c r="GR8" s="62">
        <v>2</v>
      </c>
      <c r="GS8" s="61">
        <v>2</v>
      </c>
      <c r="GT8" s="62">
        <v>5</v>
      </c>
      <c r="GU8" s="62">
        <v>3</v>
      </c>
      <c r="GV8" s="62">
        <v>1</v>
      </c>
      <c r="GW8" s="62">
        <v>3</v>
      </c>
      <c r="GX8" s="62">
        <v>2</v>
      </c>
      <c r="GY8" s="62">
        <v>1</v>
      </c>
      <c r="GZ8" s="62">
        <v>2</v>
      </c>
      <c r="HA8" s="62">
        <v>1</v>
      </c>
      <c r="HB8" s="62">
        <v>1</v>
      </c>
      <c r="HC8" s="62">
        <v>1</v>
      </c>
      <c r="HD8" s="62">
        <v>1</v>
      </c>
      <c r="HE8" s="62">
        <v>1</v>
      </c>
      <c r="HF8" s="62">
        <v>1</v>
      </c>
      <c r="HG8" s="62">
        <v>1</v>
      </c>
      <c r="HH8" s="62">
        <v>1</v>
      </c>
      <c r="HI8" s="62">
        <v>1</v>
      </c>
      <c r="HJ8" s="62">
        <v>1</v>
      </c>
      <c r="HK8" s="62">
        <v>1</v>
      </c>
      <c r="HL8" s="62">
        <v>1</v>
      </c>
      <c r="HM8" s="62">
        <v>1</v>
      </c>
      <c r="HN8" s="62">
        <v>2</v>
      </c>
      <c r="HO8" s="62">
        <v>1</v>
      </c>
      <c r="HP8" s="62">
        <v>1</v>
      </c>
      <c r="HQ8" s="63">
        <v>2</v>
      </c>
      <c r="HR8" s="63">
        <v>1</v>
      </c>
      <c r="HS8" s="63">
        <v>1</v>
      </c>
      <c r="HT8" s="62">
        <v>6</v>
      </c>
      <c r="HU8" s="62">
        <v>1</v>
      </c>
      <c r="HV8" s="62">
        <v>2</v>
      </c>
      <c r="HW8" s="62">
        <v>3</v>
      </c>
      <c r="HX8" s="62">
        <v>1</v>
      </c>
      <c r="HY8" s="62">
        <v>2</v>
      </c>
      <c r="HZ8" s="62">
        <v>4</v>
      </c>
      <c r="IA8" s="62">
        <v>1</v>
      </c>
      <c r="IB8" s="62">
        <v>2</v>
      </c>
      <c r="IC8" s="63">
        <v>4</v>
      </c>
      <c r="ID8" s="63">
        <v>1</v>
      </c>
      <c r="IE8" s="63">
        <v>2</v>
      </c>
      <c r="IF8" s="62">
        <v>6</v>
      </c>
      <c r="IG8" s="81">
        <v>4</v>
      </c>
      <c r="IH8" s="81">
        <v>3</v>
      </c>
      <c r="II8" s="81">
        <v>2</v>
      </c>
      <c r="IJ8" s="81">
        <v>4</v>
      </c>
      <c r="IK8" s="81">
        <v>3</v>
      </c>
      <c r="IL8" s="81">
        <v>4</v>
      </c>
      <c r="IM8" s="81">
        <v>8</v>
      </c>
      <c r="IN8" s="81">
        <v>6</v>
      </c>
      <c r="IO8" s="81">
        <v>7</v>
      </c>
      <c r="IP8" s="81">
        <v>7</v>
      </c>
      <c r="IQ8" s="81">
        <v>5</v>
      </c>
      <c r="IR8" s="81">
        <v>2</v>
      </c>
      <c r="IS8" s="59">
        <f t="shared" si="0"/>
        <v>3</v>
      </c>
      <c r="IT8" s="186"/>
      <c r="IU8" s="18"/>
      <c r="IV8" s="21"/>
      <c r="IW8" s="21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</row>
    <row r="9" spans="1:273" ht="13.5" customHeight="1">
      <c r="A9" s="97">
        <v>5</v>
      </c>
      <c r="B9" s="77" t="s">
        <v>154</v>
      </c>
      <c r="C9" s="6">
        <v>10</v>
      </c>
      <c r="D9" s="6">
        <v>10</v>
      </c>
      <c r="E9" s="6">
        <v>10</v>
      </c>
      <c r="F9" s="31" t="s">
        <v>126</v>
      </c>
      <c r="G9" s="31" t="s">
        <v>126</v>
      </c>
      <c r="H9" s="31" t="s">
        <v>126</v>
      </c>
      <c r="I9" s="78">
        <v>100</v>
      </c>
      <c r="J9" s="78">
        <v>100</v>
      </c>
      <c r="K9" s="78">
        <v>100</v>
      </c>
      <c r="L9" s="78">
        <v>100</v>
      </c>
      <c r="M9" s="78">
        <v>100</v>
      </c>
      <c r="N9" s="78">
        <v>100</v>
      </c>
      <c r="O9" s="78">
        <v>100</v>
      </c>
      <c r="P9" s="78">
        <v>100</v>
      </c>
      <c r="Q9" s="78">
        <v>100</v>
      </c>
      <c r="R9" s="78">
        <v>100</v>
      </c>
      <c r="S9" s="78">
        <v>100</v>
      </c>
      <c r="T9" s="78">
        <v>100</v>
      </c>
      <c r="U9" s="78">
        <v>100</v>
      </c>
      <c r="V9" s="78">
        <v>100</v>
      </c>
      <c r="W9" s="78">
        <v>100</v>
      </c>
      <c r="X9" s="78">
        <v>100</v>
      </c>
      <c r="Y9" s="78">
        <v>100</v>
      </c>
      <c r="Z9" s="78">
        <v>100</v>
      </c>
      <c r="AA9" s="78">
        <v>100</v>
      </c>
      <c r="AB9" s="78">
        <v>100</v>
      </c>
      <c r="AC9" s="78">
        <v>100</v>
      </c>
      <c r="AD9" s="78">
        <v>100</v>
      </c>
      <c r="AE9" s="78">
        <v>100</v>
      </c>
      <c r="AF9" s="78">
        <v>100</v>
      </c>
      <c r="AG9" s="78">
        <v>100</v>
      </c>
      <c r="AH9" s="78">
        <v>100</v>
      </c>
      <c r="AI9" s="78">
        <v>100</v>
      </c>
      <c r="AJ9" s="78">
        <v>100</v>
      </c>
      <c r="AK9" s="78">
        <v>100</v>
      </c>
      <c r="AL9" s="78">
        <v>100</v>
      </c>
      <c r="AM9" s="78">
        <v>100</v>
      </c>
      <c r="AN9" s="78">
        <v>100</v>
      </c>
      <c r="AO9" s="78">
        <v>100</v>
      </c>
      <c r="AP9" s="78">
        <v>100</v>
      </c>
      <c r="AQ9" s="78">
        <v>100</v>
      </c>
      <c r="AR9" s="78">
        <v>100</v>
      </c>
      <c r="AS9" s="78">
        <v>100</v>
      </c>
      <c r="AT9" s="78">
        <v>100</v>
      </c>
      <c r="AU9" s="78">
        <v>100</v>
      </c>
      <c r="AV9" s="78">
        <v>100</v>
      </c>
      <c r="AW9" s="78">
        <v>100</v>
      </c>
      <c r="AX9" s="78">
        <v>100</v>
      </c>
      <c r="AY9" s="78">
        <v>100</v>
      </c>
      <c r="AZ9" s="78">
        <v>100</v>
      </c>
      <c r="BA9" s="78">
        <v>100</v>
      </c>
      <c r="BB9" s="78">
        <v>100</v>
      </c>
      <c r="BC9" s="78">
        <v>100</v>
      </c>
      <c r="BD9" s="78">
        <v>100</v>
      </c>
      <c r="BE9" s="78">
        <v>100</v>
      </c>
      <c r="BF9" s="78">
        <v>100</v>
      </c>
      <c r="BG9" s="78">
        <v>100</v>
      </c>
      <c r="BH9" s="78">
        <v>100</v>
      </c>
      <c r="BI9" s="78">
        <v>100</v>
      </c>
      <c r="BJ9" s="78">
        <v>100</v>
      </c>
      <c r="BK9" s="78">
        <v>100</v>
      </c>
      <c r="BL9" s="78">
        <v>100</v>
      </c>
      <c r="BM9" s="78">
        <v>100</v>
      </c>
      <c r="BN9" s="78">
        <v>100</v>
      </c>
      <c r="BO9" s="78">
        <v>100</v>
      </c>
      <c r="BP9" s="78">
        <v>100</v>
      </c>
      <c r="BQ9" s="78">
        <v>100</v>
      </c>
      <c r="BR9" s="78">
        <v>100</v>
      </c>
      <c r="BS9" s="78">
        <v>100</v>
      </c>
      <c r="BT9" s="78">
        <v>100</v>
      </c>
      <c r="BU9" s="78">
        <v>100</v>
      </c>
      <c r="BV9" s="78">
        <v>100</v>
      </c>
      <c r="BW9" s="78">
        <v>100</v>
      </c>
      <c r="BX9" s="78">
        <v>100</v>
      </c>
      <c r="BY9" s="78">
        <v>100</v>
      </c>
      <c r="BZ9" s="78">
        <v>100</v>
      </c>
      <c r="CA9" s="78">
        <v>100</v>
      </c>
      <c r="CB9" s="78">
        <v>100</v>
      </c>
      <c r="CC9" s="78">
        <v>100</v>
      </c>
      <c r="CD9" s="78">
        <v>100</v>
      </c>
      <c r="CE9" s="78">
        <v>100</v>
      </c>
      <c r="CF9" s="78">
        <v>100</v>
      </c>
      <c r="CG9" s="78">
        <v>100</v>
      </c>
      <c r="CH9" s="78">
        <v>100</v>
      </c>
      <c r="CI9" s="78">
        <v>100</v>
      </c>
      <c r="CJ9" s="78">
        <v>100</v>
      </c>
      <c r="CK9" s="78">
        <v>100</v>
      </c>
      <c r="CL9" s="78">
        <v>100</v>
      </c>
      <c r="CM9" s="78">
        <v>100</v>
      </c>
      <c r="CN9" s="78">
        <v>100</v>
      </c>
      <c r="CO9" s="78">
        <v>100</v>
      </c>
      <c r="CP9" s="78">
        <v>100</v>
      </c>
      <c r="CQ9" s="78">
        <v>100</v>
      </c>
      <c r="CR9" s="78">
        <v>100</v>
      </c>
      <c r="CS9" s="78">
        <v>100</v>
      </c>
      <c r="CT9" s="78">
        <v>100</v>
      </c>
      <c r="CU9" s="78">
        <v>100</v>
      </c>
      <c r="CV9" s="78">
        <v>100</v>
      </c>
      <c r="CW9" s="78">
        <v>100</v>
      </c>
      <c r="CX9" s="79">
        <v>100</v>
      </c>
      <c r="CY9" s="79">
        <v>100</v>
      </c>
      <c r="CZ9" s="79">
        <v>100</v>
      </c>
      <c r="DA9" s="79">
        <v>100</v>
      </c>
      <c r="DB9" s="79">
        <v>100</v>
      </c>
      <c r="DC9" s="79">
        <v>100</v>
      </c>
      <c r="DD9" s="78">
        <v>100</v>
      </c>
      <c r="DE9" s="78">
        <v>100</v>
      </c>
      <c r="DF9" s="78">
        <v>100</v>
      </c>
      <c r="DG9" s="31">
        <v>58</v>
      </c>
      <c r="DH9" s="78">
        <v>100</v>
      </c>
      <c r="DI9" s="31">
        <v>78</v>
      </c>
      <c r="DJ9" s="31">
        <v>10</v>
      </c>
      <c r="DK9" s="31">
        <v>57</v>
      </c>
      <c r="DL9" s="31">
        <v>63</v>
      </c>
      <c r="DM9" s="31">
        <v>6</v>
      </c>
      <c r="DN9" s="31">
        <v>55</v>
      </c>
      <c r="DO9" s="31">
        <v>61</v>
      </c>
      <c r="DP9" s="31">
        <v>5</v>
      </c>
      <c r="DQ9" s="31">
        <v>37</v>
      </c>
      <c r="DR9" s="31">
        <v>53</v>
      </c>
      <c r="DS9" s="31">
        <v>3</v>
      </c>
      <c r="DT9" s="31">
        <v>29</v>
      </c>
      <c r="DU9" s="31">
        <v>47</v>
      </c>
      <c r="DV9" s="31">
        <v>1</v>
      </c>
      <c r="DW9" s="31">
        <v>23</v>
      </c>
      <c r="DX9" s="31">
        <v>36</v>
      </c>
      <c r="DY9" s="31">
        <v>1</v>
      </c>
      <c r="DZ9" s="31">
        <v>21</v>
      </c>
      <c r="EA9" s="31">
        <v>32</v>
      </c>
      <c r="EB9" s="31">
        <v>5</v>
      </c>
      <c r="EC9" s="31">
        <v>18</v>
      </c>
      <c r="ED9" s="31">
        <v>28</v>
      </c>
      <c r="EE9" s="31">
        <v>3</v>
      </c>
      <c r="EF9" s="31">
        <v>16</v>
      </c>
      <c r="EG9" s="31">
        <v>17</v>
      </c>
      <c r="EH9" s="31">
        <v>2</v>
      </c>
      <c r="EI9" s="31">
        <v>14</v>
      </c>
      <c r="EJ9" s="31">
        <v>15</v>
      </c>
      <c r="EK9" s="31">
        <v>1</v>
      </c>
      <c r="EL9" s="31">
        <v>12</v>
      </c>
      <c r="EM9" s="31">
        <v>15</v>
      </c>
      <c r="EN9" s="31">
        <v>2</v>
      </c>
      <c r="EO9" s="31">
        <v>11</v>
      </c>
      <c r="EP9" s="31">
        <v>11</v>
      </c>
      <c r="EQ9" s="31">
        <v>2</v>
      </c>
      <c r="ER9" s="31">
        <v>13</v>
      </c>
      <c r="ES9" s="31">
        <v>10</v>
      </c>
      <c r="ET9" s="31">
        <v>2</v>
      </c>
      <c r="EU9" s="31">
        <v>11</v>
      </c>
      <c r="EV9" s="31">
        <v>9</v>
      </c>
      <c r="EW9" s="31">
        <v>2</v>
      </c>
      <c r="EX9" s="31">
        <v>13</v>
      </c>
      <c r="EY9" s="31">
        <v>8</v>
      </c>
      <c r="EZ9" s="31">
        <v>1</v>
      </c>
      <c r="FA9" s="31">
        <v>10</v>
      </c>
      <c r="FB9" s="31">
        <v>6</v>
      </c>
      <c r="FC9" s="31">
        <v>2</v>
      </c>
      <c r="FD9" s="31">
        <v>9</v>
      </c>
      <c r="FE9" s="31">
        <v>5</v>
      </c>
      <c r="FF9" s="31">
        <v>1</v>
      </c>
      <c r="FG9" s="31">
        <v>6</v>
      </c>
      <c r="FH9" s="31">
        <v>4</v>
      </c>
      <c r="FI9" s="31">
        <v>1</v>
      </c>
      <c r="FJ9" s="64">
        <v>5</v>
      </c>
      <c r="FK9" s="64">
        <v>3</v>
      </c>
      <c r="FL9" s="31">
        <v>1</v>
      </c>
      <c r="FM9" s="31">
        <v>4</v>
      </c>
      <c r="FN9" s="64">
        <v>6</v>
      </c>
      <c r="FO9" s="31">
        <v>1</v>
      </c>
      <c r="FP9" s="31">
        <v>3</v>
      </c>
      <c r="FQ9" s="31">
        <v>5</v>
      </c>
      <c r="FR9" s="31">
        <v>1</v>
      </c>
      <c r="FS9" s="64">
        <v>2</v>
      </c>
      <c r="FT9" s="31">
        <v>9</v>
      </c>
      <c r="FU9" s="31">
        <v>1</v>
      </c>
      <c r="FV9" s="64">
        <v>5</v>
      </c>
      <c r="FW9" s="64">
        <v>8</v>
      </c>
      <c r="FX9" s="60">
        <v>1</v>
      </c>
      <c r="FY9" s="62">
        <v>4</v>
      </c>
      <c r="FZ9" s="62">
        <v>6</v>
      </c>
      <c r="GA9" s="61">
        <v>1</v>
      </c>
      <c r="GB9" s="61">
        <v>3</v>
      </c>
      <c r="GC9" s="61">
        <v>5</v>
      </c>
      <c r="GD9" s="61">
        <v>3</v>
      </c>
      <c r="GE9" s="61">
        <v>2</v>
      </c>
      <c r="GF9" s="61">
        <v>3</v>
      </c>
      <c r="GG9" s="61">
        <v>1</v>
      </c>
      <c r="GH9" s="62">
        <v>4</v>
      </c>
      <c r="GI9" s="62">
        <v>2</v>
      </c>
      <c r="GJ9" s="61">
        <v>2</v>
      </c>
      <c r="GK9" s="62">
        <v>3</v>
      </c>
      <c r="GL9" s="62">
        <v>5</v>
      </c>
      <c r="GM9" s="61">
        <v>1</v>
      </c>
      <c r="GN9" s="62">
        <v>2</v>
      </c>
      <c r="GO9" s="62">
        <v>2</v>
      </c>
      <c r="GP9" s="62">
        <v>1</v>
      </c>
      <c r="GQ9" s="62">
        <v>1</v>
      </c>
      <c r="GR9" s="62">
        <v>2</v>
      </c>
      <c r="GS9" s="62">
        <v>1</v>
      </c>
      <c r="GT9" s="62">
        <v>1</v>
      </c>
      <c r="GU9" s="62">
        <v>1</v>
      </c>
      <c r="GV9" s="62">
        <v>1</v>
      </c>
      <c r="GW9" s="62">
        <v>1</v>
      </c>
      <c r="GX9" s="62">
        <v>1</v>
      </c>
      <c r="GY9" s="62">
        <v>1</v>
      </c>
      <c r="GZ9" s="62">
        <v>1</v>
      </c>
      <c r="HA9" s="62">
        <v>3</v>
      </c>
      <c r="HB9" s="62">
        <v>1</v>
      </c>
      <c r="HC9" s="62">
        <v>1</v>
      </c>
      <c r="HD9" s="62">
        <v>2</v>
      </c>
      <c r="HE9" s="62">
        <v>1</v>
      </c>
      <c r="HF9" s="62">
        <v>1</v>
      </c>
      <c r="HG9" s="62">
        <v>2</v>
      </c>
      <c r="HH9" s="62">
        <v>3</v>
      </c>
      <c r="HI9" s="62">
        <v>1</v>
      </c>
      <c r="HJ9" s="62">
        <v>2</v>
      </c>
      <c r="HK9" s="62">
        <v>2</v>
      </c>
      <c r="HL9" s="62">
        <v>1</v>
      </c>
      <c r="HM9" s="62">
        <v>2</v>
      </c>
      <c r="HN9" s="62">
        <v>2</v>
      </c>
      <c r="HO9" s="62">
        <v>1</v>
      </c>
      <c r="HP9" s="62">
        <v>1</v>
      </c>
      <c r="HQ9" s="63">
        <v>2</v>
      </c>
      <c r="HR9" s="63">
        <v>1</v>
      </c>
      <c r="HS9" s="63">
        <v>1</v>
      </c>
      <c r="HT9" s="62">
        <v>6</v>
      </c>
      <c r="HU9" s="62">
        <v>1</v>
      </c>
      <c r="HV9" s="62">
        <v>1</v>
      </c>
      <c r="HW9" s="62">
        <v>2</v>
      </c>
      <c r="HX9" s="62">
        <v>1</v>
      </c>
      <c r="HY9" s="62">
        <v>2</v>
      </c>
      <c r="HZ9" s="62">
        <v>3</v>
      </c>
      <c r="IA9" s="62">
        <v>1</v>
      </c>
      <c r="IB9" s="62">
        <v>2</v>
      </c>
      <c r="IC9" s="62">
        <v>8</v>
      </c>
      <c r="ID9" s="63">
        <v>2</v>
      </c>
      <c r="IE9" s="63">
        <v>2</v>
      </c>
      <c r="IF9" s="62">
        <v>5</v>
      </c>
      <c r="IG9" s="81">
        <v>4</v>
      </c>
      <c r="IH9" s="81">
        <v>3</v>
      </c>
      <c r="II9" s="81">
        <v>2</v>
      </c>
      <c r="IJ9" s="81">
        <v>3</v>
      </c>
      <c r="IK9" s="81">
        <v>2</v>
      </c>
      <c r="IL9" s="81">
        <v>5</v>
      </c>
      <c r="IM9" s="81">
        <v>6</v>
      </c>
      <c r="IN9" s="81">
        <v>4</v>
      </c>
      <c r="IO9" s="81">
        <v>3</v>
      </c>
      <c r="IP9" s="81">
        <v>6</v>
      </c>
      <c r="IQ9" s="81">
        <v>2</v>
      </c>
      <c r="IR9" s="81">
        <v>2</v>
      </c>
      <c r="IS9" s="59">
        <f t="shared" si="0"/>
        <v>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</row>
    <row r="10" spans="1:273" ht="13.5" customHeight="1">
      <c r="A10" s="97">
        <v>6</v>
      </c>
      <c r="B10" s="77" t="s">
        <v>155</v>
      </c>
      <c r="C10" s="31" t="s">
        <v>126</v>
      </c>
      <c r="D10" s="20" t="s">
        <v>126</v>
      </c>
      <c r="E10" s="20" t="s">
        <v>126</v>
      </c>
      <c r="F10" s="31">
        <v>5</v>
      </c>
      <c r="G10" s="31">
        <v>8</v>
      </c>
      <c r="H10" s="31">
        <v>10</v>
      </c>
      <c r="I10" s="31">
        <v>4</v>
      </c>
      <c r="J10" s="78">
        <v>100</v>
      </c>
      <c r="K10" s="78">
        <v>100</v>
      </c>
      <c r="L10" s="31">
        <v>6</v>
      </c>
      <c r="M10" s="31">
        <v>1</v>
      </c>
      <c r="N10" s="31">
        <v>1</v>
      </c>
      <c r="O10" s="31">
        <v>2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31">
        <v>1</v>
      </c>
      <c r="AA10" s="31">
        <v>1</v>
      </c>
      <c r="AB10" s="31">
        <v>1</v>
      </c>
      <c r="AC10" s="31">
        <v>1</v>
      </c>
      <c r="AD10" s="31">
        <v>1</v>
      </c>
      <c r="AE10" s="31">
        <v>1</v>
      </c>
      <c r="AF10" s="31">
        <v>1</v>
      </c>
      <c r="AG10" s="31">
        <v>1</v>
      </c>
      <c r="AH10" s="31">
        <v>1</v>
      </c>
      <c r="AI10" s="31">
        <v>1</v>
      </c>
      <c r="AJ10" s="31">
        <v>4</v>
      </c>
      <c r="AK10" s="31">
        <v>1</v>
      </c>
      <c r="AL10" s="31">
        <v>1</v>
      </c>
      <c r="AM10" s="31">
        <v>1</v>
      </c>
      <c r="AN10" s="31">
        <v>1</v>
      </c>
      <c r="AO10" s="31">
        <v>1</v>
      </c>
      <c r="AP10" s="31">
        <v>1</v>
      </c>
      <c r="AQ10" s="31">
        <v>1</v>
      </c>
      <c r="AR10" s="31">
        <v>1</v>
      </c>
      <c r="AS10" s="31">
        <v>1</v>
      </c>
      <c r="AT10" s="31">
        <v>1</v>
      </c>
      <c r="AU10" s="31">
        <v>1</v>
      </c>
      <c r="AV10" s="31">
        <v>1</v>
      </c>
      <c r="AW10" s="31">
        <v>1</v>
      </c>
      <c r="AX10" s="31">
        <v>1</v>
      </c>
      <c r="AY10" s="31">
        <v>5</v>
      </c>
      <c r="AZ10" s="31">
        <v>1</v>
      </c>
      <c r="BA10" s="31">
        <v>1</v>
      </c>
      <c r="BB10" s="31">
        <v>4</v>
      </c>
      <c r="BC10" s="31">
        <v>1</v>
      </c>
      <c r="BD10" s="31">
        <v>1</v>
      </c>
      <c r="BE10" s="31">
        <v>3</v>
      </c>
      <c r="BF10" s="31">
        <v>1</v>
      </c>
      <c r="BG10" s="31">
        <v>1</v>
      </c>
      <c r="BH10" s="31">
        <v>2</v>
      </c>
      <c r="BI10" s="31">
        <v>1</v>
      </c>
      <c r="BJ10" s="31">
        <v>1</v>
      </c>
      <c r="BK10" s="31">
        <v>2</v>
      </c>
      <c r="BL10" s="31">
        <v>1</v>
      </c>
      <c r="BM10" s="31">
        <v>1</v>
      </c>
      <c r="BN10" s="31">
        <v>2</v>
      </c>
      <c r="BO10" s="31">
        <v>1</v>
      </c>
      <c r="BP10" s="31">
        <v>1</v>
      </c>
      <c r="BQ10" s="31">
        <v>1</v>
      </c>
      <c r="BR10" s="31">
        <v>2</v>
      </c>
      <c r="BS10" s="31">
        <v>1</v>
      </c>
      <c r="BT10" s="31">
        <v>5</v>
      </c>
      <c r="BU10" s="31">
        <v>8</v>
      </c>
      <c r="BV10" s="31">
        <v>7</v>
      </c>
      <c r="BW10" s="31">
        <v>3</v>
      </c>
      <c r="BX10" s="31">
        <v>5</v>
      </c>
      <c r="BY10" s="31">
        <v>5</v>
      </c>
      <c r="BZ10" s="31">
        <v>6</v>
      </c>
      <c r="CA10" s="31">
        <v>3</v>
      </c>
      <c r="CB10" s="31">
        <v>2</v>
      </c>
      <c r="CC10" s="31">
        <v>8</v>
      </c>
      <c r="CD10" s="31">
        <v>2</v>
      </c>
      <c r="CE10" s="31">
        <v>1</v>
      </c>
      <c r="CF10" s="31">
        <v>6</v>
      </c>
      <c r="CG10" s="31">
        <v>1</v>
      </c>
      <c r="CH10" s="31">
        <v>1</v>
      </c>
      <c r="CI10" s="31">
        <v>8</v>
      </c>
      <c r="CJ10" s="31">
        <v>1</v>
      </c>
      <c r="CK10" s="31">
        <v>1</v>
      </c>
      <c r="CL10" s="31">
        <v>15</v>
      </c>
      <c r="CM10" s="31">
        <v>1</v>
      </c>
      <c r="CN10" s="31">
        <v>1</v>
      </c>
      <c r="CO10" s="31">
        <v>13</v>
      </c>
      <c r="CP10" s="31">
        <v>8</v>
      </c>
      <c r="CQ10" s="31">
        <v>6</v>
      </c>
      <c r="CR10" s="31">
        <v>12</v>
      </c>
      <c r="CS10" s="31">
        <v>7</v>
      </c>
      <c r="CT10" s="31">
        <v>5</v>
      </c>
      <c r="CU10" s="31">
        <v>9</v>
      </c>
      <c r="CV10" s="31">
        <v>4</v>
      </c>
      <c r="CW10" s="31">
        <v>4</v>
      </c>
      <c r="CX10" s="31">
        <v>7</v>
      </c>
      <c r="CY10" s="31">
        <v>3</v>
      </c>
      <c r="CZ10" s="31">
        <v>2</v>
      </c>
      <c r="DA10" s="31">
        <v>5</v>
      </c>
      <c r="DB10" s="31">
        <v>2</v>
      </c>
      <c r="DC10" s="31">
        <v>2</v>
      </c>
      <c r="DD10" s="31">
        <v>4</v>
      </c>
      <c r="DE10" s="31">
        <v>1</v>
      </c>
      <c r="DF10" s="31">
        <v>2</v>
      </c>
      <c r="DG10" s="31">
        <v>3</v>
      </c>
      <c r="DH10" s="31">
        <v>1</v>
      </c>
      <c r="DI10" s="31">
        <v>1</v>
      </c>
      <c r="DJ10" s="31">
        <v>2</v>
      </c>
      <c r="DK10" s="31">
        <v>1</v>
      </c>
      <c r="DL10" s="31">
        <v>1</v>
      </c>
      <c r="DM10" s="31">
        <v>5</v>
      </c>
      <c r="DN10" s="31">
        <v>1</v>
      </c>
      <c r="DO10" s="31">
        <v>1</v>
      </c>
      <c r="DP10" s="31">
        <v>3</v>
      </c>
      <c r="DQ10" s="31">
        <v>1</v>
      </c>
      <c r="DR10" s="31">
        <v>1</v>
      </c>
      <c r="DS10" s="31">
        <v>2</v>
      </c>
      <c r="DT10" s="31">
        <v>1</v>
      </c>
      <c r="DU10" s="31">
        <v>1</v>
      </c>
      <c r="DV10" s="31">
        <v>1</v>
      </c>
      <c r="DW10" s="31">
        <v>1</v>
      </c>
      <c r="DX10" s="31">
        <v>1</v>
      </c>
      <c r="DY10" s="31">
        <v>1</v>
      </c>
      <c r="DZ10" s="31">
        <v>1</v>
      </c>
      <c r="EA10" s="31">
        <v>1</v>
      </c>
      <c r="EB10" s="31">
        <v>5</v>
      </c>
      <c r="EC10" s="31">
        <v>1</v>
      </c>
      <c r="ED10" s="31">
        <v>2</v>
      </c>
      <c r="EE10" s="31">
        <v>3</v>
      </c>
      <c r="EF10" s="31">
        <v>3</v>
      </c>
      <c r="EG10" s="31">
        <v>2</v>
      </c>
      <c r="EH10" s="31">
        <v>8</v>
      </c>
      <c r="EI10" s="31">
        <v>6</v>
      </c>
      <c r="EJ10" s="31">
        <v>4</v>
      </c>
      <c r="EK10" s="31">
        <v>7</v>
      </c>
      <c r="EL10" s="31">
        <v>4</v>
      </c>
      <c r="EM10" s="31">
        <v>3</v>
      </c>
      <c r="EN10" s="31">
        <v>6</v>
      </c>
      <c r="EO10" s="31">
        <v>7</v>
      </c>
      <c r="EP10" s="31">
        <v>5</v>
      </c>
      <c r="EQ10" s="31">
        <v>8</v>
      </c>
      <c r="ER10" s="31">
        <v>6</v>
      </c>
      <c r="ES10" s="31">
        <v>8</v>
      </c>
      <c r="ET10" s="31">
        <v>5</v>
      </c>
      <c r="EU10" s="31">
        <v>4</v>
      </c>
      <c r="EV10" s="31">
        <v>6</v>
      </c>
      <c r="EW10" s="31">
        <v>4</v>
      </c>
      <c r="EX10" s="31">
        <v>3</v>
      </c>
      <c r="EY10" s="31">
        <v>5</v>
      </c>
      <c r="EZ10" s="31">
        <v>6</v>
      </c>
      <c r="FA10" s="31">
        <v>4</v>
      </c>
      <c r="FB10" s="31">
        <v>3</v>
      </c>
      <c r="FC10" s="31">
        <v>4</v>
      </c>
      <c r="FD10" s="31">
        <v>1</v>
      </c>
      <c r="FE10" s="31">
        <v>5</v>
      </c>
      <c r="FF10" s="31">
        <v>3</v>
      </c>
      <c r="FG10" s="31">
        <v>5</v>
      </c>
      <c r="FH10" s="31">
        <v>4</v>
      </c>
      <c r="FI10" s="31">
        <v>5</v>
      </c>
      <c r="FJ10" s="31">
        <v>4</v>
      </c>
      <c r="FK10" s="31">
        <v>3</v>
      </c>
      <c r="FL10" s="31">
        <v>4</v>
      </c>
      <c r="FM10" s="31">
        <v>3</v>
      </c>
      <c r="FN10" s="31">
        <v>5</v>
      </c>
      <c r="FO10" s="31">
        <v>6</v>
      </c>
      <c r="FP10" s="31">
        <v>4</v>
      </c>
      <c r="FQ10" s="31">
        <v>14</v>
      </c>
      <c r="FR10" s="31">
        <v>9</v>
      </c>
      <c r="FS10" s="31">
        <v>3</v>
      </c>
      <c r="FT10" s="31">
        <v>1</v>
      </c>
      <c r="FU10" s="31">
        <v>7</v>
      </c>
      <c r="FV10" s="31">
        <v>2</v>
      </c>
      <c r="FW10" s="31">
        <v>5</v>
      </c>
      <c r="FX10" s="60">
        <v>6</v>
      </c>
      <c r="FY10" s="60">
        <v>5</v>
      </c>
      <c r="FZ10" s="31">
        <v>3</v>
      </c>
      <c r="GA10" s="62">
        <v>7</v>
      </c>
      <c r="GB10" s="61">
        <v>4</v>
      </c>
      <c r="GC10" s="82">
        <v>3</v>
      </c>
      <c r="GD10" s="62">
        <v>5</v>
      </c>
      <c r="GE10" s="61">
        <v>5</v>
      </c>
      <c r="GF10" s="82">
        <v>7</v>
      </c>
      <c r="GG10" s="62">
        <v>8</v>
      </c>
      <c r="GH10" s="62">
        <v>7</v>
      </c>
      <c r="GI10" s="62">
        <v>6</v>
      </c>
      <c r="GJ10" s="62">
        <v>10</v>
      </c>
      <c r="GK10" s="62">
        <v>4</v>
      </c>
      <c r="GL10" s="62">
        <v>4</v>
      </c>
      <c r="GM10" s="62">
        <v>8</v>
      </c>
      <c r="GN10" s="62">
        <v>5</v>
      </c>
      <c r="GO10" s="62">
        <v>7</v>
      </c>
      <c r="GP10" s="62">
        <v>7</v>
      </c>
      <c r="GQ10" s="62">
        <v>9</v>
      </c>
      <c r="GR10" s="62">
        <v>5</v>
      </c>
      <c r="GS10" s="62">
        <v>5</v>
      </c>
      <c r="GT10" s="62">
        <v>6</v>
      </c>
      <c r="GU10" s="62">
        <v>5</v>
      </c>
      <c r="GV10" s="62">
        <v>8</v>
      </c>
      <c r="GW10" s="62">
        <v>7</v>
      </c>
      <c r="GX10" s="62">
        <v>9</v>
      </c>
      <c r="GY10" s="62">
        <v>6</v>
      </c>
      <c r="GZ10" s="62">
        <v>5</v>
      </c>
      <c r="HA10" s="62">
        <v>8</v>
      </c>
      <c r="HB10" s="62">
        <v>4</v>
      </c>
      <c r="HC10" s="62">
        <v>4</v>
      </c>
      <c r="HD10" s="62">
        <v>3</v>
      </c>
      <c r="HE10" s="62">
        <v>2</v>
      </c>
      <c r="HF10" s="62">
        <v>3</v>
      </c>
      <c r="HG10" s="62">
        <v>2</v>
      </c>
      <c r="HH10" s="62">
        <v>8</v>
      </c>
      <c r="HI10" s="62">
        <v>7</v>
      </c>
      <c r="HJ10" s="62">
        <v>5</v>
      </c>
      <c r="HK10" s="62">
        <v>10</v>
      </c>
      <c r="HL10" s="62">
        <v>6</v>
      </c>
      <c r="HM10" s="62">
        <v>8</v>
      </c>
      <c r="HN10" s="62">
        <v>7</v>
      </c>
      <c r="HO10" s="62">
        <v>7</v>
      </c>
      <c r="HP10" s="62">
        <v>9</v>
      </c>
      <c r="HQ10" s="63">
        <v>6</v>
      </c>
      <c r="HR10" s="63">
        <v>5</v>
      </c>
      <c r="HS10" s="63">
        <v>8</v>
      </c>
      <c r="HT10" s="62">
        <v>11</v>
      </c>
      <c r="HU10" s="62">
        <v>7</v>
      </c>
      <c r="HV10" s="62">
        <v>9</v>
      </c>
      <c r="HW10" s="62">
        <v>10</v>
      </c>
      <c r="HX10" s="62">
        <v>9</v>
      </c>
      <c r="HY10" s="62">
        <v>8</v>
      </c>
      <c r="HZ10" s="62">
        <v>6</v>
      </c>
      <c r="IA10" s="62">
        <v>7</v>
      </c>
      <c r="IB10" s="62">
        <v>8</v>
      </c>
      <c r="IC10" s="63">
        <v>5</v>
      </c>
      <c r="ID10" s="63">
        <v>7</v>
      </c>
      <c r="IE10" s="63">
        <v>8</v>
      </c>
      <c r="IF10" s="62">
        <v>10</v>
      </c>
      <c r="IG10" s="62">
        <v>18</v>
      </c>
      <c r="IH10" s="62">
        <v>15</v>
      </c>
      <c r="II10" s="62">
        <v>13</v>
      </c>
      <c r="IJ10" s="62">
        <v>11</v>
      </c>
      <c r="IK10" s="62">
        <v>13</v>
      </c>
      <c r="IL10" s="62">
        <v>18</v>
      </c>
      <c r="IM10" s="62">
        <v>35</v>
      </c>
      <c r="IN10" s="62">
        <v>22</v>
      </c>
      <c r="IO10" s="62">
        <v>32</v>
      </c>
      <c r="IP10" s="67">
        <v>100</v>
      </c>
      <c r="IQ10" s="62">
        <v>30</v>
      </c>
      <c r="IR10" s="62">
        <v>30</v>
      </c>
      <c r="IS10" s="59">
        <f t="shared" si="0"/>
        <v>0</v>
      </c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</row>
    <row r="11" spans="1:273" ht="13.5" customHeight="1">
      <c r="A11" s="97">
        <v>7</v>
      </c>
      <c r="B11" s="77" t="s">
        <v>156</v>
      </c>
      <c r="C11" s="8">
        <v>10</v>
      </c>
      <c r="D11" s="8">
        <v>10</v>
      </c>
      <c r="E11" s="8">
        <v>10</v>
      </c>
      <c r="F11" s="60"/>
      <c r="G11" s="60"/>
      <c r="H11" s="60"/>
      <c r="I11" s="60"/>
      <c r="J11" s="60"/>
      <c r="K11" s="60"/>
      <c r="L11" s="60"/>
      <c r="M11" s="60"/>
      <c r="N11" s="60"/>
      <c r="O11" s="83">
        <v>100</v>
      </c>
      <c r="P11" s="78">
        <v>100</v>
      </c>
      <c r="Q11" s="78">
        <v>100</v>
      </c>
      <c r="R11" s="83">
        <v>100</v>
      </c>
      <c r="S11" s="78">
        <v>100</v>
      </c>
      <c r="T11" s="78">
        <v>100</v>
      </c>
      <c r="U11" s="83">
        <v>100</v>
      </c>
      <c r="V11" s="78">
        <v>100</v>
      </c>
      <c r="W11" s="78">
        <v>100</v>
      </c>
      <c r="X11" s="60">
        <v>18</v>
      </c>
      <c r="Y11" s="31">
        <v>24</v>
      </c>
      <c r="Z11" s="31">
        <v>22</v>
      </c>
      <c r="AA11" s="60">
        <v>16</v>
      </c>
      <c r="AB11" s="31">
        <v>20</v>
      </c>
      <c r="AC11" s="31">
        <v>11</v>
      </c>
      <c r="AD11" s="60">
        <v>15</v>
      </c>
      <c r="AE11" s="31">
        <v>18</v>
      </c>
      <c r="AF11" s="31">
        <v>21</v>
      </c>
      <c r="AG11" s="60">
        <v>10</v>
      </c>
      <c r="AH11" s="31">
        <v>13</v>
      </c>
      <c r="AI11" s="31">
        <v>16</v>
      </c>
      <c r="AJ11" s="60">
        <v>11</v>
      </c>
      <c r="AK11" s="31">
        <v>12</v>
      </c>
      <c r="AL11" s="31">
        <v>11</v>
      </c>
      <c r="AM11" s="60">
        <v>10</v>
      </c>
      <c r="AN11" s="31">
        <v>12</v>
      </c>
      <c r="AO11" s="31">
        <v>10</v>
      </c>
      <c r="AP11" s="60">
        <v>9</v>
      </c>
      <c r="AQ11" s="31">
        <v>15</v>
      </c>
      <c r="AR11" s="31">
        <v>11</v>
      </c>
      <c r="AS11" s="60">
        <v>13</v>
      </c>
      <c r="AT11" s="31">
        <v>12</v>
      </c>
      <c r="AU11" s="31">
        <v>12</v>
      </c>
      <c r="AV11" s="60">
        <v>12</v>
      </c>
      <c r="AW11" s="31">
        <v>15</v>
      </c>
      <c r="AX11" s="31">
        <v>18</v>
      </c>
      <c r="AY11" s="60">
        <v>32</v>
      </c>
      <c r="AZ11" s="31">
        <v>12</v>
      </c>
      <c r="BA11" s="31">
        <v>15</v>
      </c>
      <c r="BB11" s="60">
        <v>30</v>
      </c>
      <c r="BC11" s="31">
        <v>12</v>
      </c>
      <c r="BD11" s="31">
        <v>15</v>
      </c>
      <c r="BE11" s="60">
        <v>26</v>
      </c>
      <c r="BF11" s="31">
        <v>12</v>
      </c>
      <c r="BG11" s="31">
        <v>14</v>
      </c>
      <c r="BH11" s="60">
        <v>24</v>
      </c>
      <c r="BI11" s="31">
        <v>11</v>
      </c>
      <c r="BJ11" s="31">
        <v>14</v>
      </c>
      <c r="BK11" s="60">
        <v>23</v>
      </c>
      <c r="BL11" s="31">
        <v>18</v>
      </c>
      <c r="BM11" s="31">
        <v>25</v>
      </c>
      <c r="BN11" s="60">
        <v>21</v>
      </c>
      <c r="BO11" s="31">
        <v>16</v>
      </c>
      <c r="BP11" s="31">
        <v>12</v>
      </c>
      <c r="BQ11" s="60">
        <v>29</v>
      </c>
      <c r="BR11" s="31">
        <v>14</v>
      </c>
      <c r="BS11" s="31">
        <v>11</v>
      </c>
      <c r="BT11" s="60">
        <v>18</v>
      </c>
      <c r="BU11" s="31">
        <v>11</v>
      </c>
      <c r="BV11" s="31">
        <v>10</v>
      </c>
      <c r="BW11" s="60">
        <v>12</v>
      </c>
      <c r="BX11" s="31">
        <v>10</v>
      </c>
      <c r="BY11" s="31">
        <v>10</v>
      </c>
      <c r="BZ11" s="60">
        <v>11</v>
      </c>
      <c r="CA11" s="31">
        <v>12</v>
      </c>
      <c r="CB11" s="31">
        <v>9</v>
      </c>
      <c r="CC11" s="60">
        <v>10</v>
      </c>
      <c r="CD11" s="31">
        <v>18</v>
      </c>
      <c r="CE11" s="31">
        <v>10</v>
      </c>
      <c r="CF11" s="60">
        <v>11</v>
      </c>
      <c r="CG11" s="31">
        <v>12</v>
      </c>
      <c r="CH11" s="31">
        <v>9</v>
      </c>
      <c r="CI11" s="60">
        <v>15</v>
      </c>
      <c r="CJ11" s="31">
        <v>11</v>
      </c>
      <c r="CK11" s="31">
        <v>8</v>
      </c>
      <c r="CL11" s="60">
        <v>12</v>
      </c>
      <c r="CM11" s="31">
        <v>10</v>
      </c>
      <c r="CN11" s="31">
        <v>8</v>
      </c>
      <c r="CO11" s="60">
        <v>15</v>
      </c>
      <c r="CP11" s="31">
        <v>8</v>
      </c>
      <c r="CQ11" s="31">
        <v>7</v>
      </c>
      <c r="CR11" s="60">
        <v>10</v>
      </c>
      <c r="CS11" s="31">
        <v>8</v>
      </c>
      <c r="CT11" s="31">
        <v>6</v>
      </c>
      <c r="CU11" s="60">
        <v>6</v>
      </c>
      <c r="CV11" s="31">
        <v>6</v>
      </c>
      <c r="CW11" s="31">
        <v>4</v>
      </c>
      <c r="CX11" s="60">
        <v>5</v>
      </c>
      <c r="CY11" s="31">
        <v>5</v>
      </c>
      <c r="CZ11" s="31">
        <v>3</v>
      </c>
      <c r="DA11" s="60">
        <v>4</v>
      </c>
      <c r="DB11" s="31">
        <v>4</v>
      </c>
      <c r="DC11" s="31">
        <v>3</v>
      </c>
      <c r="DD11" s="60">
        <v>8</v>
      </c>
      <c r="DE11" s="31">
        <v>3</v>
      </c>
      <c r="DF11" s="31">
        <v>7</v>
      </c>
      <c r="DG11" s="60">
        <v>6</v>
      </c>
      <c r="DH11" s="31">
        <v>3</v>
      </c>
      <c r="DI11" s="31">
        <v>6</v>
      </c>
      <c r="DJ11" s="60">
        <v>5</v>
      </c>
      <c r="DK11" s="31">
        <v>3</v>
      </c>
      <c r="DL11" s="31">
        <v>5</v>
      </c>
      <c r="DM11" s="60">
        <v>4</v>
      </c>
      <c r="DN11" s="31">
        <v>2</v>
      </c>
      <c r="DO11" s="31">
        <v>3</v>
      </c>
      <c r="DP11" s="60">
        <v>3</v>
      </c>
      <c r="DQ11" s="31">
        <v>2</v>
      </c>
      <c r="DR11" s="31">
        <v>2</v>
      </c>
      <c r="DS11" s="60">
        <v>2</v>
      </c>
      <c r="DT11" s="31">
        <v>2</v>
      </c>
      <c r="DU11" s="31">
        <v>5</v>
      </c>
      <c r="DV11" s="60">
        <v>6</v>
      </c>
      <c r="DW11" s="31">
        <v>4</v>
      </c>
      <c r="DX11" s="31">
        <v>4</v>
      </c>
      <c r="DY11" s="60">
        <v>3</v>
      </c>
      <c r="DZ11" s="31">
        <v>6</v>
      </c>
      <c r="EA11" s="31">
        <v>8</v>
      </c>
      <c r="EB11" s="60">
        <v>2</v>
      </c>
      <c r="EC11" s="31">
        <v>4</v>
      </c>
      <c r="ED11" s="31">
        <v>5</v>
      </c>
      <c r="EE11" s="60">
        <v>5</v>
      </c>
      <c r="EF11" s="31">
        <v>7</v>
      </c>
      <c r="EG11" s="31">
        <v>4</v>
      </c>
      <c r="EH11" s="60">
        <v>8</v>
      </c>
      <c r="EI11" s="31">
        <v>5</v>
      </c>
      <c r="EJ11" s="31">
        <v>3</v>
      </c>
      <c r="EK11" s="60">
        <v>12</v>
      </c>
      <c r="EL11" s="31">
        <v>6</v>
      </c>
      <c r="EM11" s="31">
        <v>8</v>
      </c>
      <c r="EN11" s="60">
        <v>10</v>
      </c>
      <c r="EO11" s="31">
        <v>5</v>
      </c>
      <c r="EP11" s="31">
        <v>7</v>
      </c>
      <c r="EQ11" s="60">
        <v>13</v>
      </c>
      <c r="ER11" s="31">
        <v>8</v>
      </c>
      <c r="ES11" s="31">
        <v>9</v>
      </c>
      <c r="ET11" s="60">
        <v>16</v>
      </c>
      <c r="EU11" s="31">
        <v>7</v>
      </c>
      <c r="EV11" s="31">
        <v>8</v>
      </c>
      <c r="EW11" s="60">
        <v>13</v>
      </c>
      <c r="EX11" s="31">
        <v>6</v>
      </c>
      <c r="EY11" s="31">
        <v>5</v>
      </c>
      <c r="EZ11" s="60">
        <v>16</v>
      </c>
      <c r="FA11" s="31">
        <v>5</v>
      </c>
      <c r="FB11" s="31">
        <v>4</v>
      </c>
      <c r="FC11" s="31">
        <v>14</v>
      </c>
      <c r="FD11" s="31">
        <v>4</v>
      </c>
      <c r="FE11" s="31">
        <v>4</v>
      </c>
      <c r="FF11" s="31">
        <v>43</v>
      </c>
      <c r="FG11" s="31">
        <v>28</v>
      </c>
      <c r="FH11" s="31">
        <v>18</v>
      </c>
      <c r="FI11" s="31">
        <v>40</v>
      </c>
      <c r="FJ11" s="31">
        <v>23</v>
      </c>
      <c r="FK11" s="31">
        <v>12</v>
      </c>
      <c r="FL11" s="31">
        <v>48</v>
      </c>
      <c r="FM11" s="31">
        <v>29</v>
      </c>
      <c r="FN11" s="31">
        <v>16</v>
      </c>
      <c r="FO11" s="6">
        <v>64</v>
      </c>
      <c r="FP11" s="6">
        <v>23</v>
      </c>
      <c r="FQ11" s="6">
        <v>25</v>
      </c>
      <c r="FR11" s="6">
        <v>53</v>
      </c>
      <c r="FS11" s="16">
        <v>28</v>
      </c>
      <c r="FT11" s="6">
        <v>87</v>
      </c>
      <c r="FU11" s="6">
        <v>74</v>
      </c>
      <c r="FV11" s="16">
        <v>31</v>
      </c>
      <c r="FW11" s="16">
        <v>83</v>
      </c>
      <c r="FX11" s="6">
        <v>34</v>
      </c>
      <c r="FY11" s="16">
        <v>38</v>
      </c>
      <c r="FZ11" s="16">
        <v>79</v>
      </c>
      <c r="GA11" s="6">
        <v>27</v>
      </c>
      <c r="GB11" s="16">
        <v>32</v>
      </c>
      <c r="GC11" s="16">
        <v>73</v>
      </c>
      <c r="GD11" s="6">
        <v>22</v>
      </c>
      <c r="GE11" s="16">
        <v>26</v>
      </c>
      <c r="GF11" s="16">
        <v>68</v>
      </c>
      <c r="GG11" s="16">
        <v>17</v>
      </c>
      <c r="GH11" s="16">
        <v>24</v>
      </c>
      <c r="GI11" s="16">
        <v>64</v>
      </c>
      <c r="GJ11" s="16">
        <v>19</v>
      </c>
      <c r="GK11" s="16">
        <v>20</v>
      </c>
      <c r="GL11" s="16">
        <v>58</v>
      </c>
      <c r="GM11" s="16">
        <v>9</v>
      </c>
      <c r="GN11" s="16">
        <v>15</v>
      </c>
      <c r="GO11" s="16">
        <v>46</v>
      </c>
      <c r="GP11" s="16">
        <v>4</v>
      </c>
      <c r="GQ11" s="16">
        <v>12</v>
      </c>
      <c r="GR11" s="16">
        <v>41</v>
      </c>
      <c r="GS11" s="16">
        <v>4</v>
      </c>
      <c r="GT11" s="16">
        <v>15</v>
      </c>
      <c r="GU11" s="16">
        <v>38</v>
      </c>
      <c r="GV11" s="16">
        <v>3</v>
      </c>
      <c r="GW11" s="16">
        <v>12</v>
      </c>
      <c r="GX11" s="16">
        <v>29</v>
      </c>
      <c r="GY11" s="16">
        <v>2</v>
      </c>
      <c r="GZ11" s="16">
        <v>10</v>
      </c>
      <c r="HA11" s="16">
        <v>23</v>
      </c>
      <c r="HB11" s="16">
        <v>4</v>
      </c>
      <c r="HC11" s="16">
        <v>6</v>
      </c>
      <c r="HD11" s="16">
        <v>10</v>
      </c>
      <c r="HE11" s="16">
        <v>5</v>
      </c>
      <c r="HF11" s="16">
        <v>5</v>
      </c>
      <c r="HG11" s="16">
        <v>8</v>
      </c>
      <c r="HH11" s="16">
        <v>3</v>
      </c>
      <c r="HI11" s="16">
        <v>4</v>
      </c>
      <c r="HJ11" s="16">
        <v>6</v>
      </c>
      <c r="HK11" s="84">
        <v>5</v>
      </c>
      <c r="HL11" s="16">
        <v>3</v>
      </c>
      <c r="HM11" s="16">
        <v>4</v>
      </c>
      <c r="HN11" s="84">
        <v>7</v>
      </c>
      <c r="HO11" s="16">
        <v>2</v>
      </c>
      <c r="HP11" s="16">
        <v>2</v>
      </c>
      <c r="HQ11" s="84">
        <v>5</v>
      </c>
      <c r="HR11" s="6">
        <v>2</v>
      </c>
      <c r="HS11" s="6">
        <v>2</v>
      </c>
      <c r="HT11" s="84">
        <v>3</v>
      </c>
      <c r="HU11" s="16">
        <v>2</v>
      </c>
      <c r="HV11" s="16">
        <v>2</v>
      </c>
      <c r="HW11" s="84">
        <v>2</v>
      </c>
      <c r="HX11" s="16">
        <v>2</v>
      </c>
      <c r="HY11" s="16">
        <v>2</v>
      </c>
      <c r="HZ11" s="84">
        <v>3</v>
      </c>
      <c r="IA11" s="16">
        <v>2</v>
      </c>
      <c r="IB11" s="16">
        <v>2</v>
      </c>
      <c r="IC11" s="84">
        <v>3</v>
      </c>
      <c r="ID11" s="6">
        <v>2</v>
      </c>
      <c r="IE11" s="6">
        <v>2</v>
      </c>
      <c r="IF11" s="84">
        <v>6</v>
      </c>
      <c r="IG11" s="85">
        <v>7</v>
      </c>
      <c r="IH11" s="85">
        <v>5</v>
      </c>
      <c r="II11" s="86">
        <v>7</v>
      </c>
      <c r="IJ11" s="86">
        <v>5</v>
      </c>
      <c r="IK11" s="86">
        <v>8</v>
      </c>
      <c r="IL11" s="86">
        <v>9</v>
      </c>
      <c r="IM11" s="16">
        <v>49</v>
      </c>
      <c r="IN11" s="16">
        <v>15</v>
      </c>
      <c r="IO11" s="16">
        <v>31</v>
      </c>
      <c r="IP11" s="16">
        <v>14</v>
      </c>
      <c r="IQ11" s="16">
        <v>18</v>
      </c>
      <c r="IR11" s="16">
        <v>18</v>
      </c>
      <c r="IS11" s="59">
        <f t="shared" si="0"/>
        <v>0</v>
      </c>
      <c r="IT11" s="18"/>
      <c r="IV11" s="18"/>
      <c r="IW11" s="18"/>
      <c r="IX11" s="18"/>
      <c r="IY11" s="18"/>
      <c r="IZ11" s="18"/>
      <c r="JA11" s="18"/>
      <c r="JB11" s="18"/>
      <c r="JC11" s="18"/>
      <c r="JD11" s="18"/>
      <c r="JE11" s="18"/>
      <c r="JF11" s="18"/>
      <c r="JG11" s="18"/>
      <c r="JH11" s="18"/>
      <c r="JI11" s="18"/>
      <c r="JJ11" s="18"/>
      <c r="JK11" s="18"/>
      <c r="JL11" s="18"/>
      <c r="JM11" s="18"/>
    </row>
    <row r="12" spans="1:273" ht="13.5" customHeight="1">
      <c r="A12" s="97">
        <v>8</v>
      </c>
      <c r="B12" s="77" t="s">
        <v>157</v>
      </c>
      <c r="C12" s="31" t="s">
        <v>126</v>
      </c>
      <c r="D12" s="20">
        <v>10</v>
      </c>
      <c r="E12" s="20">
        <v>10</v>
      </c>
      <c r="F12" s="60"/>
      <c r="G12" s="60"/>
      <c r="H12" s="60"/>
      <c r="I12" s="60"/>
      <c r="J12" s="60"/>
      <c r="K12" s="60"/>
      <c r="L12" s="60"/>
      <c r="M12" s="60"/>
      <c r="N12" s="60"/>
      <c r="O12" s="83">
        <v>100</v>
      </c>
      <c r="P12" s="78">
        <v>100</v>
      </c>
      <c r="Q12" s="78">
        <v>100</v>
      </c>
      <c r="R12" s="83">
        <v>100</v>
      </c>
      <c r="S12" s="78">
        <v>100</v>
      </c>
      <c r="T12" s="78">
        <v>100</v>
      </c>
      <c r="U12" s="83">
        <v>100</v>
      </c>
      <c r="V12" s="78">
        <v>100</v>
      </c>
      <c r="W12" s="78">
        <v>100</v>
      </c>
      <c r="X12" s="83">
        <v>100</v>
      </c>
      <c r="Y12" s="78">
        <v>100</v>
      </c>
      <c r="Z12" s="78">
        <v>100</v>
      </c>
      <c r="AA12" s="83">
        <v>100</v>
      </c>
      <c r="AB12" s="78">
        <v>100</v>
      </c>
      <c r="AC12" s="78">
        <v>100</v>
      </c>
      <c r="AD12" s="83">
        <v>100</v>
      </c>
      <c r="AE12" s="78">
        <v>100</v>
      </c>
      <c r="AF12" s="78">
        <v>100</v>
      </c>
      <c r="AG12" s="83">
        <v>100</v>
      </c>
      <c r="AH12" s="78">
        <v>100</v>
      </c>
      <c r="AI12" s="78">
        <v>100</v>
      </c>
      <c r="AJ12" s="83">
        <v>100</v>
      </c>
      <c r="AK12" s="78">
        <v>100</v>
      </c>
      <c r="AL12" s="78">
        <v>100</v>
      </c>
      <c r="AM12" s="60">
        <v>25</v>
      </c>
      <c r="AN12" s="78">
        <v>100</v>
      </c>
      <c r="AO12" s="78">
        <v>100</v>
      </c>
      <c r="AP12" s="60">
        <v>24</v>
      </c>
      <c r="AQ12" s="78">
        <v>100</v>
      </c>
      <c r="AR12" s="78">
        <v>100</v>
      </c>
      <c r="AS12" s="60">
        <v>22</v>
      </c>
      <c r="AT12" s="78">
        <v>100</v>
      </c>
      <c r="AU12" s="78">
        <v>100</v>
      </c>
      <c r="AV12" s="60">
        <v>35</v>
      </c>
      <c r="AW12" s="78">
        <v>100</v>
      </c>
      <c r="AX12" s="78">
        <v>100</v>
      </c>
      <c r="AY12" s="60">
        <v>39</v>
      </c>
      <c r="AZ12" s="31">
        <v>83</v>
      </c>
      <c r="BA12" s="78">
        <v>100</v>
      </c>
      <c r="BB12" s="60">
        <v>38</v>
      </c>
      <c r="BC12" s="31">
        <v>80</v>
      </c>
      <c r="BD12" s="78">
        <v>100</v>
      </c>
      <c r="BE12" s="60">
        <v>35</v>
      </c>
      <c r="BF12" s="31">
        <v>78</v>
      </c>
      <c r="BG12" s="78">
        <v>100</v>
      </c>
      <c r="BH12" s="60">
        <v>10</v>
      </c>
      <c r="BI12" s="31">
        <v>72</v>
      </c>
      <c r="BJ12" s="78">
        <v>100</v>
      </c>
      <c r="BK12" s="60">
        <v>7</v>
      </c>
      <c r="BL12" s="31">
        <v>57</v>
      </c>
      <c r="BM12" s="78">
        <v>100</v>
      </c>
      <c r="BN12" s="60">
        <v>5</v>
      </c>
      <c r="BO12" s="31">
        <v>49</v>
      </c>
      <c r="BP12" s="31">
        <v>64</v>
      </c>
      <c r="BQ12" s="60">
        <v>3</v>
      </c>
      <c r="BR12" s="31">
        <v>42</v>
      </c>
      <c r="BS12" s="31">
        <v>63</v>
      </c>
      <c r="BT12" s="60">
        <v>2</v>
      </c>
      <c r="BU12" s="31">
        <v>36</v>
      </c>
      <c r="BV12" s="31">
        <v>58</v>
      </c>
      <c r="BW12" s="60">
        <v>2</v>
      </c>
      <c r="BX12" s="31">
        <v>32</v>
      </c>
      <c r="BY12" s="31">
        <v>48</v>
      </c>
      <c r="BZ12" s="60">
        <v>2</v>
      </c>
      <c r="CA12" s="31">
        <v>24</v>
      </c>
      <c r="CB12" s="31">
        <v>31</v>
      </c>
      <c r="CC12" s="60">
        <v>6</v>
      </c>
      <c r="CD12" s="31">
        <v>19</v>
      </c>
      <c r="CE12" s="31">
        <v>25</v>
      </c>
      <c r="CF12" s="60">
        <v>5</v>
      </c>
      <c r="CG12" s="31">
        <v>17</v>
      </c>
      <c r="CH12" s="31">
        <v>8</v>
      </c>
      <c r="CI12" s="60">
        <v>3</v>
      </c>
      <c r="CJ12" s="31">
        <v>12</v>
      </c>
      <c r="CK12" s="31">
        <v>6</v>
      </c>
      <c r="CL12" s="60">
        <v>2</v>
      </c>
      <c r="CM12" s="31">
        <v>8</v>
      </c>
      <c r="CN12" s="31">
        <v>5</v>
      </c>
      <c r="CO12" s="60">
        <v>2</v>
      </c>
      <c r="CP12" s="31">
        <v>6</v>
      </c>
      <c r="CQ12" s="31">
        <v>5</v>
      </c>
      <c r="CR12" s="60">
        <v>2</v>
      </c>
      <c r="CS12" s="31">
        <v>4</v>
      </c>
      <c r="CT12" s="31">
        <v>9</v>
      </c>
      <c r="CU12" s="60">
        <v>2</v>
      </c>
      <c r="CV12" s="31">
        <v>4</v>
      </c>
      <c r="CW12" s="31">
        <v>5</v>
      </c>
      <c r="CX12" s="60">
        <v>2</v>
      </c>
      <c r="CY12" s="31">
        <v>3</v>
      </c>
      <c r="CZ12" s="31">
        <v>6</v>
      </c>
      <c r="DA12" s="60">
        <v>6</v>
      </c>
      <c r="DB12" s="31">
        <v>3</v>
      </c>
      <c r="DC12" s="31">
        <v>4</v>
      </c>
      <c r="DD12" s="60">
        <v>4</v>
      </c>
      <c r="DE12" s="31">
        <v>5</v>
      </c>
      <c r="DF12" s="31">
        <v>3</v>
      </c>
      <c r="DG12" s="60">
        <v>3</v>
      </c>
      <c r="DH12" s="31">
        <v>4</v>
      </c>
      <c r="DI12" s="31">
        <v>3</v>
      </c>
      <c r="DJ12" s="60">
        <v>5</v>
      </c>
      <c r="DK12" s="31">
        <v>3</v>
      </c>
      <c r="DL12" s="31">
        <v>3</v>
      </c>
      <c r="DM12" s="60">
        <v>4</v>
      </c>
      <c r="DN12" s="31">
        <v>2</v>
      </c>
      <c r="DO12" s="31">
        <v>2</v>
      </c>
      <c r="DP12" s="60">
        <v>3</v>
      </c>
      <c r="DQ12" s="31">
        <v>3</v>
      </c>
      <c r="DR12" s="31">
        <v>3</v>
      </c>
      <c r="DS12" s="60">
        <v>4</v>
      </c>
      <c r="DT12" s="31">
        <v>5</v>
      </c>
      <c r="DU12" s="31">
        <v>6</v>
      </c>
      <c r="DV12" s="60">
        <v>7</v>
      </c>
      <c r="DW12" s="31">
        <v>4</v>
      </c>
      <c r="DX12" s="31">
        <v>4</v>
      </c>
      <c r="DY12" s="60">
        <v>4</v>
      </c>
      <c r="DZ12" s="31">
        <v>3</v>
      </c>
      <c r="EA12" s="31">
        <v>4</v>
      </c>
      <c r="EB12" s="60">
        <v>3</v>
      </c>
      <c r="EC12" s="31">
        <v>4</v>
      </c>
      <c r="ED12" s="31">
        <v>2</v>
      </c>
      <c r="EE12" s="60">
        <v>2</v>
      </c>
      <c r="EF12" s="31">
        <v>3</v>
      </c>
      <c r="EG12" s="31">
        <v>5</v>
      </c>
      <c r="EH12" s="60">
        <v>2</v>
      </c>
      <c r="EI12" s="31">
        <v>2</v>
      </c>
      <c r="EJ12" s="31">
        <v>4</v>
      </c>
      <c r="EK12" s="60">
        <v>2</v>
      </c>
      <c r="EL12" s="31">
        <v>3</v>
      </c>
      <c r="EM12" s="31">
        <v>3</v>
      </c>
      <c r="EN12" s="60">
        <v>2</v>
      </c>
      <c r="EO12" s="31">
        <v>2</v>
      </c>
      <c r="EP12" s="31">
        <v>2</v>
      </c>
      <c r="EQ12" s="60">
        <v>2</v>
      </c>
      <c r="ER12" s="31">
        <v>3</v>
      </c>
      <c r="ES12" s="31">
        <v>2</v>
      </c>
      <c r="ET12" s="60">
        <v>3</v>
      </c>
      <c r="EU12" s="31">
        <v>2</v>
      </c>
      <c r="EV12" s="31">
        <v>4</v>
      </c>
      <c r="EW12" s="60">
        <v>4</v>
      </c>
      <c r="EX12" s="31">
        <v>2</v>
      </c>
      <c r="EY12" s="31">
        <v>3</v>
      </c>
      <c r="EZ12" s="60">
        <v>3</v>
      </c>
      <c r="FA12" s="31">
        <v>5</v>
      </c>
      <c r="FB12" s="31">
        <v>4</v>
      </c>
      <c r="FC12" s="31">
        <v>3</v>
      </c>
      <c r="FD12" s="31">
        <v>3</v>
      </c>
      <c r="FE12" s="31">
        <v>2</v>
      </c>
      <c r="FF12" s="31">
        <v>2</v>
      </c>
      <c r="FG12" s="31">
        <v>5</v>
      </c>
      <c r="FH12" s="31">
        <v>7</v>
      </c>
      <c r="FI12" s="31">
        <v>3</v>
      </c>
      <c r="FJ12" s="31">
        <v>4</v>
      </c>
      <c r="FK12" s="31">
        <v>6</v>
      </c>
      <c r="FL12" s="31">
        <v>5</v>
      </c>
      <c r="FM12" s="31">
        <v>3</v>
      </c>
      <c r="FN12" s="31">
        <v>5</v>
      </c>
      <c r="FO12" s="6">
        <v>4</v>
      </c>
      <c r="FP12" s="6">
        <v>5</v>
      </c>
      <c r="FQ12" s="6">
        <v>3</v>
      </c>
      <c r="FR12" s="6">
        <v>2</v>
      </c>
      <c r="FS12" s="16">
        <v>3</v>
      </c>
      <c r="FT12" s="16">
        <v>2</v>
      </c>
      <c r="FU12" s="6">
        <v>2</v>
      </c>
      <c r="FV12" s="16">
        <v>2</v>
      </c>
      <c r="FW12" s="16">
        <v>4</v>
      </c>
      <c r="FX12" s="6">
        <v>2</v>
      </c>
      <c r="FY12" s="16">
        <v>2</v>
      </c>
      <c r="FZ12" s="16">
        <v>3</v>
      </c>
      <c r="GA12" s="6">
        <v>2</v>
      </c>
      <c r="GB12" s="16">
        <v>2</v>
      </c>
      <c r="GC12" s="16">
        <v>2</v>
      </c>
      <c r="GD12" s="6">
        <v>2</v>
      </c>
      <c r="GE12" s="16">
        <v>2</v>
      </c>
      <c r="GF12" s="16">
        <v>2</v>
      </c>
      <c r="GG12" s="6">
        <v>2</v>
      </c>
      <c r="GH12" s="16">
        <v>4</v>
      </c>
      <c r="GI12" s="16">
        <v>5</v>
      </c>
      <c r="GJ12" s="6">
        <v>5</v>
      </c>
      <c r="GK12" s="16">
        <v>6</v>
      </c>
      <c r="GL12" s="16">
        <v>8</v>
      </c>
      <c r="GM12" s="6">
        <v>4</v>
      </c>
      <c r="GN12" s="16">
        <v>8</v>
      </c>
      <c r="GO12" s="16">
        <v>6</v>
      </c>
      <c r="GP12" s="6">
        <v>2</v>
      </c>
      <c r="GQ12" s="16">
        <v>6</v>
      </c>
      <c r="GR12" s="16">
        <v>6</v>
      </c>
      <c r="GS12" s="16">
        <v>8</v>
      </c>
      <c r="GT12" s="16">
        <v>8</v>
      </c>
      <c r="GU12" s="16">
        <v>10</v>
      </c>
      <c r="GV12" s="16">
        <v>3</v>
      </c>
      <c r="GW12" s="16">
        <v>6</v>
      </c>
      <c r="GX12" s="16">
        <v>7</v>
      </c>
      <c r="GY12" s="16">
        <v>4</v>
      </c>
      <c r="GZ12" s="16">
        <v>5</v>
      </c>
      <c r="HA12" s="16">
        <v>5</v>
      </c>
      <c r="HB12" s="16">
        <v>3</v>
      </c>
      <c r="HC12" s="16">
        <v>4</v>
      </c>
      <c r="HD12" s="16">
        <v>8</v>
      </c>
      <c r="HE12" s="16">
        <v>4</v>
      </c>
      <c r="HF12" s="16">
        <v>3</v>
      </c>
      <c r="HG12" s="16">
        <v>6</v>
      </c>
      <c r="HH12" s="16">
        <v>2</v>
      </c>
      <c r="HI12" s="16">
        <v>7</v>
      </c>
      <c r="HJ12" s="16">
        <v>5</v>
      </c>
      <c r="HK12" s="16">
        <v>5</v>
      </c>
      <c r="HL12" s="16">
        <v>6</v>
      </c>
      <c r="HM12" s="16">
        <v>5</v>
      </c>
      <c r="HN12" s="16">
        <v>4</v>
      </c>
      <c r="HO12" s="16">
        <v>3</v>
      </c>
      <c r="HP12" s="16">
        <v>4</v>
      </c>
      <c r="HQ12" s="6">
        <v>7</v>
      </c>
      <c r="HR12" s="6">
        <v>5</v>
      </c>
      <c r="HS12" s="6">
        <v>6</v>
      </c>
      <c r="HT12" s="16">
        <v>5</v>
      </c>
      <c r="HU12" s="16">
        <v>5</v>
      </c>
      <c r="HV12" s="16">
        <v>5</v>
      </c>
      <c r="HW12" s="16">
        <v>4</v>
      </c>
      <c r="HX12" s="16">
        <v>4</v>
      </c>
      <c r="HY12" s="16">
        <v>4</v>
      </c>
      <c r="HZ12" s="16">
        <v>3</v>
      </c>
      <c r="IA12" s="16">
        <v>4</v>
      </c>
      <c r="IB12" s="16">
        <v>3</v>
      </c>
      <c r="IC12" s="6">
        <v>2</v>
      </c>
      <c r="ID12" s="6">
        <v>3</v>
      </c>
      <c r="IE12" s="6">
        <v>3</v>
      </c>
      <c r="IF12" s="16">
        <v>3</v>
      </c>
      <c r="IG12" s="86">
        <v>5</v>
      </c>
      <c r="IH12" s="86">
        <v>5</v>
      </c>
      <c r="II12" s="86">
        <v>4</v>
      </c>
      <c r="IJ12" s="86">
        <v>8</v>
      </c>
      <c r="IK12" s="86">
        <v>6</v>
      </c>
      <c r="IL12" s="16">
        <v>31</v>
      </c>
      <c r="IM12" s="16">
        <v>24</v>
      </c>
      <c r="IN12" s="16">
        <v>32</v>
      </c>
      <c r="IO12" s="16">
        <v>15</v>
      </c>
      <c r="IP12" s="16">
        <v>28</v>
      </c>
      <c r="IQ12" s="16">
        <v>20</v>
      </c>
      <c r="IR12" s="16">
        <v>20</v>
      </c>
      <c r="IS12" s="59">
        <f t="shared" si="0"/>
        <v>0</v>
      </c>
      <c r="IT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</row>
    <row r="13" spans="1:273" ht="14.25" customHeight="1">
      <c r="A13" s="97">
        <v>9</v>
      </c>
      <c r="B13" s="77" t="s">
        <v>158</v>
      </c>
      <c r="C13" s="31" t="s">
        <v>126</v>
      </c>
      <c r="D13" s="20" t="s">
        <v>126</v>
      </c>
      <c r="E13" s="20" t="s">
        <v>126</v>
      </c>
      <c r="F13" s="60"/>
      <c r="G13" s="60"/>
      <c r="H13" s="60"/>
      <c r="I13" s="60"/>
      <c r="J13" s="60"/>
      <c r="K13" s="60"/>
      <c r="L13" s="60"/>
      <c r="M13" s="60"/>
      <c r="N13" s="60"/>
      <c r="O13" s="83">
        <v>100</v>
      </c>
      <c r="P13" s="78">
        <v>100</v>
      </c>
      <c r="Q13" s="78">
        <v>100</v>
      </c>
      <c r="R13" s="83">
        <v>100</v>
      </c>
      <c r="S13" s="78">
        <v>100</v>
      </c>
      <c r="T13" s="78">
        <v>100</v>
      </c>
      <c r="U13" s="83">
        <v>100</v>
      </c>
      <c r="V13" s="78">
        <v>100</v>
      </c>
      <c r="W13" s="78">
        <v>100</v>
      </c>
      <c r="X13" s="60">
        <v>9</v>
      </c>
      <c r="Y13" s="31">
        <v>82</v>
      </c>
      <c r="Z13" s="31">
        <v>88</v>
      </c>
      <c r="AA13" s="60">
        <v>13</v>
      </c>
      <c r="AB13" s="31">
        <v>80</v>
      </c>
      <c r="AC13" s="31">
        <v>95</v>
      </c>
      <c r="AD13" s="60">
        <v>12</v>
      </c>
      <c r="AE13" s="31">
        <v>35</v>
      </c>
      <c r="AF13" s="31">
        <v>38</v>
      </c>
      <c r="AG13" s="60">
        <v>7</v>
      </c>
      <c r="AH13" s="31">
        <v>19</v>
      </c>
      <c r="AI13" s="31">
        <v>18</v>
      </c>
      <c r="AJ13" s="60">
        <v>6</v>
      </c>
      <c r="AK13" s="31">
        <v>16</v>
      </c>
      <c r="AL13" s="31">
        <v>15</v>
      </c>
      <c r="AM13" s="60">
        <v>12</v>
      </c>
      <c r="AN13" s="31">
        <v>14</v>
      </c>
      <c r="AO13" s="31">
        <v>16</v>
      </c>
      <c r="AP13" s="60">
        <v>11</v>
      </c>
      <c r="AQ13" s="31">
        <v>16</v>
      </c>
      <c r="AR13" s="31">
        <v>12</v>
      </c>
      <c r="AS13" s="60">
        <v>12</v>
      </c>
      <c r="AT13" s="31">
        <v>14</v>
      </c>
      <c r="AU13" s="31">
        <v>12</v>
      </c>
      <c r="AV13" s="60">
        <v>8</v>
      </c>
      <c r="AW13" s="31">
        <v>13</v>
      </c>
      <c r="AX13" s="31">
        <v>10</v>
      </c>
      <c r="AY13" s="60">
        <v>13</v>
      </c>
      <c r="AZ13" s="31">
        <v>21</v>
      </c>
      <c r="BA13" s="31">
        <v>16</v>
      </c>
      <c r="BB13" s="60">
        <v>8</v>
      </c>
      <c r="BC13" s="31">
        <v>36</v>
      </c>
      <c r="BD13" s="31">
        <v>25</v>
      </c>
      <c r="BE13" s="60">
        <v>6</v>
      </c>
      <c r="BF13" s="31">
        <v>34</v>
      </c>
      <c r="BG13" s="31">
        <v>22</v>
      </c>
      <c r="BH13" s="60">
        <v>8</v>
      </c>
      <c r="BI13" s="31">
        <v>26</v>
      </c>
      <c r="BJ13" s="78">
        <v>100</v>
      </c>
      <c r="BK13" s="60">
        <v>6</v>
      </c>
      <c r="BL13" s="31">
        <v>22</v>
      </c>
      <c r="BM13" s="78">
        <v>100</v>
      </c>
      <c r="BN13" s="60">
        <v>8</v>
      </c>
      <c r="BO13" s="31">
        <v>15</v>
      </c>
      <c r="BP13" s="31">
        <v>18</v>
      </c>
      <c r="BQ13" s="60">
        <v>6</v>
      </c>
      <c r="BR13" s="31">
        <v>12</v>
      </c>
      <c r="BS13" s="31">
        <v>15</v>
      </c>
      <c r="BT13" s="60">
        <v>18</v>
      </c>
      <c r="BU13" s="31">
        <v>25</v>
      </c>
      <c r="BV13" s="31">
        <v>39</v>
      </c>
      <c r="BW13" s="60">
        <v>22</v>
      </c>
      <c r="BX13" s="31">
        <v>9</v>
      </c>
      <c r="BY13" s="31">
        <v>10</v>
      </c>
      <c r="BZ13" s="60">
        <v>25</v>
      </c>
      <c r="CA13" s="31">
        <v>8</v>
      </c>
      <c r="CB13" s="31">
        <v>9</v>
      </c>
      <c r="CC13" s="60">
        <v>22</v>
      </c>
      <c r="CD13" s="31">
        <v>10</v>
      </c>
      <c r="CE13" s="31">
        <v>10</v>
      </c>
      <c r="CF13" s="60">
        <v>21</v>
      </c>
      <c r="CG13" s="31">
        <v>13</v>
      </c>
      <c r="CH13" s="31">
        <v>18</v>
      </c>
      <c r="CI13" s="60">
        <v>17</v>
      </c>
      <c r="CJ13" s="31">
        <v>19</v>
      </c>
      <c r="CK13" s="31">
        <v>24</v>
      </c>
      <c r="CL13" s="60">
        <v>26</v>
      </c>
      <c r="CM13" s="31">
        <v>16</v>
      </c>
      <c r="CN13" s="31">
        <v>18</v>
      </c>
      <c r="CO13" s="60">
        <v>19</v>
      </c>
      <c r="CP13" s="31">
        <v>8</v>
      </c>
      <c r="CQ13" s="31">
        <v>10</v>
      </c>
      <c r="CR13" s="60">
        <v>15</v>
      </c>
      <c r="CS13" s="31">
        <v>7</v>
      </c>
      <c r="CT13" s="31">
        <v>7</v>
      </c>
      <c r="CU13" s="60">
        <v>12</v>
      </c>
      <c r="CV13" s="31">
        <v>11</v>
      </c>
      <c r="CW13" s="31">
        <v>5</v>
      </c>
      <c r="CX13" s="60">
        <v>11</v>
      </c>
      <c r="CY13" s="31">
        <v>9</v>
      </c>
      <c r="CZ13" s="31">
        <v>8</v>
      </c>
      <c r="DA13" s="60">
        <v>9</v>
      </c>
      <c r="DB13" s="31">
        <v>6</v>
      </c>
      <c r="DC13" s="31">
        <v>6</v>
      </c>
      <c r="DD13" s="60">
        <v>7</v>
      </c>
      <c r="DE13" s="31">
        <v>5</v>
      </c>
      <c r="DF13" s="31">
        <v>5</v>
      </c>
      <c r="DG13" s="60">
        <v>6</v>
      </c>
      <c r="DH13" s="31">
        <v>5</v>
      </c>
      <c r="DI13" s="31">
        <v>5</v>
      </c>
      <c r="DJ13" s="60">
        <v>5</v>
      </c>
      <c r="DK13" s="31">
        <v>7</v>
      </c>
      <c r="DL13" s="31">
        <v>8</v>
      </c>
      <c r="DM13" s="60">
        <v>8</v>
      </c>
      <c r="DN13" s="31">
        <v>9</v>
      </c>
      <c r="DO13" s="31">
        <v>6</v>
      </c>
      <c r="DP13" s="60">
        <v>7</v>
      </c>
      <c r="DQ13" s="31">
        <v>6</v>
      </c>
      <c r="DR13" s="31">
        <v>5</v>
      </c>
      <c r="DS13" s="60">
        <v>9</v>
      </c>
      <c r="DT13" s="31">
        <v>5</v>
      </c>
      <c r="DU13" s="31">
        <v>8</v>
      </c>
      <c r="DV13" s="60">
        <v>7</v>
      </c>
      <c r="DW13" s="31">
        <v>9</v>
      </c>
      <c r="DX13" s="31">
        <v>6</v>
      </c>
      <c r="DY13" s="60">
        <v>9</v>
      </c>
      <c r="DZ13" s="31">
        <v>7</v>
      </c>
      <c r="EA13" s="31">
        <v>8</v>
      </c>
      <c r="EB13" s="60">
        <v>8</v>
      </c>
      <c r="EC13" s="31">
        <v>5</v>
      </c>
      <c r="ED13" s="31">
        <v>6</v>
      </c>
      <c r="EE13" s="60">
        <v>6</v>
      </c>
      <c r="EF13" s="31">
        <v>7</v>
      </c>
      <c r="EG13" s="31">
        <v>9</v>
      </c>
      <c r="EH13" s="60">
        <v>8</v>
      </c>
      <c r="EI13" s="31">
        <v>6</v>
      </c>
      <c r="EJ13" s="31">
        <v>8</v>
      </c>
      <c r="EK13" s="60">
        <v>6</v>
      </c>
      <c r="EL13" s="31">
        <v>6</v>
      </c>
      <c r="EM13" s="31">
        <v>9</v>
      </c>
      <c r="EN13" s="60">
        <v>8</v>
      </c>
      <c r="EO13" s="31">
        <v>5</v>
      </c>
      <c r="EP13" s="31">
        <v>8</v>
      </c>
      <c r="EQ13" s="60">
        <v>9</v>
      </c>
      <c r="ER13" s="31">
        <v>7</v>
      </c>
      <c r="ES13" s="31">
        <v>6</v>
      </c>
      <c r="ET13" s="60">
        <v>15</v>
      </c>
      <c r="EU13" s="31">
        <v>6</v>
      </c>
      <c r="EV13" s="31">
        <v>8</v>
      </c>
      <c r="EW13" s="60">
        <v>13</v>
      </c>
      <c r="EX13" s="31">
        <v>5</v>
      </c>
      <c r="EY13" s="31">
        <v>7</v>
      </c>
      <c r="EZ13" s="60">
        <v>16</v>
      </c>
      <c r="FA13" s="31">
        <v>8</v>
      </c>
      <c r="FB13" s="31">
        <v>5</v>
      </c>
      <c r="FC13" s="31">
        <v>19</v>
      </c>
      <c r="FD13" s="31">
        <v>5</v>
      </c>
      <c r="FE13" s="31">
        <v>3</v>
      </c>
      <c r="FF13" s="66">
        <v>100</v>
      </c>
      <c r="FG13" s="31">
        <v>4</v>
      </c>
      <c r="FH13" s="31">
        <v>2</v>
      </c>
      <c r="FI13" s="66">
        <v>100</v>
      </c>
      <c r="FJ13" s="82">
        <v>3</v>
      </c>
      <c r="FK13" s="31">
        <v>2</v>
      </c>
      <c r="FL13" s="66">
        <v>100</v>
      </c>
      <c r="FM13" s="82">
        <v>1</v>
      </c>
      <c r="FN13" s="31">
        <v>5</v>
      </c>
      <c r="FO13" s="6">
        <v>55</v>
      </c>
      <c r="FP13" s="6">
        <v>2</v>
      </c>
      <c r="FQ13" s="65">
        <v>2</v>
      </c>
      <c r="FR13" s="6">
        <v>43</v>
      </c>
      <c r="FS13" s="6">
        <v>2</v>
      </c>
      <c r="FT13" s="65">
        <v>2</v>
      </c>
      <c r="FU13" s="6">
        <v>40</v>
      </c>
      <c r="FV13" s="16">
        <v>3</v>
      </c>
      <c r="FW13" s="16">
        <v>2</v>
      </c>
      <c r="FX13" s="6">
        <v>48</v>
      </c>
      <c r="FY13" s="16">
        <v>9</v>
      </c>
      <c r="FZ13" s="16">
        <v>3</v>
      </c>
      <c r="GA13" s="16">
        <v>45</v>
      </c>
      <c r="GB13" s="16">
        <v>6</v>
      </c>
      <c r="GC13" s="16">
        <v>51</v>
      </c>
      <c r="GD13" s="16">
        <v>42</v>
      </c>
      <c r="GE13" s="16">
        <v>8</v>
      </c>
      <c r="GF13" s="16">
        <v>47</v>
      </c>
      <c r="GG13" s="16">
        <v>47</v>
      </c>
      <c r="GH13" s="16">
        <v>6</v>
      </c>
      <c r="GI13" s="16">
        <v>42</v>
      </c>
      <c r="GJ13" s="16">
        <v>41</v>
      </c>
      <c r="GK13" s="16">
        <v>5</v>
      </c>
      <c r="GL13" s="16">
        <v>38</v>
      </c>
      <c r="GM13" s="16">
        <v>46</v>
      </c>
      <c r="GN13" s="16">
        <v>8</v>
      </c>
      <c r="GO13" s="16">
        <v>43</v>
      </c>
      <c r="GP13" s="16">
        <v>49</v>
      </c>
      <c r="GQ13" s="16">
        <v>10</v>
      </c>
      <c r="GR13" s="16">
        <v>47</v>
      </c>
      <c r="GS13" s="16">
        <v>46</v>
      </c>
      <c r="GT13" s="16">
        <v>16</v>
      </c>
      <c r="GU13" s="16">
        <v>43</v>
      </c>
      <c r="GV13" s="16">
        <v>58</v>
      </c>
      <c r="GW13" s="16">
        <v>19</v>
      </c>
      <c r="GX13" s="16">
        <v>47</v>
      </c>
      <c r="GY13" s="16">
        <v>52</v>
      </c>
      <c r="GZ13" s="16">
        <v>14</v>
      </c>
      <c r="HA13" s="16">
        <v>44</v>
      </c>
      <c r="HB13" s="16">
        <v>48</v>
      </c>
      <c r="HC13" s="16">
        <v>12</v>
      </c>
      <c r="HD13" s="16">
        <v>39</v>
      </c>
      <c r="HE13" s="16">
        <v>43</v>
      </c>
      <c r="HF13" s="16">
        <v>10</v>
      </c>
      <c r="HG13" s="16">
        <v>36</v>
      </c>
      <c r="HH13" s="16">
        <v>48</v>
      </c>
      <c r="HI13" s="16">
        <v>10</v>
      </c>
      <c r="HJ13" s="16">
        <v>32</v>
      </c>
      <c r="HK13" s="16">
        <v>59</v>
      </c>
      <c r="HL13" s="16">
        <v>7</v>
      </c>
      <c r="HM13" s="16">
        <v>29</v>
      </c>
      <c r="HN13" s="16">
        <v>56</v>
      </c>
      <c r="HO13" s="16">
        <v>7</v>
      </c>
      <c r="HP13" s="16">
        <v>25</v>
      </c>
      <c r="HQ13" s="6">
        <v>49</v>
      </c>
      <c r="HR13" s="6">
        <v>6</v>
      </c>
      <c r="HS13" s="6">
        <v>21</v>
      </c>
      <c r="HT13" s="16">
        <v>52</v>
      </c>
      <c r="HU13" s="16">
        <v>8</v>
      </c>
      <c r="HV13" s="16">
        <v>25</v>
      </c>
      <c r="HW13" s="16">
        <v>59</v>
      </c>
      <c r="HX13" s="16">
        <v>6</v>
      </c>
      <c r="HY13" s="16">
        <v>21</v>
      </c>
      <c r="HZ13" s="16">
        <v>53</v>
      </c>
      <c r="IA13" s="16">
        <v>7</v>
      </c>
      <c r="IB13" s="16">
        <v>20</v>
      </c>
      <c r="IC13" s="6">
        <v>49</v>
      </c>
      <c r="ID13" s="6">
        <v>7</v>
      </c>
      <c r="IE13" s="6">
        <v>18</v>
      </c>
      <c r="IF13" s="14">
        <v>100</v>
      </c>
      <c r="IG13" s="14">
        <v>100</v>
      </c>
      <c r="IH13" s="14">
        <v>100</v>
      </c>
      <c r="II13" s="16">
        <v>86</v>
      </c>
      <c r="IJ13" s="16">
        <v>83</v>
      </c>
      <c r="IK13" s="86">
        <v>6</v>
      </c>
      <c r="IL13" s="86">
        <v>3</v>
      </c>
      <c r="IM13" s="16">
        <v>47</v>
      </c>
      <c r="IN13" s="86">
        <v>7</v>
      </c>
      <c r="IO13" s="86">
        <v>5</v>
      </c>
      <c r="IP13" s="86">
        <v>5</v>
      </c>
      <c r="IQ13" s="86">
        <v>5</v>
      </c>
      <c r="IR13" s="86">
        <v>5</v>
      </c>
      <c r="IS13" s="59">
        <f>IQ13-IR13</f>
        <v>0</v>
      </c>
      <c r="IT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</row>
    <row r="14" spans="1:273" ht="13.5" customHeight="1">
      <c r="A14" s="97">
        <v>10</v>
      </c>
      <c r="B14" s="77" t="s">
        <v>159</v>
      </c>
      <c r="C14" s="6">
        <v>10</v>
      </c>
      <c r="D14" s="6">
        <v>10</v>
      </c>
      <c r="E14" s="6">
        <v>10</v>
      </c>
      <c r="F14" s="60"/>
      <c r="G14" s="60"/>
      <c r="H14" s="60"/>
      <c r="I14" s="60"/>
      <c r="J14" s="60"/>
      <c r="K14" s="60"/>
      <c r="L14" s="60"/>
      <c r="M14" s="60"/>
      <c r="N14" s="60"/>
      <c r="O14" s="83">
        <v>100</v>
      </c>
      <c r="P14" s="78">
        <v>100</v>
      </c>
      <c r="Q14" s="78">
        <v>100</v>
      </c>
      <c r="R14" s="83">
        <v>100</v>
      </c>
      <c r="S14" s="78">
        <v>100</v>
      </c>
      <c r="T14" s="78">
        <v>100</v>
      </c>
      <c r="U14" s="83">
        <v>100</v>
      </c>
      <c r="V14" s="78">
        <v>100</v>
      </c>
      <c r="W14" s="78">
        <v>100</v>
      </c>
      <c r="X14" s="83">
        <v>100</v>
      </c>
      <c r="Y14" s="78">
        <v>100</v>
      </c>
      <c r="Z14" s="78">
        <v>100</v>
      </c>
      <c r="AA14" s="83">
        <v>100</v>
      </c>
      <c r="AB14" s="78">
        <v>100</v>
      </c>
      <c r="AC14" s="78">
        <v>100</v>
      </c>
      <c r="AD14" s="62">
        <v>71</v>
      </c>
      <c r="AE14" s="78">
        <v>100</v>
      </c>
      <c r="AF14" s="78">
        <v>100</v>
      </c>
      <c r="AG14" s="62">
        <v>69</v>
      </c>
      <c r="AH14" s="78">
        <v>100</v>
      </c>
      <c r="AI14" s="78">
        <v>100</v>
      </c>
      <c r="AJ14" s="62">
        <v>67</v>
      </c>
      <c r="AK14" s="31">
        <v>98</v>
      </c>
      <c r="AL14" s="78">
        <v>100</v>
      </c>
      <c r="AM14" s="62">
        <v>59</v>
      </c>
      <c r="AN14" s="31">
        <v>72</v>
      </c>
      <c r="AO14" s="31">
        <v>94</v>
      </c>
      <c r="AP14" s="62">
        <v>57</v>
      </c>
      <c r="AQ14" s="31">
        <v>70</v>
      </c>
      <c r="AR14" s="31">
        <v>86</v>
      </c>
      <c r="AS14" s="62">
        <v>54</v>
      </c>
      <c r="AT14" s="31">
        <v>69</v>
      </c>
      <c r="AU14" s="31">
        <v>82</v>
      </c>
      <c r="AV14" s="62">
        <v>52</v>
      </c>
      <c r="AW14" s="31">
        <v>66</v>
      </c>
      <c r="AX14" s="31">
        <v>80</v>
      </c>
      <c r="AY14" s="62">
        <v>49</v>
      </c>
      <c r="AZ14" s="31">
        <v>62</v>
      </c>
      <c r="BA14" s="31">
        <v>76</v>
      </c>
      <c r="BB14" s="62">
        <v>45</v>
      </c>
      <c r="BC14" s="31">
        <v>62</v>
      </c>
      <c r="BD14" s="31">
        <v>75</v>
      </c>
      <c r="BE14" s="62">
        <v>42</v>
      </c>
      <c r="BF14" s="31">
        <v>59</v>
      </c>
      <c r="BG14" s="31">
        <v>78</v>
      </c>
      <c r="BH14" s="62">
        <v>56</v>
      </c>
      <c r="BI14" s="31">
        <v>55</v>
      </c>
      <c r="BJ14" s="31">
        <v>71</v>
      </c>
      <c r="BK14" s="62">
        <v>56</v>
      </c>
      <c r="BL14" s="31">
        <v>44</v>
      </c>
      <c r="BM14" s="31">
        <v>62</v>
      </c>
      <c r="BN14" s="62">
        <v>53</v>
      </c>
      <c r="BO14" s="31">
        <v>45</v>
      </c>
      <c r="BP14" s="31">
        <v>55</v>
      </c>
      <c r="BQ14" s="62">
        <v>46</v>
      </c>
      <c r="BR14" s="31">
        <v>38</v>
      </c>
      <c r="BS14" s="31">
        <v>44</v>
      </c>
      <c r="BT14" s="62">
        <v>42</v>
      </c>
      <c r="BU14" s="31">
        <v>30</v>
      </c>
      <c r="BV14" s="31">
        <v>32</v>
      </c>
      <c r="BW14" s="62">
        <v>39</v>
      </c>
      <c r="BX14" s="31">
        <v>34</v>
      </c>
      <c r="BY14" s="31">
        <v>27</v>
      </c>
      <c r="BZ14" s="62">
        <v>42</v>
      </c>
      <c r="CA14" s="31">
        <v>33</v>
      </c>
      <c r="CB14" s="31">
        <v>25</v>
      </c>
      <c r="CC14" s="62">
        <v>46</v>
      </c>
      <c r="CD14" s="31">
        <v>30</v>
      </c>
      <c r="CE14" s="31">
        <v>28</v>
      </c>
      <c r="CF14" s="62">
        <v>42</v>
      </c>
      <c r="CG14" s="31">
        <v>25</v>
      </c>
      <c r="CH14" s="31">
        <v>23</v>
      </c>
      <c r="CI14" s="62">
        <v>35</v>
      </c>
      <c r="CJ14" s="31">
        <v>42</v>
      </c>
      <c r="CK14" s="31">
        <v>20</v>
      </c>
      <c r="CL14" s="62">
        <v>42</v>
      </c>
      <c r="CM14" s="31">
        <v>36</v>
      </c>
      <c r="CN14" s="31">
        <v>19</v>
      </c>
      <c r="CO14" s="62">
        <v>56</v>
      </c>
      <c r="CP14" s="31">
        <v>28</v>
      </c>
      <c r="CQ14" s="31">
        <v>16</v>
      </c>
      <c r="CR14" s="62">
        <v>42</v>
      </c>
      <c r="CS14" s="31">
        <v>34</v>
      </c>
      <c r="CT14" s="31">
        <v>28</v>
      </c>
      <c r="CU14" s="62">
        <v>46</v>
      </c>
      <c r="CV14" s="31">
        <v>31</v>
      </c>
      <c r="CW14" s="31">
        <v>23</v>
      </c>
      <c r="CX14" s="62">
        <v>45</v>
      </c>
      <c r="CY14" s="31">
        <v>24</v>
      </c>
      <c r="CZ14" s="31">
        <v>23</v>
      </c>
      <c r="DA14" s="62">
        <v>43</v>
      </c>
      <c r="DB14" s="31">
        <v>27</v>
      </c>
      <c r="DC14" s="31">
        <v>29</v>
      </c>
      <c r="DD14" s="62">
        <v>40</v>
      </c>
      <c r="DE14" s="31">
        <v>38</v>
      </c>
      <c r="DF14" s="31">
        <v>23</v>
      </c>
      <c r="DG14" s="62">
        <v>46</v>
      </c>
      <c r="DH14" s="31">
        <v>35</v>
      </c>
      <c r="DI14" s="31">
        <v>29</v>
      </c>
      <c r="DJ14" s="62">
        <v>52</v>
      </c>
      <c r="DK14" s="31">
        <v>31</v>
      </c>
      <c r="DL14" s="31">
        <v>38</v>
      </c>
      <c r="DM14" s="62">
        <v>46</v>
      </c>
      <c r="DN14" s="31">
        <v>35</v>
      </c>
      <c r="DO14" s="31">
        <v>36</v>
      </c>
      <c r="DP14" s="62">
        <v>58</v>
      </c>
      <c r="DQ14" s="31">
        <v>37</v>
      </c>
      <c r="DR14" s="31">
        <v>32</v>
      </c>
      <c r="DS14" s="62">
        <v>54</v>
      </c>
      <c r="DT14" s="31">
        <v>36</v>
      </c>
      <c r="DU14" s="31">
        <v>38</v>
      </c>
      <c r="DV14" s="62">
        <v>51</v>
      </c>
      <c r="DW14" s="31">
        <v>34</v>
      </c>
      <c r="DX14" s="31">
        <v>32</v>
      </c>
      <c r="DY14" s="62">
        <v>48</v>
      </c>
      <c r="DZ14" s="31">
        <v>36</v>
      </c>
      <c r="EA14" s="31">
        <v>29</v>
      </c>
      <c r="EB14" s="62">
        <v>46</v>
      </c>
      <c r="EC14" s="31">
        <v>27</v>
      </c>
      <c r="ED14" s="31">
        <v>38</v>
      </c>
      <c r="EE14" s="62">
        <v>43</v>
      </c>
      <c r="EF14" s="31">
        <v>25</v>
      </c>
      <c r="EG14" s="31">
        <v>36</v>
      </c>
      <c r="EH14" s="62">
        <v>46</v>
      </c>
      <c r="EI14" s="31">
        <v>26</v>
      </c>
      <c r="EJ14" s="31">
        <v>41</v>
      </c>
      <c r="EK14" s="62">
        <v>52</v>
      </c>
      <c r="EL14" s="31">
        <v>29</v>
      </c>
      <c r="EM14" s="31">
        <v>38</v>
      </c>
      <c r="EN14" s="62">
        <v>55</v>
      </c>
      <c r="EO14" s="31">
        <v>23</v>
      </c>
      <c r="EP14" s="31">
        <v>35</v>
      </c>
      <c r="EQ14" s="62">
        <v>62</v>
      </c>
      <c r="ER14" s="31">
        <v>28</v>
      </c>
      <c r="ES14" s="31">
        <v>31</v>
      </c>
      <c r="ET14" s="62">
        <v>57</v>
      </c>
      <c r="EU14" s="31">
        <v>23</v>
      </c>
      <c r="EV14" s="31">
        <v>34</v>
      </c>
      <c r="EW14" s="62">
        <v>53</v>
      </c>
      <c r="EX14" s="31">
        <v>19</v>
      </c>
      <c r="EY14" s="31">
        <v>32</v>
      </c>
      <c r="EZ14" s="62">
        <v>49</v>
      </c>
      <c r="FA14" s="31">
        <v>16</v>
      </c>
      <c r="FB14" s="31">
        <v>39</v>
      </c>
      <c r="FC14" s="64">
        <v>43</v>
      </c>
      <c r="FD14" s="64">
        <v>19</v>
      </c>
      <c r="FE14" s="64">
        <v>48</v>
      </c>
      <c r="FF14" s="66">
        <v>100</v>
      </c>
      <c r="FG14" s="66">
        <v>100</v>
      </c>
      <c r="FH14" s="66">
        <v>100</v>
      </c>
      <c r="FI14" s="66">
        <v>100</v>
      </c>
      <c r="FJ14" s="66">
        <v>100</v>
      </c>
      <c r="FK14" s="66">
        <v>100</v>
      </c>
      <c r="FL14" s="66">
        <v>100</v>
      </c>
      <c r="FM14" s="66">
        <v>100</v>
      </c>
      <c r="FN14" s="66">
        <v>100</v>
      </c>
      <c r="FO14" s="14">
        <v>100</v>
      </c>
      <c r="FP14" s="14">
        <v>100</v>
      </c>
      <c r="FQ14" s="14">
        <v>100</v>
      </c>
      <c r="FR14" s="14">
        <v>100</v>
      </c>
      <c r="FS14" s="14">
        <v>100</v>
      </c>
      <c r="FT14" s="14">
        <v>100</v>
      </c>
      <c r="FU14" s="14">
        <v>100</v>
      </c>
      <c r="FV14" s="14">
        <v>100</v>
      </c>
      <c r="FW14" s="84">
        <v>67</v>
      </c>
      <c r="FX14" s="14">
        <v>100</v>
      </c>
      <c r="FY14" s="14">
        <v>100</v>
      </c>
      <c r="FZ14" s="16">
        <v>58</v>
      </c>
      <c r="GA14" s="14">
        <v>100</v>
      </c>
      <c r="GB14" s="14">
        <v>100</v>
      </c>
      <c r="GC14" s="16">
        <v>54</v>
      </c>
      <c r="GD14" s="14">
        <v>100</v>
      </c>
      <c r="GE14" s="14">
        <v>100</v>
      </c>
      <c r="GF14" s="16">
        <v>42</v>
      </c>
      <c r="GG14" s="14">
        <v>100</v>
      </c>
      <c r="GH14" s="14">
        <v>100</v>
      </c>
      <c r="GI14" s="16">
        <v>40</v>
      </c>
      <c r="GJ14" s="14">
        <v>100</v>
      </c>
      <c r="GK14" s="14">
        <v>100</v>
      </c>
      <c r="GL14" s="16">
        <v>32</v>
      </c>
      <c r="GM14" s="16">
        <v>89</v>
      </c>
      <c r="GN14" s="16">
        <v>95</v>
      </c>
      <c r="GO14" s="16">
        <v>38</v>
      </c>
      <c r="GP14" s="16">
        <v>83</v>
      </c>
      <c r="GQ14" s="16">
        <v>87</v>
      </c>
      <c r="GR14" s="16">
        <v>33</v>
      </c>
      <c r="GS14" s="16">
        <v>74</v>
      </c>
      <c r="GT14" s="14">
        <v>100</v>
      </c>
      <c r="GU14" s="14">
        <v>100</v>
      </c>
      <c r="GV14" s="16">
        <v>69</v>
      </c>
      <c r="GW14" s="14">
        <v>100</v>
      </c>
      <c r="GX14" s="14">
        <v>100</v>
      </c>
      <c r="GY14" s="16">
        <v>63</v>
      </c>
      <c r="GZ14" s="14">
        <v>100</v>
      </c>
      <c r="HA14" s="14">
        <v>100</v>
      </c>
      <c r="HB14" s="16">
        <v>68</v>
      </c>
      <c r="HC14" s="16">
        <v>97</v>
      </c>
      <c r="HD14" s="14">
        <v>100</v>
      </c>
      <c r="HE14" s="16">
        <v>63</v>
      </c>
      <c r="HF14" s="16">
        <v>85</v>
      </c>
      <c r="HG14" s="14">
        <v>100</v>
      </c>
      <c r="HH14" s="16">
        <v>74</v>
      </c>
      <c r="HI14" s="16">
        <v>82</v>
      </c>
      <c r="HJ14" s="14">
        <v>100</v>
      </c>
      <c r="HK14" s="16">
        <v>70</v>
      </c>
      <c r="HL14" s="16">
        <v>79</v>
      </c>
      <c r="HM14" s="16">
        <v>95</v>
      </c>
      <c r="HN14" s="16">
        <v>73</v>
      </c>
      <c r="HO14" s="14">
        <v>100</v>
      </c>
      <c r="HP14" s="14">
        <v>100</v>
      </c>
      <c r="HQ14" s="6">
        <v>68</v>
      </c>
      <c r="HR14" s="34">
        <v>100</v>
      </c>
      <c r="HS14" s="34">
        <v>100</v>
      </c>
      <c r="HT14" s="16">
        <v>62</v>
      </c>
      <c r="HU14" s="14">
        <v>100</v>
      </c>
      <c r="HV14" s="16">
        <v>89</v>
      </c>
      <c r="HW14" s="16">
        <v>68</v>
      </c>
      <c r="HX14" s="14">
        <v>100</v>
      </c>
      <c r="HY14" s="14">
        <v>100</v>
      </c>
      <c r="HZ14" s="87">
        <v>76</v>
      </c>
      <c r="IA14" s="14">
        <v>100</v>
      </c>
      <c r="IB14" s="14">
        <v>100</v>
      </c>
      <c r="IC14" s="34">
        <v>100</v>
      </c>
      <c r="ID14" s="34">
        <v>100</v>
      </c>
      <c r="IE14" s="34">
        <v>100</v>
      </c>
      <c r="IF14" s="14">
        <v>100</v>
      </c>
      <c r="IG14" s="14">
        <v>100</v>
      </c>
      <c r="IH14" s="14">
        <v>100</v>
      </c>
      <c r="II14" s="14">
        <v>100</v>
      </c>
      <c r="IJ14" s="14">
        <v>100</v>
      </c>
      <c r="IK14" s="14">
        <v>100</v>
      </c>
      <c r="IL14" s="16" t="s">
        <v>126</v>
      </c>
      <c r="IM14" s="16" t="s">
        <v>126</v>
      </c>
      <c r="IN14" s="16" t="s">
        <v>126</v>
      </c>
      <c r="IO14" s="16" t="s">
        <v>126</v>
      </c>
      <c r="IP14" s="16" t="s">
        <v>126</v>
      </c>
      <c r="IQ14" s="16" t="s">
        <v>126</v>
      </c>
      <c r="IR14" s="16" t="s">
        <v>126</v>
      </c>
      <c r="IS14" s="59">
        <f t="shared" ref="IS14:IS45" si="1">IFERROR(IQ14-IR14,0)</f>
        <v>0</v>
      </c>
    </row>
    <row r="15" spans="1:273" ht="13.5" customHeight="1">
      <c r="A15" s="97">
        <v>11</v>
      </c>
      <c r="B15" s="77" t="s">
        <v>160</v>
      </c>
      <c r="C15" s="31" t="s">
        <v>126</v>
      </c>
      <c r="D15" s="20" t="s">
        <v>126</v>
      </c>
      <c r="E15" s="20" t="s">
        <v>126</v>
      </c>
      <c r="F15" s="60"/>
      <c r="G15" s="60"/>
      <c r="H15" s="60"/>
      <c r="I15" s="60"/>
      <c r="J15" s="60"/>
      <c r="K15" s="60"/>
      <c r="L15" s="60"/>
      <c r="M15" s="60"/>
      <c r="N15" s="60"/>
      <c r="O15" s="83">
        <v>100</v>
      </c>
      <c r="P15" s="78">
        <v>100</v>
      </c>
      <c r="Q15" s="78">
        <v>100</v>
      </c>
      <c r="R15" s="83">
        <v>100</v>
      </c>
      <c r="S15" s="78">
        <v>100</v>
      </c>
      <c r="T15" s="78">
        <v>100</v>
      </c>
      <c r="U15" s="83">
        <v>100</v>
      </c>
      <c r="V15" s="78">
        <v>100</v>
      </c>
      <c r="W15" s="78">
        <v>100</v>
      </c>
      <c r="X15" s="83">
        <v>100</v>
      </c>
      <c r="Y15" s="78">
        <v>100</v>
      </c>
      <c r="Z15" s="78">
        <v>100</v>
      </c>
      <c r="AA15" s="83">
        <v>100</v>
      </c>
      <c r="AB15" s="78">
        <v>100</v>
      </c>
      <c r="AC15" s="78">
        <v>100</v>
      </c>
      <c r="AD15" s="83">
        <v>100</v>
      </c>
      <c r="AE15" s="78">
        <v>100</v>
      </c>
      <c r="AF15" s="78">
        <v>100</v>
      </c>
      <c r="AG15" s="83">
        <v>100</v>
      </c>
      <c r="AH15" s="78">
        <v>100</v>
      </c>
      <c r="AI15" s="78">
        <v>100</v>
      </c>
      <c r="AJ15" s="83">
        <v>100</v>
      </c>
      <c r="AK15" s="78">
        <v>100</v>
      </c>
      <c r="AL15" s="78">
        <v>100</v>
      </c>
      <c r="AM15" s="83">
        <v>100</v>
      </c>
      <c r="AN15" s="78">
        <v>100</v>
      </c>
      <c r="AO15" s="78">
        <v>100</v>
      </c>
      <c r="AP15" s="83">
        <v>100</v>
      </c>
      <c r="AQ15" s="78">
        <v>100</v>
      </c>
      <c r="AR15" s="78">
        <v>100</v>
      </c>
      <c r="AS15" s="83">
        <v>100</v>
      </c>
      <c r="AT15" s="78">
        <v>100</v>
      </c>
      <c r="AU15" s="78">
        <v>100</v>
      </c>
      <c r="AV15" s="83">
        <v>100</v>
      </c>
      <c r="AW15" s="78">
        <v>100</v>
      </c>
      <c r="AX15" s="78">
        <v>100</v>
      </c>
      <c r="AY15" s="83">
        <v>100</v>
      </c>
      <c r="AZ15" s="78">
        <v>100</v>
      </c>
      <c r="BA15" s="78">
        <v>100</v>
      </c>
      <c r="BB15" s="60">
        <v>95</v>
      </c>
      <c r="BC15" s="78">
        <v>100</v>
      </c>
      <c r="BD15" s="78">
        <v>100</v>
      </c>
      <c r="BE15" s="60">
        <v>85</v>
      </c>
      <c r="BF15" s="78">
        <v>100</v>
      </c>
      <c r="BG15" s="78">
        <v>100</v>
      </c>
      <c r="BH15" s="60">
        <v>62</v>
      </c>
      <c r="BI15" s="31">
        <v>10</v>
      </c>
      <c r="BJ15" s="31">
        <v>10</v>
      </c>
      <c r="BK15" s="60">
        <v>49</v>
      </c>
      <c r="BL15" s="31">
        <v>16</v>
      </c>
      <c r="BM15" s="31">
        <v>25</v>
      </c>
      <c r="BN15" s="60">
        <v>35</v>
      </c>
      <c r="BO15" s="31">
        <v>10</v>
      </c>
      <c r="BP15" s="31">
        <v>9</v>
      </c>
      <c r="BQ15" s="60">
        <v>16</v>
      </c>
      <c r="BR15" s="31">
        <v>10</v>
      </c>
      <c r="BS15" s="31">
        <v>12</v>
      </c>
      <c r="BT15" s="60">
        <v>25</v>
      </c>
      <c r="BU15" s="31">
        <v>16</v>
      </c>
      <c r="BV15" s="31">
        <v>11</v>
      </c>
      <c r="BW15" s="60">
        <v>21</v>
      </c>
      <c r="BX15" s="31">
        <v>19</v>
      </c>
      <c r="BY15" s="31">
        <v>15</v>
      </c>
      <c r="BZ15" s="60">
        <v>18</v>
      </c>
      <c r="CA15" s="31">
        <v>15</v>
      </c>
      <c r="CB15" s="31">
        <v>14</v>
      </c>
      <c r="CC15" s="60">
        <v>16</v>
      </c>
      <c r="CD15" s="31">
        <v>11</v>
      </c>
      <c r="CE15" s="31">
        <v>13</v>
      </c>
      <c r="CF15" s="60">
        <v>12</v>
      </c>
      <c r="CG15" s="31">
        <v>10</v>
      </c>
      <c r="CH15" s="31">
        <v>11</v>
      </c>
      <c r="CI15" s="60">
        <v>10</v>
      </c>
      <c r="CJ15" s="31">
        <v>15</v>
      </c>
      <c r="CK15" s="31">
        <v>10</v>
      </c>
      <c r="CL15" s="60">
        <v>13</v>
      </c>
      <c r="CM15" s="31">
        <v>12</v>
      </c>
      <c r="CN15" s="31">
        <v>9</v>
      </c>
      <c r="CO15" s="60">
        <v>16</v>
      </c>
      <c r="CP15" s="31">
        <v>10</v>
      </c>
      <c r="CQ15" s="31">
        <v>8</v>
      </c>
      <c r="CR15" s="60">
        <v>21</v>
      </c>
      <c r="CS15" s="31">
        <v>8</v>
      </c>
      <c r="CT15" s="31">
        <v>5</v>
      </c>
      <c r="CU15" s="60">
        <v>29</v>
      </c>
      <c r="CV15" s="31">
        <v>6</v>
      </c>
      <c r="CW15" s="31">
        <v>8</v>
      </c>
      <c r="CX15" s="60">
        <v>24</v>
      </c>
      <c r="CY15" s="31">
        <v>3</v>
      </c>
      <c r="CZ15" s="31">
        <v>5</v>
      </c>
      <c r="DA15" s="60">
        <v>18</v>
      </c>
      <c r="DB15" s="31">
        <v>3</v>
      </c>
      <c r="DC15" s="31">
        <v>3</v>
      </c>
      <c r="DD15" s="60">
        <v>13</v>
      </c>
      <c r="DE15" s="31">
        <v>3</v>
      </c>
      <c r="DF15" s="31">
        <v>8</v>
      </c>
      <c r="DG15" s="60">
        <v>11</v>
      </c>
      <c r="DH15" s="31">
        <v>5</v>
      </c>
      <c r="DI15" s="31">
        <v>6</v>
      </c>
      <c r="DJ15" s="60">
        <v>19</v>
      </c>
      <c r="DK15" s="31">
        <v>4</v>
      </c>
      <c r="DL15" s="31">
        <v>5</v>
      </c>
      <c r="DM15" s="60">
        <v>14</v>
      </c>
      <c r="DN15" s="31">
        <v>4</v>
      </c>
      <c r="DO15" s="31">
        <v>4</v>
      </c>
      <c r="DP15" s="60">
        <v>12</v>
      </c>
      <c r="DQ15" s="31">
        <v>3</v>
      </c>
      <c r="DR15" s="31">
        <v>4</v>
      </c>
      <c r="DS15" s="60">
        <v>11</v>
      </c>
      <c r="DT15" s="31">
        <v>6</v>
      </c>
      <c r="DU15" s="31">
        <v>3</v>
      </c>
      <c r="DV15" s="60">
        <v>10</v>
      </c>
      <c r="DW15" s="31">
        <v>5</v>
      </c>
      <c r="DX15" s="31">
        <v>7</v>
      </c>
      <c r="DY15" s="60">
        <v>9</v>
      </c>
      <c r="DZ15" s="31">
        <v>4</v>
      </c>
      <c r="EA15" s="31">
        <v>6</v>
      </c>
      <c r="EB15" s="60">
        <v>8</v>
      </c>
      <c r="EC15" s="31">
        <v>6</v>
      </c>
      <c r="ED15" s="31">
        <v>7</v>
      </c>
      <c r="EE15" s="60">
        <v>12</v>
      </c>
      <c r="EF15" s="31">
        <v>9</v>
      </c>
      <c r="EG15" s="31">
        <v>6</v>
      </c>
      <c r="EH15" s="60">
        <v>11</v>
      </c>
      <c r="EI15" s="31">
        <v>8</v>
      </c>
      <c r="EJ15" s="31">
        <v>4</v>
      </c>
      <c r="EK15" s="60">
        <v>16</v>
      </c>
      <c r="EL15" s="31">
        <v>7</v>
      </c>
      <c r="EM15" s="31">
        <v>3</v>
      </c>
      <c r="EN15" s="60">
        <v>14</v>
      </c>
      <c r="EO15" s="31">
        <v>6</v>
      </c>
      <c r="EP15" s="31">
        <v>5</v>
      </c>
      <c r="EQ15" s="60">
        <v>13</v>
      </c>
      <c r="ER15" s="31">
        <v>5</v>
      </c>
      <c r="ES15" s="31">
        <v>8</v>
      </c>
      <c r="ET15" s="60">
        <v>16</v>
      </c>
      <c r="EU15" s="31">
        <v>6</v>
      </c>
      <c r="EV15" s="31">
        <v>5</v>
      </c>
      <c r="EW15" s="60">
        <v>14</v>
      </c>
      <c r="EX15" s="31">
        <v>8</v>
      </c>
      <c r="EY15" s="31">
        <v>8</v>
      </c>
      <c r="EZ15" s="60">
        <v>16</v>
      </c>
      <c r="FA15" s="31">
        <v>7</v>
      </c>
      <c r="FB15" s="31">
        <v>5</v>
      </c>
      <c r="FC15" s="31">
        <v>19</v>
      </c>
      <c r="FD15" s="31">
        <v>8</v>
      </c>
      <c r="FE15" s="31">
        <v>13</v>
      </c>
      <c r="FF15" s="31">
        <v>15</v>
      </c>
      <c r="FG15" s="31">
        <v>6</v>
      </c>
      <c r="FH15" s="31">
        <v>12</v>
      </c>
      <c r="FI15" s="31">
        <v>18</v>
      </c>
      <c r="FJ15" s="31">
        <v>5</v>
      </c>
      <c r="FK15" s="31">
        <v>15</v>
      </c>
      <c r="FL15" s="31">
        <v>13</v>
      </c>
      <c r="FM15" s="31">
        <v>4</v>
      </c>
      <c r="FN15" s="31">
        <v>18</v>
      </c>
      <c r="FO15" s="6">
        <v>19</v>
      </c>
      <c r="FP15" s="6">
        <v>5</v>
      </c>
      <c r="FQ15" s="6">
        <v>17</v>
      </c>
      <c r="FR15" s="16">
        <v>18</v>
      </c>
      <c r="FS15" s="16">
        <v>4</v>
      </c>
      <c r="FT15" s="16">
        <v>14</v>
      </c>
      <c r="FU15" s="16">
        <v>20</v>
      </c>
      <c r="FV15" s="16">
        <v>6</v>
      </c>
      <c r="FW15" s="16">
        <v>18</v>
      </c>
      <c r="FX15" s="6">
        <v>28</v>
      </c>
      <c r="FY15" s="6">
        <v>8</v>
      </c>
      <c r="FZ15" s="6">
        <v>17</v>
      </c>
      <c r="GA15" s="16">
        <v>23</v>
      </c>
      <c r="GB15" s="16">
        <v>7</v>
      </c>
      <c r="GC15" s="16">
        <v>19</v>
      </c>
      <c r="GD15" s="16">
        <v>35</v>
      </c>
      <c r="GE15" s="16">
        <v>10</v>
      </c>
      <c r="GF15" s="16">
        <v>15</v>
      </c>
      <c r="GG15" s="16">
        <v>32</v>
      </c>
      <c r="GH15" s="16">
        <v>8</v>
      </c>
      <c r="GI15" s="16">
        <v>12</v>
      </c>
      <c r="GJ15" s="16">
        <v>25</v>
      </c>
      <c r="GK15" s="16">
        <v>10</v>
      </c>
      <c r="GL15" s="16">
        <v>16</v>
      </c>
      <c r="GM15" s="16">
        <v>28</v>
      </c>
      <c r="GN15" s="16">
        <v>9</v>
      </c>
      <c r="GO15" s="16">
        <v>13</v>
      </c>
      <c r="GP15" s="16">
        <v>52</v>
      </c>
      <c r="GQ15" s="16">
        <v>10</v>
      </c>
      <c r="GR15" s="16">
        <v>19</v>
      </c>
      <c r="GS15" s="16">
        <v>48</v>
      </c>
      <c r="GT15" s="16">
        <v>9</v>
      </c>
      <c r="GU15" s="16">
        <v>15</v>
      </c>
      <c r="GV15" s="16">
        <v>59</v>
      </c>
      <c r="GW15" s="16">
        <v>10</v>
      </c>
      <c r="GX15" s="16">
        <v>19</v>
      </c>
      <c r="GY15" s="16">
        <v>55</v>
      </c>
      <c r="GZ15" s="16">
        <v>9</v>
      </c>
      <c r="HA15" s="16">
        <v>14</v>
      </c>
      <c r="HB15" s="16">
        <v>48</v>
      </c>
      <c r="HC15" s="16">
        <v>10</v>
      </c>
      <c r="HD15" s="16">
        <v>12</v>
      </c>
      <c r="HE15" s="16">
        <v>52</v>
      </c>
      <c r="HF15" s="16">
        <v>8</v>
      </c>
      <c r="HG15" s="16">
        <v>11</v>
      </c>
      <c r="HH15" s="16">
        <v>68</v>
      </c>
      <c r="HI15" s="16">
        <v>7</v>
      </c>
      <c r="HJ15" s="16">
        <v>10</v>
      </c>
      <c r="HK15" s="16">
        <v>64</v>
      </c>
      <c r="HL15" s="16">
        <v>5</v>
      </c>
      <c r="HM15" s="16">
        <v>9</v>
      </c>
      <c r="HN15" s="16">
        <v>72</v>
      </c>
      <c r="HO15" s="16">
        <v>6</v>
      </c>
      <c r="HP15" s="16">
        <v>7</v>
      </c>
      <c r="HQ15" s="6">
        <v>65</v>
      </c>
      <c r="HR15" s="6">
        <v>5</v>
      </c>
      <c r="HS15" s="6">
        <v>7</v>
      </c>
      <c r="HT15" s="16">
        <v>72</v>
      </c>
      <c r="HU15" s="16">
        <v>4</v>
      </c>
      <c r="HV15" s="16">
        <v>5</v>
      </c>
      <c r="HW15" s="16">
        <v>69</v>
      </c>
      <c r="HX15" s="16">
        <v>5</v>
      </c>
      <c r="HY15" s="16">
        <v>7</v>
      </c>
      <c r="HZ15" s="16">
        <v>65</v>
      </c>
      <c r="IA15" s="16">
        <v>8</v>
      </c>
      <c r="IB15" s="16">
        <v>9</v>
      </c>
      <c r="IC15" s="6">
        <v>72</v>
      </c>
      <c r="ID15" s="6">
        <v>9</v>
      </c>
      <c r="IE15" s="6">
        <v>9</v>
      </c>
      <c r="IF15" s="14">
        <v>100</v>
      </c>
      <c r="IG15" s="14">
        <v>100</v>
      </c>
      <c r="IH15" s="14">
        <v>100</v>
      </c>
      <c r="II15" s="14">
        <v>100</v>
      </c>
      <c r="IJ15" s="14">
        <v>100</v>
      </c>
      <c r="IK15" s="14">
        <v>100</v>
      </c>
      <c r="IL15" s="16" t="s">
        <v>126</v>
      </c>
      <c r="IM15" s="16" t="s">
        <v>126</v>
      </c>
      <c r="IN15" s="16" t="s">
        <v>126</v>
      </c>
      <c r="IO15" s="16" t="s">
        <v>126</v>
      </c>
      <c r="IP15" s="16" t="s">
        <v>126</v>
      </c>
      <c r="IQ15" s="16" t="s">
        <v>126</v>
      </c>
      <c r="IR15" s="16" t="s">
        <v>126</v>
      </c>
      <c r="IS15" s="59">
        <f t="shared" si="1"/>
        <v>0</v>
      </c>
      <c r="IT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</row>
    <row r="16" spans="1:273" ht="13.5" customHeight="1">
      <c r="A16" s="97">
        <v>12</v>
      </c>
      <c r="B16" s="77" t="s">
        <v>161</v>
      </c>
      <c r="C16" s="31" t="s">
        <v>126</v>
      </c>
      <c r="D16" s="20" t="s">
        <v>126</v>
      </c>
      <c r="E16" s="20" t="s">
        <v>126</v>
      </c>
      <c r="F16" s="60"/>
      <c r="G16" s="60"/>
      <c r="H16" s="60"/>
      <c r="I16" s="60"/>
      <c r="J16" s="60"/>
      <c r="K16" s="60"/>
      <c r="L16" s="60"/>
      <c r="M16" s="60"/>
      <c r="N16" s="60"/>
      <c r="O16" s="83">
        <v>100</v>
      </c>
      <c r="P16" s="78">
        <v>100</v>
      </c>
      <c r="Q16" s="78">
        <v>100</v>
      </c>
      <c r="R16" s="83">
        <v>100</v>
      </c>
      <c r="S16" s="78">
        <v>100</v>
      </c>
      <c r="T16" s="78">
        <v>100</v>
      </c>
      <c r="U16" s="83">
        <v>100</v>
      </c>
      <c r="V16" s="78">
        <v>100</v>
      </c>
      <c r="W16" s="78">
        <v>100</v>
      </c>
      <c r="X16" s="83">
        <v>100</v>
      </c>
      <c r="Y16" s="78">
        <v>100</v>
      </c>
      <c r="Z16" s="78"/>
      <c r="AA16" s="60">
        <v>6</v>
      </c>
      <c r="AB16" s="31">
        <v>5</v>
      </c>
      <c r="AC16" s="78">
        <v>100</v>
      </c>
      <c r="AD16" s="60">
        <v>3</v>
      </c>
      <c r="AE16" s="31">
        <v>2</v>
      </c>
      <c r="AF16" s="31">
        <v>2</v>
      </c>
      <c r="AG16" s="60">
        <v>3</v>
      </c>
      <c r="AH16" s="31">
        <v>2</v>
      </c>
      <c r="AI16" s="31">
        <v>2</v>
      </c>
      <c r="AJ16" s="60">
        <v>7</v>
      </c>
      <c r="AK16" s="31">
        <v>2</v>
      </c>
      <c r="AL16" s="31">
        <v>1</v>
      </c>
      <c r="AM16" s="60">
        <v>6</v>
      </c>
      <c r="AN16" s="31">
        <v>1</v>
      </c>
      <c r="AO16" s="31">
        <v>1</v>
      </c>
      <c r="AP16" s="60">
        <v>5</v>
      </c>
      <c r="AQ16" s="31">
        <v>1</v>
      </c>
      <c r="AR16" s="31">
        <v>1</v>
      </c>
      <c r="AS16" s="60">
        <v>4</v>
      </c>
      <c r="AT16" s="31">
        <v>1</v>
      </c>
      <c r="AU16" s="31">
        <v>1</v>
      </c>
      <c r="AV16" s="60">
        <v>4</v>
      </c>
      <c r="AW16" s="31">
        <v>2</v>
      </c>
      <c r="AX16" s="31">
        <v>2</v>
      </c>
      <c r="AY16" s="60">
        <v>10</v>
      </c>
      <c r="AZ16" s="31">
        <v>2</v>
      </c>
      <c r="BA16" s="31">
        <v>2</v>
      </c>
      <c r="BB16" s="60">
        <v>5</v>
      </c>
      <c r="BC16" s="31">
        <v>2</v>
      </c>
      <c r="BD16" s="31">
        <v>1</v>
      </c>
      <c r="BE16" s="60">
        <v>8</v>
      </c>
      <c r="BF16" s="31">
        <v>2</v>
      </c>
      <c r="BG16" s="31">
        <v>1</v>
      </c>
      <c r="BH16" s="60">
        <v>7</v>
      </c>
      <c r="BI16" s="31">
        <v>3</v>
      </c>
      <c r="BJ16" s="31">
        <v>2</v>
      </c>
      <c r="BK16" s="60">
        <v>6</v>
      </c>
      <c r="BL16" s="31">
        <v>2</v>
      </c>
      <c r="BM16" s="31">
        <v>1</v>
      </c>
      <c r="BN16" s="60">
        <v>5</v>
      </c>
      <c r="BO16" s="31">
        <v>2</v>
      </c>
      <c r="BP16" s="31">
        <v>1</v>
      </c>
      <c r="BQ16" s="60">
        <v>4</v>
      </c>
      <c r="BR16" s="31">
        <v>1</v>
      </c>
      <c r="BS16" s="31">
        <v>1</v>
      </c>
      <c r="BT16" s="60">
        <v>4</v>
      </c>
      <c r="BU16" s="31">
        <v>1</v>
      </c>
      <c r="BV16" s="31">
        <v>1</v>
      </c>
      <c r="BW16" s="60">
        <v>3</v>
      </c>
      <c r="BX16" s="31">
        <v>1</v>
      </c>
      <c r="BY16" s="31">
        <v>1</v>
      </c>
      <c r="BZ16" s="60">
        <v>2</v>
      </c>
      <c r="CA16" s="31">
        <v>1</v>
      </c>
      <c r="CB16" s="31">
        <v>1</v>
      </c>
      <c r="CC16" s="60">
        <v>2</v>
      </c>
      <c r="CD16" s="31">
        <v>1</v>
      </c>
      <c r="CE16" s="31">
        <v>1</v>
      </c>
      <c r="CF16" s="60">
        <v>1</v>
      </c>
      <c r="CG16" s="31">
        <v>1</v>
      </c>
      <c r="CH16" s="31">
        <v>1</v>
      </c>
      <c r="CI16" s="60">
        <v>1</v>
      </c>
      <c r="CJ16" s="31">
        <v>1</v>
      </c>
      <c r="CK16" s="31">
        <v>1</v>
      </c>
      <c r="CL16" s="60">
        <v>1</v>
      </c>
      <c r="CM16" s="31">
        <v>1</v>
      </c>
      <c r="CN16" s="31">
        <v>1</v>
      </c>
      <c r="CO16" s="60">
        <v>3</v>
      </c>
      <c r="CP16" s="31">
        <v>1</v>
      </c>
      <c r="CQ16" s="31">
        <v>1</v>
      </c>
      <c r="CR16" s="60">
        <v>7</v>
      </c>
      <c r="CS16" s="31">
        <v>1</v>
      </c>
      <c r="CT16" s="31">
        <v>1</v>
      </c>
      <c r="CU16" s="60">
        <v>5</v>
      </c>
      <c r="CV16" s="31">
        <v>1</v>
      </c>
      <c r="CW16" s="31">
        <v>1</v>
      </c>
      <c r="CX16" s="60">
        <v>3</v>
      </c>
      <c r="CY16" s="31">
        <v>1</v>
      </c>
      <c r="CZ16" s="31">
        <v>1</v>
      </c>
      <c r="DA16" s="60">
        <v>8</v>
      </c>
      <c r="DB16" s="31">
        <v>2</v>
      </c>
      <c r="DC16" s="31">
        <v>4</v>
      </c>
      <c r="DD16" s="60">
        <v>7</v>
      </c>
      <c r="DE16" s="31">
        <v>1</v>
      </c>
      <c r="DF16" s="31">
        <v>3</v>
      </c>
      <c r="DG16" s="60">
        <v>5</v>
      </c>
      <c r="DH16" s="31">
        <v>1</v>
      </c>
      <c r="DI16" s="31">
        <v>3</v>
      </c>
      <c r="DJ16" s="60">
        <v>4</v>
      </c>
      <c r="DK16" s="31">
        <v>1</v>
      </c>
      <c r="DL16" s="31">
        <v>2</v>
      </c>
      <c r="DM16" s="60">
        <v>3</v>
      </c>
      <c r="DN16" s="31">
        <v>1</v>
      </c>
      <c r="DO16" s="31">
        <v>1</v>
      </c>
      <c r="DP16" s="60">
        <v>5</v>
      </c>
      <c r="DQ16" s="31">
        <v>3</v>
      </c>
      <c r="DR16" s="31">
        <v>1</v>
      </c>
      <c r="DS16" s="60">
        <v>4</v>
      </c>
      <c r="DT16" s="31">
        <v>2</v>
      </c>
      <c r="DU16" s="31">
        <v>1</v>
      </c>
      <c r="DV16" s="60">
        <v>3</v>
      </c>
      <c r="DW16" s="31">
        <v>2</v>
      </c>
      <c r="DX16" s="31">
        <v>1</v>
      </c>
      <c r="DY16" s="60">
        <v>8</v>
      </c>
      <c r="DZ16" s="31">
        <v>1</v>
      </c>
      <c r="EA16" s="31">
        <v>1</v>
      </c>
      <c r="EB16" s="60">
        <v>6</v>
      </c>
      <c r="EC16" s="31">
        <v>2</v>
      </c>
      <c r="ED16" s="31">
        <v>1</v>
      </c>
      <c r="EE16" s="60">
        <v>8</v>
      </c>
      <c r="EF16" s="31">
        <v>6</v>
      </c>
      <c r="EG16" s="31">
        <v>4</v>
      </c>
      <c r="EH16" s="60">
        <v>7</v>
      </c>
      <c r="EI16" s="31">
        <v>5</v>
      </c>
      <c r="EJ16" s="31">
        <v>6</v>
      </c>
      <c r="EK16" s="60">
        <v>6</v>
      </c>
      <c r="EL16" s="31">
        <v>8</v>
      </c>
      <c r="EM16" s="31">
        <v>5</v>
      </c>
      <c r="EN16" s="60">
        <v>5</v>
      </c>
      <c r="EO16" s="31">
        <v>7</v>
      </c>
      <c r="EP16" s="31">
        <v>9</v>
      </c>
      <c r="EQ16" s="60">
        <v>8</v>
      </c>
      <c r="ER16" s="31">
        <v>9</v>
      </c>
      <c r="ES16" s="31">
        <v>10</v>
      </c>
      <c r="ET16" s="60">
        <v>7</v>
      </c>
      <c r="EU16" s="31">
        <v>8</v>
      </c>
      <c r="EV16" s="31">
        <v>9</v>
      </c>
      <c r="EW16" s="60">
        <v>5</v>
      </c>
      <c r="EX16" s="31">
        <v>6</v>
      </c>
      <c r="EY16" s="31">
        <v>7</v>
      </c>
      <c r="EZ16" s="60">
        <v>5</v>
      </c>
      <c r="FA16" s="31">
        <v>6</v>
      </c>
      <c r="FB16" s="31">
        <v>7</v>
      </c>
      <c r="FC16" s="31">
        <v>10</v>
      </c>
      <c r="FD16" s="31">
        <v>1</v>
      </c>
      <c r="FE16" s="31">
        <v>1</v>
      </c>
      <c r="FF16" s="31">
        <v>15</v>
      </c>
      <c r="FG16" s="31">
        <v>3</v>
      </c>
      <c r="FH16" s="31">
        <v>2</v>
      </c>
      <c r="FI16" s="31">
        <v>13</v>
      </c>
      <c r="FJ16" s="82">
        <v>2</v>
      </c>
      <c r="FK16" s="31">
        <v>1</v>
      </c>
      <c r="FL16" s="66">
        <v>100</v>
      </c>
      <c r="FM16" s="82">
        <v>4</v>
      </c>
      <c r="FN16" s="31">
        <v>4</v>
      </c>
      <c r="FO16" s="6">
        <v>30</v>
      </c>
      <c r="FP16" s="6">
        <v>7</v>
      </c>
      <c r="FQ16" s="65">
        <v>7</v>
      </c>
      <c r="FR16" s="6">
        <v>28</v>
      </c>
      <c r="FS16" s="6">
        <v>1</v>
      </c>
      <c r="FT16" s="65">
        <v>1</v>
      </c>
      <c r="FU16" s="6">
        <v>21</v>
      </c>
      <c r="FV16" s="16">
        <v>5</v>
      </c>
      <c r="FW16" s="16">
        <v>1</v>
      </c>
      <c r="FX16" s="6">
        <v>18</v>
      </c>
      <c r="FY16" s="16">
        <v>2</v>
      </c>
      <c r="FZ16" s="16">
        <v>4</v>
      </c>
      <c r="GA16" s="6">
        <v>25</v>
      </c>
      <c r="GB16" s="16">
        <v>15</v>
      </c>
      <c r="GC16" s="16">
        <v>4</v>
      </c>
      <c r="GD16" s="6">
        <v>19</v>
      </c>
      <c r="GE16" s="16">
        <v>14</v>
      </c>
      <c r="GF16" s="16">
        <v>7</v>
      </c>
      <c r="GG16" s="16">
        <v>16</v>
      </c>
      <c r="GH16" s="16">
        <v>12</v>
      </c>
      <c r="GI16" s="16">
        <v>9</v>
      </c>
      <c r="GJ16" s="16">
        <v>23</v>
      </c>
      <c r="GK16" s="16">
        <v>11</v>
      </c>
      <c r="GL16" s="16">
        <v>7</v>
      </c>
      <c r="GM16" s="16">
        <v>18</v>
      </c>
      <c r="GN16" s="16">
        <v>13</v>
      </c>
      <c r="GO16" s="16">
        <v>9</v>
      </c>
      <c r="GP16" s="16">
        <v>15</v>
      </c>
      <c r="GQ16" s="16">
        <v>12</v>
      </c>
      <c r="GR16" s="16">
        <v>10</v>
      </c>
      <c r="GS16" s="16">
        <v>18</v>
      </c>
      <c r="GT16" s="16">
        <v>17</v>
      </c>
      <c r="GU16" s="16">
        <v>14</v>
      </c>
      <c r="GV16" s="16">
        <v>6</v>
      </c>
      <c r="GW16" s="16">
        <v>15</v>
      </c>
      <c r="GX16" s="16">
        <v>11</v>
      </c>
      <c r="GY16" s="16">
        <v>10</v>
      </c>
      <c r="GZ16" s="16">
        <v>13</v>
      </c>
      <c r="HA16" s="16">
        <v>17</v>
      </c>
      <c r="HB16" s="16">
        <v>7</v>
      </c>
      <c r="HC16" s="16">
        <v>10</v>
      </c>
      <c r="HD16" s="16">
        <v>10</v>
      </c>
      <c r="HE16" s="84">
        <v>4</v>
      </c>
      <c r="HF16" s="16">
        <v>8</v>
      </c>
      <c r="HG16" s="16">
        <v>9</v>
      </c>
      <c r="HH16" s="84">
        <v>2</v>
      </c>
      <c r="HI16" s="16">
        <v>7</v>
      </c>
      <c r="HJ16" s="16">
        <v>6</v>
      </c>
      <c r="HK16" s="84">
        <v>4</v>
      </c>
      <c r="HL16" s="16">
        <v>5</v>
      </c>
      <c r="HM16" s="16">
        <v>5</v>
      </c>
      <c r="HN16" s="84">
        <v>3</v>
      </c>
      <c r="HO16" s="16">
        <v>3</v>
      </c>
      <c r="HP16" s="16">
        <v>4</v>
      </c>
      <c r="HQ16" s="84">
        <v>10</v>
      </c>
      <c r="HR16" s="6">
        <v>5</v>
      </c>
      <c r="HS16" s="6">
        <v>3</v>
      </c>
      <c r="HT16" s="84">
        <v>9</v>
      </c>
      <c r="HU16" s="16">
        <v>3</v>
      </c>
      <c r="HV16" s="16">
        <v>6</v>
      </c>
      <c r="HW16" s="16">
        <v>6</v>
      </c>
      <c r="HX16" s="16">
        <v>4</v>
      </c>
      <c r="HY16" s="16">
        <v>4</v>
      </c>
      <c r="HZ16" s="16">
        <v>10</v>
      </c>
      <c r="IA16" s="16">
        <v>5</v>
      </c>
      <c r="IB16" s="16">
        <v>7</v>
      </c>
      <c r="IC16" s="6">
        <v>10</v>
      </c>
      <c r="ID16" s="6">
        <v>5</v>
      </c>
      <c r="IE16" s="6">
        <v>7</v>
      </c>
      <c r="IF16" s="14">
        <v>100</v>
      </c>
      <c r="IG16" s="14">
        <v>100</v>
      </c>
      <c r="IH16" s="14">
        <v>100</v>
      </c>
      <c r="II16" s="14">
        <v>100</v>
      </c>
      <c r="IJ16" s="14">
        <v>100</v>
      </c>
      <c r="IK16" s="14">
        <v>100</v>
      </c>
      <c r="IL16" s="16" t="s">
        <v>126</v>
      </c>
      <c r="IM16" s="16" t="s">
        <v>126</v>
      </c>
      <c r="IN16" s="16" t="s">
        <v>126</v>
      </c>
      <c r="IO16" s="16" t="s">
        <v>126</v>
      </c>
      <c r="IP16" s="16" t="s">
        <v>126</v>
      </c>
      <c r="IQ16" s="16" t="s">
        <v>126</v>
      </c>
      <c r="IR16" s="16" t="s">
        <v>126</v>
      </c>
      <c r="IS16" s="59">
        <f t="shared" si="1"/>
        <v>0</v>
      </c>
      <c r="IT16" s="18"/>
      <c r="IV16" s="18"/>
      <c r="IW16" s="18"/>
      <c r="IX16" s="18"/>
      <c r="IY16" s="18"/>
      <c r="IZ16" s="18"/>
      <c r="JA16" s="18"/>
      <c r="JB16" s="18"/>
      <c r="JC16" s="18"/>
      <c r="JD16" s="18"/>
      <c r="JE16" s="18"/>
      <c r="JF16" s="18"/>
      <c r="JG16" s="18"/>
      <c r="JH16" s="18"/>
      <c r="JI16" s="18"/>
      <c r="JJ16" s="18"/>
      <c r="JK16" s="18"/>
      <c r="JL16" s="18"/>
      <c r="JM16" s="18"/>
    </row>
    <row r="17" spans="1:273" ht="13.5" customHeight="1">
      <c r="A17" s="97">
        <v>13</v>
      </c>
      <c r="B17" s="77" t="s">
        <v>162</v>
      </c>
      <c r="C17" s="31" t="s">
        <v>126</v>
      </c>
      <c r="D17" s="20" t="s">
        <v>126</v>
      </c>
      <c r="E17" s="20" t="s">
        <v>126</v>
      </c>
      <c r="F17" s="60"/>
      <c r="G17" s="60"/>
      <c r="H17" s="60"/>
      <c r="I17" s="60"/>
      <c r="J17" s="60"/>
      <c r="K17" s="60"/>
      <c r="L17" s="60"/>
      <c r="M17" s="60"/>
      <c r="N17" s="60"/>
      <c r="O17" s="83">
        <v>100</v>
      </c>
      <c r="P17" s="78">
        <v>100</v>
      </c>
      <c r="Q17" s="78">
        <v>100</v>
      </c>
      <c r="R17" s="83">
        <v>100</v>
      </c>
      <c r="S17" s="78">
        <v>100</v>
      </c>
      <c r="T17" s="78">
        <v>100</v>
      </c>
      <c r="U17" s="83">
        <v>100</v>
      </c>
      <c r="V17" s="78">
        <v>100</v>
      </c>
      <c r="W17" s="78">
        <v>100</v>
      </c>
      <c r="X17" s="60">
        <v>35</v>
      </c>
      <c r="Y17" s="78">
        <v>100</v>
      </c>
      <c r="Z17" s="31">
        <v>87</v>
      </c>
      <c r="AA17" s="60">
        <v>33</v>
      </c>
      <c r="AB17" s="78">
        <v>100</v>
      </c>
      <c r="AC17" s="31">
        <v>81</v>
      </c>
      <c r="AD17" s="60">
        <v>15</v>
      </c>
      <c r="AE17" s="31">
        <v>30</v>
      </c>
      <c r="AF17" s="31">
        <v>35</v>
      </c>
      <c r="AG17" s="60">
        <v>8</v>
      </c>
      <c r="AH17" s="31">
        <v>23</v>
      </c>
      <c r="AI17" s="31">
        <v>25</v>
      </c>
      <c r="AJ17" s="60">
        <v>7</v>
      </c>
      <c r="AK17" s="31">
        <v>21</v>
      </c>
      <c r="AL17" s="31">
        <v>32</v>
      </c>
      <c r="AM17" s="60">
        <v>10</v>
      </c>
      <c r="AN17" s="31">
        <v>18</v>
      </c>
      <c r="AO17" s="31">
        <v>22</v>
      </c>
      <c r="AP17" s="60">
        <v>6</v>
      </c>
      <c r="AQ17" s="31">
        <v>4</v>
      </c>
      <c r="AR17" s="31">
        <v>4</v>
      </c>
      <c r="AS17" s="60">
        <v>5</v>
      </c>
      <c r="AT17" s="31">
        <v>2</v>
      </c>
      <c r="AU17" s="31">
        <v>3</v>
      </c>
      <c r="AV17" s="60">
        <v>9</v>
      </c>
      <c r="AW17" s="31">
        <v>2</v>
      </c>
      <c r="AX17" s="31">
        <v>2</v>
      </c>
      <c r="AY17" s="60">
        <v>7</v>
      </c>
      <c r="AZ17" s="31">
        <v>2</v>
      </c>
      <c r="BA17" s="31">
        <v>1</v>
      </c>
      <c r="BB17" s="60">
        <v>6</v>
      </c>
      <c r="BC17" s="31">
        <v>2</v>
      </c>
      <c r="BD17" s="31">
        <v>2</v>
      </c>
      <c r="BE17" s="60">
        <v>6</v>
      </c>
      <c r="BF17" s="31">
        <v>1</v>
      </c>
      <c r="BG17" s="31">
        <v>2</v>
      </c>
      <c r="BH17" s="60">
        <v>9</v>
      </c>
      <c r="BI17" s="31">
        <v>3</v>
      </c>
      <c r="BJ17" s="31">
        <v>3</v>
      </c>
      <c r="BK17" s="60">
        <v>18</v>
      </c>
      <c r="BL17" s="31">
        <v>6</v>
      </c>
      <c r="BM17" s="31">
        <v>7</v>
      </c>
      <c r="BN17" s="60">
        <v>14</v>
      </c>
      <c r="BO17" s="31">
        <v>4</v>
      </c>
      <c r="BP17" s="31">
        <v>5</v>
      </c>
      <c r="BQ17" s="60">
        <v>10</v>
      </c>
      <c r="BR17" s="31">
        <v>3</v>
      </c>
      <c r="BS17" s="31">
        <v>3</v>
      </c>
      <c r="BT17" s="60">
        <v>8</v>
      </c>
      <c r="BU17" s="31">
        <v>1</v>
      </c>
      <c r="BV17" s="31">
        <v>2</v>
      </c>
      <c r="BW17" s="60">
        <v>6</v>
      </c>
      <c r="BX17" s="31">
        <v>1</v>
      </c>
      <c r="BY17" s="31">
        <v>1</v>
      </c>
      <c r="BZ17" s="60">
        <v>5</v>
      </c>
      <c r="CA17" s="31">
        <v>1</v>
      </c>
      <c r="CB17" s="31">
        <v>1</v>
      </c>
      <c r="CC17" s="60">
        <v>8</v>
      </c>
      <c r="CD17" s="31">
        <v>2</v>
      </c>
      <c r="CE17" s="31">
        <v>5</v>
      </c>
      <c r="CF17" s="60">
        <v>11</v>
      </c>
      <c r="CG17" s="31">
        <v>8</v>
      </c>
      <c r="CH17" s="31">
        <v>4</v>
      </c>
      <c r="CI17" s="60">
        <v>10</v>
      </c>
      <c r="CJ17" s="31">
        <v>9</v>
      </c>
      <c r="CK17" s="31">
        <v>4</v>
      </c>
      <c r="CL17" s="60">
        <v>12</v>
      </c>
      <c r="CM17" s="31">
        <v>7</v>
      </c>
      <c r="CN17" s="31">
        <v>6</v>
      </c>
      <c r="CO17" s="60">
        <v>11</v>
      </c>
      <c r="CP17" s="31">
        <v>4</v>
      </c>
      <c r="CQ17" s="31">
        <v>5</v>
      </c>
      <c r="CR17" s="60">
        <v>13</v>
      </c>
      <c r="CS17" s="31">
        <v>3</v>
      </c>
      <c r="CT17" s="31">
        <v>4</v>
      </c>
      <c r="CU17" s="60">
        <v>15</v>
      </c>
      <c r="CV17" s="31">
        <v>2</v>
      </c>
      <c r="CW17" s="31">
        <v>3</v>
      </c>
      <c r="CX17" s="60">
        <v>11</v>
      </c>
      <c r="CY17" s="31">
        <v>8</v>
      </c>
      <c r="CZ17" s="31">
        <v>13</v>
      </c>
      <c r="DA17" s="60">
        <v>18</v>
      </c>
      <c r="DB17" s="31">
        <v>5</v>
      </c>
      <c r="DC17" s="31">
        <v>12</v>
      </c>
      <c r="DD17" s="60">
        <v>16</v>
      </c>
      <c r="DE17" s="31">
        <v>3</v>
      </c>
      <c r="DF17" s="31">
        <v>8</v>
      </c>
      <c r="DG17" s="60">
        <v>14</v>
      </c>
      <c r="DH17" s="31">
        <v>3</v>
      </c>
      <c r="DI17" s="31">
        <v>5</v>
      </c>
      <c r="DJ17" s="60">
        <v>12</v>
      </c>
      <c r="DK17" s="31">
        <v>5</v>
      </c>
      <c r="DL17" s="31">
        <v>3</v>
      </c>
      <c r="DM17" s="60">
        <v>16</v>
      </c>
      <c r="DN17" s="31">
        <v>4</v>
      </c>
      <c r="DO17" s="31">
        <v>2</v>
      </c>
      <c r="DP17" s="60">
        <v>13</v>
      </c>
      <c r="DQ17" s="31">
        <v>3</v>
      </c>
      <c r="DR17" s="31">
        <v>2</v>
      </c>
      <c r="DS17" s="60">
        <v>28</v>
      </c>
      <c r="DT17" s="31">
        <v>5</v>
      </c>
      <c r="DU17" s="31">
        <v>9</v>
      </c>
      <c r="DV17" s="60">
        <v>26</v>
      </c>
      <c r="DW17" s="31">
        <v>4</v>
      </c>
      <c r="DX17" s="31">
        <v>7</v>
      </c>
      <c r="DY17" s="60">
        <v>21</v>
      </c>
      <c r="DZ17" s="31">
        <v>4</v>
      </c>
      <c r="EA17" s="31">
        <v>5</v>
      </c>
      <c r="EB17" s="60">
        <v>18</v>
      </c>
      <c r="EC17" s="31">
        <v>6</v>
      </c>
      <c r="ED17" s="31">
        <v>4</v>
      </c>
      <c r="EE17" s="60">
        <v>13</v>
      </c>
      <c r="EF17" s="31">
        <v>5</v>
      </c>
      <c r="EG17" s="31">
        <v>4</v>
      </c>
      <c r="EH17" s="60">
        <v>12</v>
      </c>
      <c r="EI17" s="31">
        <v>4</v>
      </c>
      <c r="EJ17" s="31">
        <v>7</v>
      </c>
      <c r="EK17" s="60">
        <v>10</v>
      </c>
      <c r="EL17" s="31">
        <v>9</v>
      </c>
      <c r="EM17" s="31">
        <v>6</v>
      </c>
      <c r="EN17" s="60">
        <v>9</v>
      </c>
      <c r="EO17" s="31">
        <v>8</v>
      </c>
      <c r="EP17" s="31">
        <v>6</v>
      </c>
      <c r="EQ17" s="60">
        <v>7</v>
      </c>
      <c r="ER17" s="31">
        <v>8</v>
      </c>
      <c r="ES17" s="31">
        <v>9</v>
      </c>
      <c r="ET17" s="60">
        <v>6</v>
      </c>
      <c r="EU17" s="31">
        <v>5</v>
      </c>
      <c r="EV17" s="31">
        <v>7</v>
      </c>
      <c r="EW17" s="60">
        <v>8</v>
      </c>
      <c r="EX17" s="31">
        <v>4</v>
      </c>
      <c r="EY17" s="31">
        <v>8</v>
      </c>
      <c r="EZ17" s="60">
        <v>8</v>
      </c>
      <c r="FA17" s="31">
        <v>4</v>
      </c>
      <c r="FB17" s="31">
        <v>8</v>
      </c>
      <c r="FC17" s="31">
        <v>4</v>
      </c>
      <c r="FD17" s="31">
        <v>1</v>
      </c>
      <c r="FE17" s="31">
        <v>3</v>
      </c>
      <c r="FF17" s="31">
        <v>3</v>
      </c>
      <c r="FG17" s="31">
        <v>4</v>
      </c>
      <c r="FH17" s="31">
        <v>2</v>
      </c>
      <c r="FI17" s="31">
        <v>5</v>
      </c>
      <c r="FJ17" s="31">
        <v>2</v>
      </c>
      <c r="FK17" s="31">
        <v>1</v>
      </c>
      <c r="FL17" s="31">
        <v>6</v>
      </c>
      <c r="FM17" s="31">
        <v>3</v>
      </c>
      <c r="FN17" s="31">
        <v>19</v>
      </c>
      <c r="FO17" s="6">
        <v>8</v>
      </c>
      <c r="FP17" s="6">
        <v>3</v>
      </c>
      <c r="FQ17" s="6">
        <v>3</v>
      </c>
      <c r="FR17" s="16">
        <v>7</v>
      </c>
      <c r="FS17" s="6">
        <v>3</v>
      </c>
      <c r="FT17" s="6">
        <v>5</v>
      </c>
      <c r="FU17" s="16">
        <v>5</v>
      </c>
      <c r="FV17" s="16">
        <v>1</v>
      </c>
      <c r="FW17" s="16">
        <v>3</v>
      </c>
      <c r="FX17" s="16">
        <v>3</v>
      </c>
      <c r="FY17" s="16">
        <v>4</v>
      </c>
      <c r="FZ17" s="16">
        <v>2</v>
      </c>
      <c r="GA17" s="16">
        <v>1</v>
      </c>
      <c r="GB17" s="16">
        <v>6</v>
      </c>
      <c r="GC17" s="16">
        <v>6</v>
      </c>
      <c r="GD17" s="16">
        <v>3</v>
      </c>
      <c r="GE17" s="16">
        <v>4</v>
      </c>
      <c r="GF17" s="16">
        <v>4</v>
      </c>
      <c r="GG17" s="16">
        <v>6</v>
      </c>
      <c r="GH17" s="16">
        <v>2</v>
      </c>
      <c r="GI17" s="16">
        <v>2</v>
      </c>
      <c r="GJ17" s="16">
        <v>4</v>
      </c>
      <c r="GK17" s="16">
        <v>5</v>
      </c>
      <c r="GL17" s="16">
        <v>4</v>
      </c>
      <c r="GM17" s="16">
        <v>8</v>
      </c>
      <c r="GN17" s="16">
        <v>6</v>
      </c>
      <c r="GO17" s="16">
        <v>7</v>
      </c>
      <c r="GP17" s="16">
        <v>5</v>
      </c>
      <c r="GQ17" s="16">
        <v>5</v>
      </c>
      <c r="GR17" s="16">
        <v>9</v>
      </c>
      <c r="GS17" s="16">
        <v>5</v>
      </c>
      <c r="GT17" s="16">
        <v>8</v>
      </c>
      <c r="GU17" s="16">
        <v>4</v>
      </c>
      <c r="GV17" s="16">
        <v>3</v>
      </c>
      <c r="GW17" s="16">
        <v>4</v>
      </c>
      <c r="GX17" s="16">
        <v>6</v>
      </c>
      <c r="GY17" s="16">
        <v>4</v>
      </c>
      <c r="GZ17" s="16">
        <v>3</v>
      </c>
      <c r="HA17" s="16">
        <v>4</v>
      </c>
      <c r="HB17" s="16">
        <v>2</v>
      </c>
      <c r="HC17" s="16">
        <v>5</v>
      </c>
      <c r="HD17" s="16">
        <v>2</v>
      </c>
      <c r="HE17" s="16">
        <v>5</v>
      </c>
      <c r="HF17" s="16">
        <v>4</v>
      </c>
      <c r="HG17" s="16">
        <v>2</v>
      </c>
      <c r="HH17" s="16">
        <v>3</v>
      </c>
      <c r="HI17" s="16">
        <v>3</v>
      </c>
      <c r="HJ17" s="16">
        <v>1</v>
      </c>
      <c r="HK17" s="16">
        <v>6</v>
      </c>
      <c r="HL17" s="16">
        <v>5</v>
      </c>
      <c r="HM17" s="16">
        <v>6</v>
      </c>
      <c r="HN17" s="16">
        <v>5</v>
      </c>
      <c r="HO17" s="16">
        <v>4</v>
      </c>
      <c r="HP17" s="16">
        <v>6</v>
      </c>
      <c r="HQ17" s="6">
        <v>4</v>
      </c>
      <c r="HR17" s="6">
        <v>3</v>
      </c>
      <c r="HS17" s="6">
        <v>4</v>
      </c>
      <c r="HT17" s="16">
        <v>3</v>
      </c>
      <c r="HU17" s="16">
        <v>4</v>
      </c>
      <c r="HV17" s="16">
        <v>6</v>
      </c>
      <c r="HW17" s="16">
        <v>5</v>
      </c>
      <c r="HX17" s="16">
        <v>3</v>
      </c>
      <c r="HY17" s="16">
        <v>5</v>
      </c>
      <c r="HZ17" s="16">
        <v>8</v>
      </c>
      <c r="IA17" s="16">
        <v>3</v>
      </c>
      <c r="IB17" s="16">
        <v>4</v>
      </c>
      <c r="IC17" s="6">
        <v>10</v>
      </c>
      <c r="ID17" s="6">
        <v>3</v>
      </c>
      <c r="IE17" s="6">
        <v>4</v>
      </c>
      <c r="IF17" s="16">
        <v>16</v>
      </c>
      <c r="IG17" s="16">
        <v>14</v>
      </c>
      <c r="IH17" s="16">
        <v>14</v>
      </c>
      <c r="II17" s="16">
        <v>37</v>
      </c>
      <c r="IJ17" s="16">
        <v>32</v>
      </c>
      <c r="IK17" s="16">
        <v>36</v>
      </c>
      <c r="IL17" s="16" t="s">
        <v>126</v>
      </c>
      <c r="IM17" s="16" t="s">
        <v>126</v>
      </c>
      <c r="IN17" s="16" t="s">
        <v>126</v>
      </c>
      <c r="IO17" s="16" t="s">
        <v>126</v>
      </c>
      <c r="IP17" s="16" t="s">
        <v>126</v>
      </c>
      <c r="IQ17" s="16" t="s">
        <v>126</v>
      </c>
      <c r="IR17" s="16" t="s">
        <v>126</v>
      </c>
      <c r="IS17" s="59">
        <f t="shared" si="1"/>
        <v>0</v>
      </c>
      <c r="IT17" s="18"/>
      <c r="IV17" s="18"/>
      <c r="IW17" s="18"/>
      <c r="IX17" s="18"/>
      <c r="IY17" s="18"/>
      <c r="IZ17" s="18"/>
      <c r="JA17" s="18"/>
      <c r="JB17" s="18"/>
      <c r="JC17" s="18"/>
      <c r="JD17" s="18"/>
      <c r="JE17" s="18"/>
      <c r="JF17" s="18"/>
      <c r="JG17" s="18"/>
      <c r="JH17" s="18"/>
      <c r="JI17" s="18"/>
      <c r="JJ17" s="18"/>
      <c r="JK17" s="18"/>
      <c r="JL17" s="18"/>
      <c r="JM17" s="18"/>
    </row>
    <row r="18" spans="1:273" ht="13.5" customHeight="1">
      <c r="A18" s="97">
        <v>14</v>
      </c>
      <c r="B18" s="77" t="s">
        <v>163</v>
      </c>
      <c r="C18" s="30" t="s">
        <v>126</v>
      </c>
      <c r="D18" s="19" t="s">
        <v>126</v>
      </c>
      <c r="E18" s="19" t="s">
        <v>126</v>
      </c>
      <c r="F18" s="60"/>
      <c r="G18" s="60"/>
      <c r="H18" s="60"/>
      <c r="I18" s="60"/>
      <c r="J18" s="60"/>
      <c r="K18" s="60"/>
      <c r="L18" s="60"/>
      <c r="M18" s="60"/>
      <c r="N18" s="60"/>
      <c r="O18" s="83">
        <v>100</v>
      </c>
      <c r="P18" s="78">
        <v>100</v>
      </c>
      <c r="Q18" s="78">
        <v>100</v>
      </c>
      <c r="R18" s="83">
        <v>100</v>
      </c>
      <c r="S18" s="78">
        <v>100</v>
      </c>
      <c r="T18" s="78">
        <v>100</v>
      </c>
      <c r="U18" s="83">
        <v>100</v>
      </c>
      <c r="V18" s="78">
        <v>100</v>
      </c>
      <c r="W18" s="78">
        <v>100</v>
      </c>
      <c r="X18" s="83">
        <v>100</v>
      </c>
      <c r="Y18" s="78">
        <v>100</v>
      </c>
      <c r="Z18" s="78"/>
      <c r="AA18" s="83">
        <v>100</v>
      </c>
      <c r="AB18" s="78">
        <v>100</v>
      </c>
      <c r="AC18" s="78"/>
      <c r="AD18" s="83">
        <v>100</v>
      </c>
      <c r="AE18" s="78">
        <v>100</v>
      </c>
      <c r="AF18" s="78"/>
      <c r="AG18" s="83">
        <v>100</v>
      </c>
      <c r="AH18" s="78">
        <v>100</v>
      </c>
      <c r="AI18" s="78"/>
      <c r="AJ18" s="83">
        <v>100</v>
      </c>
      <c r="AK18" s="78">
        <v>100</v>
      </c>
      <c r="AL18" s="78"/>
      <c r="AM18" s="83">
        <v>100</v>
      </c>
      <c r="AN18" s="78">
        <v>100</v>
      </c>
      <c r="AO18" s="78"/>
      <c r="AP18" s="60">
        <v>76</v>
      </c>
      <c r="AQ18" s="78">
        <v>100</v>
      </c>
      <c r="AR18" s="78"/>
      <c r="AS18" s="60">
        <v>72</v>
      </c>
      <c r="AT18" s="31">
        <v>91</v>
      </c>
      <c r="AU18" s="78"/>
      <c r="AV18" s="60">
        <v>69</v>
      </c>
      <c r="AW18" s="31">
        <v>90</v>
      </c>
      <c r="AX18" s="78"/>
      <c r="AY18" s="60">
        <v>56</v>
      </c>
      <c r="AZ18" s="31">
        <v>79</v>
      </c>
      <c r="BA18" s="78">
        <v>100</v>
      </c>
      <c r="BB18" s="60">
        <v>54</v>
      </c>
      <c r="BC18" s="31">
        <v>79</v>
      </c>
      <c r="BD18" s="78">
        <v>100</v>
      </c>
      <c r="BE18" s="60">
        <v>49</v>
      </c>
      <c r="BF18" s="31">
        <v>76</v>
      </c>
      <c r="BG18" s="31">
        <v>92</v>
      </c>
      <c r="BH18" s="60">
        <v>10</v>
      </c>
      <c r="BI18" s="31">
        <v>8</v>
      </c>
      <c r="BJ18" s="31">
        <v>10</v>
      </c>
      <c r="BK18" s="60">
        <v>9</v>
      </c>
      <c r="BL18" s="31">
        <v>15</v>
      </c>
      <c r="BM18" s="31">
        <v>21</v>
      </c>
      <c r="BN18" s="60">
        <v>8</v>
      </c>
      <c r="BO18" s="31">
        <v>6</v>
      </c>
      <c r="BP18" s="31">
        <v>8</v>
      </c>
      <c r="BQ18" s="60">
        <v>12</v>
      </c>
      <c r="BR18" s="31">
        <v>9</v>
      </c>
      <c r="BS18" s="31">
        <v>6</v>
      </c>
      <c r="BT18" s="60">
        <v>11</v>
      </c>
      <c r="BU18" s="31">
        <v>5</v>
      </c>
      <c r="BV18" s="31">
        <v>5</v>
      </c>
      <c r="BW18" s="60">
        <v>10</v>
      </c>
      <c r="BX18" s="31">
        <v>2</v>
      </c>
      <c r="BY18" s="31">
        <v>3</v>
      </c>
      <c r="BZ18" s="60">
        <v>11</v>
      </c>
      <c r="CA18" s="31">
        <v>6</v>
      </c>
      <c r="CB18" s="31">
        <v>5</v>
      </c>
      <c r="CC18" s="60">
        <v>16</v>
      </c>
      <c r="CD18" s="31">
        <v>8</v>
      </c>
      <c r="CE18" s="31">
        <v>9</v>
      </c>
      <c r="CF18" s="60">
        <v>14</v>
      </c>
      <c r="CG18" s="31">
        <v>10</v>
      </c>
      <c r="CH18" s="31">
        <v>8</v>
      </c>
      <c r="CI18" s="60">
        <v>12</v>
      </c>
      <c r="CJ18" s="31">
        <v>9</v>
      </c>
      <c r="CK18" s="31">
        <v>10</v>
      </c>
      <c r="CL18" s="60">
        <v>11</v>
      </c>
      <c r="CM18" s="31">
        <v>10</v>
      </c>
      <c r="CN18" s="31">
        <v>9</v>
      </c>
      <c r="CO18" s="60">
        <v>16</v>
      </c>
      <c r="CP18" s="31">
        <v>8</v>
      </c>
      <c r="CQ18" s="31">
        <v>8</v>
      </c>
      <c r="CR18" s="60">
        <v>14</v>
      </c>
      <c r="CS18" s="31">
        <v>7</v>
      </c>
      <c r="CT18" s="31">
        <v>9</v>
      </c>
      <c r="CU18" s="60">
        <v>18</v>
      </c>
      <c r="CV18" s="31">
        <v>6</v>
      </c>
      <c r="CW18" s="31">
        <v>7</v>
      </c>
      <c r="CX18" s="60">
        <v>11</v>
      </c>
      <c r="CY18" s="31">
        <v>5</v>
      </c>
      <c r="CZ18" s="31">
        <v>7</v>
      </c>
      <c r="DA18" s="60">
        <v>18</v>
      </c>
      <c r="DB18" s="31">
        <v>5</v>
      </c>
      <c r="DC18" s="31">
        <v>5</v>
      </c>
      <c r="DD18" s="60">
        <v>16</v>
      </c>
      <c r="DE18" s="31">
        <v>4</v>
      </c>
      <c r="DF18" s="31">
        <v>3</v>
      </c>
      <c r="DG18" s="60">
        <v>23</v>
      </c>
      <c r="DH18" s="31">
        <v>3</v>
      </c>
      <c r="DI18" s="31">
        <v>3</v>
      </c>
      <c r="DJ18" s="60">
        <v>28</v>
      </c>
      <c r="DK18" s="31">
        <v>3</v>
      </c>
      <c r="DL18" s="31">
        <v>2</v>
      </c>
      <c r="DM18" s="60">
        <v>16</v>
      </c>
      <c r="DN18" s="31">
        <v>3</v>
      </c>
      <c r="DO18" s="31">
        <v>8</v>
      </c>
      <c r="DP18" s="60">
        <v>13</v>
      </c>
      <c r="DQ18" s="31">
        <v>3</v>
      </c>
      <c r="DR18" s="31">
        <v>5</v>
      </c>
      <c r="DS18" s="60">
        <v>11</v>
      </c>
      <c r="DT18" s="31">
        <v>3</v>
      </c>
      <c r="DU18" s="31">
        <v>3</v>
      </c>
      <c r="DV18" s="60">
        <v>10</v>
      </c>
      <c r="DW18" s="31">
        <v>9</v>
      </c>
      <c r="DX18" s="31">
        <v>5</v>
      </c>
      <c r="DY18" s="60">
        <v>9</v>
      </c>
      <c r="DZ18" s="31">
        <v>5</v>
      </c>
      <c r="EA18" s="31">
        <v>4</v>
      </c>
      <c r="EB18" s="60">
        <v>6</v>
      </c>
      <c r="EC18" s="31">
        <v>3</v>
      </c>
      <c r="ED18" s="31">
        <v>4</v>
      </c>
      <c r="EE18" s="60">
        <v>4</v>
      </c>
      <c r="EF18" s="31">
        <v>3</v>
      </c>
      <c r="EG18" s="31">
        <v>3</v>
      </c>
      <c r="EH18" s="60">
        <v>3</v>
      </c>
      <c r="EI18" s="31">
        <v>2</v>
      </c>
      <c r="EJ18" s="31">
        <v>2</v>
      </c>
      <c r="EK18" s="60">
        <v>2</v>
      </c>
      <c r="EL18" s="31">
        <v>2</v>
      </c>
      <c r="EM18" s="31">
        <v>2</v>
      </c>
      <c r="EN18" s="60">
        <v>2</v>
      </c>
      <c r="EO18" s="31">
        <v>2</v>
      </c>
      <c r="EP18" s="31">
        <v>2</v>
      </c>
      <c r="EQ18" s="60">
        <v>1</v>
      </c>
      <c r="ER18" s="31">
        <v>2</v>
      </c>
      <c r="ES18" s="31">
        <v>2</v>
      </c>
      <c r="ET18" s="60">
        <v>2</v>
      </c>
      <c r="EU18" s="31">
        <v>3</v>
      </c>
      <c r="EV18" s="31">
        <v>1</v>
      </c>
      <c r="EW18" s="60">
        <v>9</v>
      </c>
      <c r="EX18" s="31">
        <v>5</v>
      </c>
      <c r="EY18" s="31">
        <v>1</v>
      </c>
      <c r="EZ18" s="60">
        <v>8</v>
      </c>
      <c r="FA18" s="31">
        <v>4</v>
      </c>
      <c r="FB18" s="31">
        <v>3</v>
      </c>
      <c r="FC18" s="31">
        <v>9</v>
      </c>
      <c r="FD18" s="31">
        <v>5</v>
      </c>
      <c r="FE18" s="31">
        <v>6</v>
      </c>
      <c r="FF18" s="31">
        <v>8</v>
      </c>
      <c r="FG18" s="31">
        <v>3</v>
      </c>
      <c r="FH18" s="31">
        <v>5</v>
      </c>
      <c r="FI18" s="31">
        <v>6</v>
      </c>
      <c r="FJ18" s="31">
        <v>3</v>
      </c>
      <c r="FK18" s="31">
        <v>4</v>
      </c>
      <c r="FL18" s="31">
        <v>8</v>
      </c>
      <c r="FM18" s="31">
        <v>6</v>
      </c>
      <c r="FN18" s="31">
        <v>5</v>
      </c>
      <c r="FO18" s="6">
        <v>7</v>
      </c>
      <c r="FP18" s="65">
        <v>9</v>
      </c>
      <c r="FQ18" s="65">
        <v>8</v>
      </c>
      <c r="FR18" s="6">
        <v>6</v>
      </c>
      <c r="FS18" s="65">
        <v>5</v>
      </c>
      <c r="FT18" s="65">
        <v>7</v>
      </c>
      <c r="FU18" s="6">
        <v>9</v>
      </c>
      <c r="FV18" s="65">
        <v>8</v>
      </c>
      <c r="FW18" s="65">
        <v>5</v>
      </c>
      <c r="FX18" s="6">
        <v>25</v>
      </c>
      <c r="FY18" s="65">
        <v>35</v>
      </c>
      <c r="FZ18" s="65">
        <v>24</v>
      </c>
      <c r="GA18" s="16">
        <v>39</v>
      </c>
      <c r="GB18" s="65">
        <v>33</v>
      </c>
      <c r="GC18" s="65">
        <v>35</v>
      </c>
      <c r="GD18" s="16">
        <v>43</v>
      </c>
      <c r="GE18" s="65">
        <v>38</v>
      </c>
      <c r="GF18" s="65">
        <v>34</v>
      </c>
      <c r="GG18" s="16">
        <v>48</v>
      </c>
      <c r="GH18" s="16">
        <v>32</v>
      </c>
      <c r="GI18" s="16">
        <v>36</v>
      </c>
      <c r="GJ18" s="16">
        <v>44</v>
      </c>
      <c r="GK18" s="16">
        <v>38</v>
      </c>
      <c r="GL18" s="16">
        <v>32</v>
      </c>
      <c r="GM18" s="16">
        <v>53</v>
      </c>
      <c r="GN18" s="16">
        <v>34</v>
      </c>
      <c r="GO18" s="16">
        <v>37</v>
      </c>
      <c r="GP18" s="16">
        <v>52</v>
      </c>
      <c r="GQ18" s="16">
        <v>31</v>
      </c>
      <c r="GR18" s="16">
        <v>42</v>
      </c>
      <c r="GS18" s="16">
        <v>49</v>
      </c>
      <c r="GT18" s="16">
        <v>29</v>
      </c>
      <c r="GU18" s="16">
        <v>40</v>
      </c>
      <c r="GV18" s="16">
        <v>42</v>
      </c>
      <c r="GW18" s="16">
        <v>23</v>
      </c>
      <c r="GX18" s="16">
        <v>32</v>
      </c>
      <c r="GY18" s="16">
        <v>39</v>
      </c>
      <c r="GZ18" s="16">
        <v>21</v>
      </c>
      <c r="HA18" s="16">
        <v>27</v>
      </c>
      <c r="HB18" s="16">
        <v>35</v>
      </c>
      <c r="HC18" s="16">
        <v>15</v>
      </c>
      <c r="HD18" s="16">
        <v>22</v>
      </c>
      <c r="HE18" s="16">
        <v>38</v>
      </c>
      <c r="HF18" s="16">
        <v>12</v>
      </c>
      <c r="HG18" s="16">
        <v>20</v>
      </c>
      <c r="HH18" s="16">
        <v>45</v>
      </c>
      <c r="HI18" s="16">
        <v>18</v>
      </c>
      <c r="HJ18" s="16">
        <v>17</v>
      </c>
      <c r="HK18" s="16">
        <v>69</v>
      </c>
      <c r="HL18" s="16">
        <v>13</v>
      </c>
      <c r="HM18" s="16">
        <v>19</v>
      </c>
      <c r="HN18" s="16">
        <v>65</v>
      </c>
      <c r="HO18" s="16">
        <v>15</v>
      </c>
      <c r="HP18" s="16">
        <v>20</v>
      </c>
      <c r="HQ18" s="6">
        <v>62</v>
      </c>
      <c r="HR18" s="6">
        <v>19</v>
      </c>
      <c r="HS18" s="6">
        <v>22</v>
      </c>
      <c r="HT18" s="14">
        <v>100</v>
      </c>
      <c r="HU18" s="16">
        <v>24</v>
      </c>
      <c r="HV18" s="16">
        <v>20</v>
      </c>
      <c r="HW18" s="14">
        <v>100</v>
      </c>
      <c r="HX18" s="16">
        <v>20</v>
      </c>
      <c r="HY18" s="16">
        <v>22</v>
      </c>
      <c r="HZ18" s="14">
        <v>100</v>
      </c>
      <c r="IA18" s="16">
        <v>21</v>
      </c>
      <c r="IB18" s="16">
        <v>21</v>
      </c>
      <c r="IC18" s="34">
        <v>100</v>
      </c>
      <c r="ID18" s="6">
        <v>24</v>
      </c>
      <c r="IE18" s="6">
        <v>25</v>
      </c>
      <c r="IF18" s="14">
        <v>100</v>
      </c>
      <c r="IG18" s="14">
        <v>100</v>
      </c>
      <c r="IH18" s="14">
        <v>100</v>
      </c>
      <c r="II18" s="14">
        <v>100</v>
      </c>
      <c r="IJ18" s="14">
        <v>100</v>
      </c>
      <c r="IK18" s="14">
        <v>100</v>
      </c>
      <c r="IL18" s="16" t="s">
        <v>126</v>
      </c>
      <c r="IM18" s="16" t="s">
        <v>126</v>
      </c>
      <c r="IN18" s="16" t="s">
        <v>126</v>
      </c>
      <c r="IO18" s="16" t="s">
        <v>126</v>
      </c>
      <c r="IP18" s="16" t="s">
        <v>126</v>
      </c>
      <c r="IQ18" s="16" t="s">
        <v>126</v>
      </c>
      <c r="IR18" s="16" t="s">
        <v>126</v>
      </c>
      <c r="IS18" s="59">
        <f t="shared" si="1"/>
        <v>0</v>
      </c>
      <c r="IT18" s="187"/>
      <c r="IV18" s="21"/>
      <c r="IW18" s="21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</row>
    <row r="19" spans="1:273" ht="13.5" customHeight="1">
      <c r="A19" s="97">
        <v>15</v>
      </c>
      <c r="B19" s="77" t="s">
        <v>164</v>
      </c>
      <c r="C19" s="5">
        <v>9900</v>
      </c>
      <c r="D19" s="5">
        <v>12100</v>
      </c>
      <c r="E19" s="5">
        <v>8100</v>
      </c>
      <c r="F19" s="31" t="s">
        <v>126</v>
      </c>
      <c r="G19" s="31" t="s">
        <v>126</v>
      </c>
      <c r="H19" s="31" t="s">
        <v>126</v>
      </c>
      <c r="I19" s="78">
        <v>100</v>
      </c>
      <c r="J19" s="78">
        <v>100</v>
      </c>
      <c r="K19" s="78">
        <v>100</v>
      </c>
      <c r="L19" s="78">
        <v>100</v>
      </c>
      <c r="M19" s="78">
        <v>100</v>
      </c>
      <c r="N19" s="78">
        <v>100</v>
      </c>
      <c r="O19" s="78">
        <v>100</v>
      </c>
      <c r="P19" s="78">
        <v>100</v>
      </c>
      <c r="Q19" s="78">
        <v>100</v>
      </c>
      <c r="R19" s="78">
        <v>100</v>
      </c>
      <c r="S19" s="78">
        <v>100</v>
      </c>
      <c r="T19" s="78">
        <v>100</v>
      </c>
      <c r="U19" s="78">
        <v>100</v>
      </c>
      <c r="V19" s="78">
        <v>100</v>
      </c>
      <c r="W19" s="78">
        <v>100</v>
      </c>
      <c r="X19" s="78">
        <v>100</v>
      </c>
      <c r="Y19" s="78">
        <v>100</v>
      </c>
      <c r="Z19" s="78">
        <v>100</v>
      </c>
      <c r="AA19" s="78">
        <v>100</v>
      </c>
      <c r="AB19" s="78">
        <v>100</v>
      </c>
      <c r="AC19" s="78">
        <v>100</v>
      </c>
      <c r="AD19" s="78">
        <v>100</v>
      </c>
      <c r="AE19" s="78">
        <v>100</v>
      </c>
      <c r="AF19" s="78">
        <v>100</v>
      </c>
      <c r="AG19" s="78">
        <v>100</v>
      </c>
      <c r="AH19" s="78">
        <v>100</v>
      </c>
      <c r="AI19" s="78">
        <v>100</v>
      </c>
      <c r="AJ19" s="78">
        <v>100</v>
      </c>
      <c r="AK19" s="78">
        <v>100</v>
      </c>
      <c r="AL19" s="78">
        <v>100</v>
      </c>
      <c r="AM19" s="78">
        <v>100</v>
      </c>
      <c r="AN19" s="78">
        <v>100</v>
      </c>
      <c r="AO19" s="78">
        <v>100</v>
      </c>
      <c r="AP19" s="78">
        <v>100</v>
      </c>
      <c r="AQ19" s="78">
        <v>100</v>
      </c>
      <c r="AR19" s="78">
        <v>100</v>
      </c>
      <c r="AS19" s="78">
        <v>100</v>
      </c>
      <c r="AT19" s="78">
        <v>100</v>
      </c>
      <c r="AU19" s="78">
        <v>100</v>
      </c>
      <c r="AV19" s="78">
        <v>100</v>
      </c>
      <c r="AW19" s="78">
        <v>100</v>
      </c>
      <c r="AX19" s="78">
        <v>100</v>
      </c>
      <c r="AY19" s="78">
        <v>100</v>
      </c>
      <c r="AZ19" s="78">
        <v>100</v>
      </c>
      <c r="BA19" s="78">
        <v>100</v>
      </c>
      <c r="BB19" s="78">
        <v>100</v>
      </c>
      <c r="BC19" s="78">
        <v>100</v>
      </c>
      <c r="BD19" s="78">
        <v>100</v>
      </c>
      <c r="BE19" s="78">
        <v>100</v>
      </c>
      <c r="BF19" s="78">
        <v>100</v>
      </c>
      <c r="BG19" s="78">
        <v>100</v>
      </c>
      <c r="BH19" s="78">
        <v>100</v>
      </c>
      <c r="BI19" s="78">
        <v>100</v>
      </c>
      <c r="BJ19" s="78">
        <v>100</v>
      </c>
      <c r="BK19" s="78">
        <v>100</v>
      </c>
      <c r="BL19" s="78">
        <v>100</v>
      </c>
      <c r="BM19" s="78">
        <v>100</v>
      </c>
      <c r="BN19" s="78">
        <v>100</v>
      </c>
      <c r="BO19" s="78">
        <v>100</v>
      </c>
      <c r="BP19" s="78">
        <v>100</v>
      </c>
      <c r="BQ19" s="78">
        <v>100</v>
      </c>
      <c r="BR19" s="78">
        <v>100</v>
      </c>
      <c r="BS19" s="78">
        <v>100</v>
      </c>
      <c r="BT19" s="78">
        <v>100</v>
      </c>
      <c r="BU19" s="78">
        <v>100</v>
      </c>
      <c r="BV19" s="78">
        <v>100</v>
      </c>
      <c r="BW19" s="78">
        <v>100</v>
      </c>
      <c r="BX19" s="78">
        <v>100</v>
      </c>
      <c r="BY19" s="78">
        <v>100</v>
      </c>
      <c r="BZ19" s="78">
        <v>100</v>
      </c>
      <c r="CA19" s="78">
        <v>100</v>
      </c>
      <c r="CB19" s="78">
        <v>100</v>
      </c>
      <c r="CC19" s="78">
        <v>100</v>
      </c>
      <c r="CD19" s="78">
        <v>100</v>
      </c>
      <c r="CE19" s="78">
        <v>100</v>
      </c>
      <c r="CF19" s="78">
        <v>100</v>
      </c>
      <c r="CG19" s="78">
        <v>100</v>
      </c>
      <c r="CH19" s="78">
        <v>100</v>
      </c>
      <c r="CI19" s="78">
        <v>100</v>
      </c>
      <c r="CJ19" s="78">
        <v>100</v>
      </c>
      <c r="CK19" s="78">
        <v>100</v>
      </c>
      <c r="CL19" s="78">
        <v>100</v>
      </c>
      <c r="CM19" s="78">
        <v>100</v>
      </c>
      <c r="CN19" s="78">
        <v>100</v>
      </c>
      <c r="CO19" s="78">
        <v>100</v>
      </c>
      <c r="CP19" s="78">
        <v>100</v>
      </c>
      <c r="CQ19" s="78">
        <v>100</v>
      </c>
      <c r="CR19" s="78">
        <v>100</v>
      </c>
      <c r="CS19" s="78">
        <v>100</v>
      </c>
      <c r="CT19" s="78">
        <v>100</v>
      </c>
      <c r="CU19" s="78">
        <v>100</v>
      </c>
      <c r="CV19" s="78">
        <v>100</v>
      </c>
      <c r="CW19" s="78">
        <v>100</v>
      </c>
      <c r="CX19" s="79">
        <v>100</v>
      </c>
      <c r="CY19" s="79">
        <v>100</v>
      </c>
      <c r="CZ19" s="79">
        <v>100</v>
      </c>
      <c r="DA19" s="79">
        <v>100</v>
      </c>
      <c r="DB19" s="79">
        <v>100</v>
      </c>
      <c r="DC19" s="79">
        <v>100</v>
      </c>
      <c r="DD19" s="78">
        <v>100</v>
      </c>
      <c r="DE19" s="78">
        <v>100</v>
      </c>
      <c r="DF19" s="78">
        <v>100</v>
      </c>
      <c r="DG19" s="78">
        <v>100</v>
      </c>
      <c r="DH19" s="78">
        <v>100</v>
      </c>
      <c r="DI19" s="78">
        <v>100</v>
      </c>
      <c r="DJ19" s="78">
        <v>100</v>
      </c>
      <c r="DK19" s="78">
        <v>100</v>
      </c>
      <c r="DL19" s="78">
        <v>100</v>
      </c>
      <c r="DM19" s="78">
        <v>100</v>
      </c>
      <c r="DN19" s="78">
        <v>100</v>
      </c>
      <c r="DO19" s="78">
        <v>100</v>
      </c>
      <c r="DP19" s="78">
        <v>100</v>
      </c>
      <c r="DQ19" s="78">
        <v>100</v>
      </c>
      <c r="DR19" s="78">
        <v>100</v>
      </c>
      <c r="DS19" s="78">
        <v>100</v>
      </c>
      <c r="DT19" s="78">
        <v>100</v>
      </c>
      <c r="DU19" s="78">
        <v>100</v>
      </c>
      <c r="DV19" s="78">
        <v>100</v>
      </c>
      <c r="DW19" s="78">
        <v>100</v>
      </c>
      <c r="DX19" s="78">
        <v>100</v>
      </c>
      <c r="DY19" s="78">
        <v>100</v>
      </c>
      <c r="DZ19" s="78">
        <v>100</v>
      </c>
      <c r="EA19" s="78">
        <v>100</v>
      </c>
      <c r="EB19" s="78">
        <v>100</v>
      </c>
      <c r="EC19" s="78">
        <v>100</v>
      </c>
      <c r="ED19" s="78">
        <v>100</v>
      </c>
      <c r="EE19" s="78">
        <v>100</v>
      </c>
      <c r="EF19" s="78">
        <v>100</v>
      </c>
      <c r="EG19" s="78">
        <v>100</v>
      </c>
      <c r="EH19" s="78">
        <v>100</v>
      </c>
      <c r="EI19" s="78">
        <v>100</v>
      </c>
      <c r="EJ19" s="78">
        <v>100</v>
      </c>
      <c r="EK19" s="78">
        <v>100</v>
      </c>
      <c r="EL19" s="78">
        <v>100</v>
      </c>
      <c r="EM19" s="78">
        <v>100</v>
      </c>
      <c r="EN19" s="78">
        <v>100</v>
      </c>
      <c r="EO19" s="78">
        <v>100</v>
      </c>
      <c r="EP19" s="78">
        <v>100</v>
      </c>
      <c r="EQ19" s="78">
        <v>100</v>
      </c>
      <c r="ER19" s="78">
        <v>100</v>
      </c>
      <c r="ES19" s="78">
        <v>100</v>
      </c>
      <c r="ET19" s="78">
        <v>100</v>
      </c>
      <c r="EU19" s="78">
        <v>100</v>
      </c>
      <c r="EV19" s="78">
        <v>100</v>
      </c>
      <c r="EW19" s="66">
        <v>100</v>
      </c>
      <c r="EX19" s="66">
        <v>100</v>
      </c>
      <c r="EY19" s="88">
        <v>100</v>
      </c>
      <c r="EZ19" s="88">
        <v>100</v>
      </c>
      <c r="FA19" s="88">
        <v>100</v>
      </c>
      <c r="FB19" s="88">
        <v>100</v>
      </c>
      <c r="FC19" s="66">
        <v>100</v>
      </c>
      <c r="FD19" s="66">
        <v>100</v>
      </c>
      <c r="FE19" s="66">
        <v>100</v>
      </c>
      <c r="FF19" s="66">
        <v>100</v>
      </c>
      <c r="FG19" s="66">
        <v>100</v>
      </c>
      <c r="FH19" s="66">
        <v>100</v>
      </c>
      <c r="FI19" s="66">
        <v>100</v>
      </c>
      <c r="FJ19" s="66">
        <v>100</v>
      </c>
      <c r="FK19" s="66">
        <v>100</v>
      </c>
      <c r="FL19" s="66">
        <v>100</v>
      </c>
      <c r="FM19" s="66">
        <v>100</v>
      </c>
      <c r="FN19" s="66">
        <v>100</v>
      </c>
      <c r="FO19" s="66">
        <v>100</v>
      </c>
      <c r="FP19" s="66">
        <v>100</v>
      </c>
      <c r="FQ19" s="66">
        <v>100</v>
      </c>
      <c r="FR19" s="66">
        <v>100</v>
      </c>
      <c r="FS19" s="66">
        <v>100</v>
      </c>
      <c r="FT19" s="66">
        <v>100</v>
      </c>
      <c r="FU19" s="66">
        <v>100</v>
      </c>
      <c r="FV19" s="66">
        <v>100</v>
      </c>
      <c r="FW19" s="66">
        <v>100</v>
      </c>
      <c r="FX19" s="67">
        <v>100</v>
      </c>
      <c r="FY19" s="67">
        <v>100</v>
      </c>
      <c r="FZ19" s="67">
        <v>100</v>
      </c>
      <c r="GA19" s="67">
        <v>100</v>
      </c>
      <c r="GB19" s="67">
        <v>100</v>
      </c>
      <c r="GC19" s="67">
        <v>100</v>
      </c>
      <c r="GD19" s="67">
        <v>100</v>
      </c>
      <c r="GE19" s="67">
        <v>100</v>
      </c>
      <c r="GF19" s="67">
        <v>100</v>
      </c>
      <c r="GG19" s="67">
        <v>100</v>
      </c>
      <c r="GH19" s="67">
        <v>100</v>
      </c>
      <c r="GI19" s="67">
        <v>100</v>
      </c>
      <c r="GJ19" s="67">
        <v>100</v>
      </c>
      <c r="GK19" s="67">
        <v>100</v>
      </c>
      <c r="GL19" s="67">
        <v>100</v>
      </c>
      <c r="GM19" s="67">
        <v>100</v>
      </c>
      <c r="GN19" s="67">
        <v>100</v>
      </c>
      <c r="GO19" s="67">
        <v>100</v>
      </c>
      <c r="GP19" s="67">
        <v>100</v>
      </c>
      <c r="GQ19" s="67">
        <v>100</v>
      </c>
      <c r="GR19" s="67">
        <v>100</v>
      </c>
      <c r="GS19" s="67">
        <v>100</v>
      </c>
      <c r="GT19" s="67">
        <v>100</v>
      </c>
      <c r="GU19" s="67">
        <v>100</v>
      </c>
      <c r="GV19" s="67">
        <v>100</v>
      </c>
      <c r="GW19" s="67">
        <v>100</v>
      </c>
      <c r="GX19" s="67">
        <v>100</v>
      </c>
      <c r="GY19" s="67">
        <v>100</v>
      </c>
      <c r="GZ19" s="67">
        <v>100</v>
      </c>
      <c r="HA19" s="67">
        <v>100</v>
      </c>
      <c r="HB19" s="67">
        <v>100</v>
      </c>
      <c r="HC19" s="67">
        <v>100</v>
      </c>
      <c r="HD19" s="67">
        <v>100</v>
      </c>
      <c r="HE19" s="67">
        <v>100</v>
      </c>
      <c r="HF19" s="67">
        <v>100</v>
      </c>
      <c r="HG19" s="67">
        <v>100</v>
      </c>
      <c r="HH19" s="67">
        <v>100</v>
      </c>
      <c r="HI19" s="67">
        <v>100</v>
      </c>
      <c r="HJ19" s="67">
        <v>100</v>
      </c>
      <c r="HK19" s="67">
        <v>100</v>
      </c>
      <c r="HL19" s="67">
        <v>100</v>
      </c>
      <c r="HM19" s="67">
        <v>100</v>
      </c>
      <c r="HN19" s="67">
        <v>100</v>
      </c>
      <c r="HO19" s="67">
        <v>100</v>
      </c>
      <c r="HP19" s="67">
        <v>100</v>
      </c>
      <c r="HQ19" s="68">
        <v>100</v>
      </c>
      <c r="HR19" s="68">
        <v>100</v>
      </c>
      <c r="HS19" s="68">
        <v>100</v>
      </c>
      <c r="HT19" s="67">
        <v>100</v>
      </c>
      <c r="HU19" s="67">
        <v>100</v>
      </c>
      <c r="HV19" s="67">
        <v>100</v>
      </c>
      <c r="HW19" s="67">
        <v>100</v>
      </c>
      <c r="HX19" s="67">
        <v>100</v>
      </c>
      <c r="HY19" s="67">
        <v>100</v>
      </c>
      <c r="HZ19" s="67">
        <v>100</v>
      </c>
      <c r="IA19" s="67">
        <v>100</v>
      </c>
      <c r="IB19" s="67">
        <v>100</v>
      </c>
      <c r="IC19" s="68">
        <v>100</v>
      </c>
      <c r="ID19" s="68">
        <v>100</v>
      </c>
      <c r="IE19" s="68">
        <v>100</v>
      </c>
      <c r="IF19" s="67">
        <v>100</v>
      </c>
      <c r="IG19" s="67">
        <v>100</v>
      </c>
      <c r="IH19" s="67">
        <v>100</v>
      </c>
      <c r="II19" s="67">
        <v>100</v>
      </c>
      <c r="IJ19" s="67">
        <v>100</v>
      </c>
      <c r="IK19" s="67">
        <v>100</v>
      </c>
      <c r="IL19" s="16" t="s">
        <v>126</v>
      </c>
      <c r="IM19" s="16" t="s">
        <v>126</v>
      </c>
      <c r="IN19" s="16" t="s">
        <v>126</v>
      </c>
      <c r="IO19" s="16" t="s">
        <v>126</v>
      </c>
      <c r="IP19" s="16" t="s">
        <v>126</v>
      </c>
      <c r="IQ19" s="16" t="s">
        <v>126</v>
      </c>
      <c r="IR19" s="16" t="s">
        <v>126</v>
      </c>
      <c r="IS19" s="59">
        <f t="shared" si="1"/>
        <v>0</v>
      </c>
      <c r="IT19" s="186"/>
      <c r="IU19" s="18"/>
      <c r="IV19" s="21"/>
      <c r="IW19" s="21"/>
      <c r="IX19" s="18"/>
      <c r="IY19" s="18"/>
      <c r="IZ19" s="18"/>
      <c r="JA19" s="18"/>
      <c r="JB19" s="18"/>
      <c r="JC19" s="18"/>
      <c r="JD19" s="18"/>
      <c r="JE19" s="18"/>
      <c r="JF19" s="18"/>
      <c r="JG19" s="18"/>
      <c r="JH19" s="18"/>
      <c r="JI19" s="18"/>
      <c r="JJ19" s="18"/>
      <c r="JK19" s="18"/>
      <c r="JL19" s="18"/>
      <c r="JM19" s="18"/>
    </row>
    <row r="20" spans="1:273" ht="15" customHeight="1">
      <c r="A20" s="97">
        <v>16</v>
      </c>
      <c r="B20" s="77" t="s">
        <v>165</v>
      </c>
      <c r="C20" s="5">
        <v>9900</v>
      </c>
      <c r="D20" s="5">
        <v>9900</v>
      </c>
      <c r="E20" s="5">
        <v>1100</v>
      </c>
      <c r="F20" s="31" t="s">
        <v>126</v>
      </c>
      <c r="G20" s="31" t="s">
        <v>126</v>
      </c>
      <c r="H20" s="31" t="s">
        <v>126</v>
      </c>
      <c r="I20" s="78">
        <v>100</v>
      </c>
      <c r="J20" s="78">
        <v>100</v>
      </c>
      <c r="K20" s="78">
        <v>100</v>
      </c>
      <c r="L20" s="78">
        <v>100</v>
      </c>
      <c r="M20" s="78">
        <v>100</v>
      </c>
      <c r="N20" s="78">
        <v>100</v>
      </c>
      <c r="O20" s="78">
        <v>100</v>
      </c>
      <c r="P20" s="78">
        <v>100</v>
      </c>
      <c r="Q20" s="78">
        <v>100</v>
      </c>
      <c r="R20" s="78">
        <v>100</v>
      </c>
      <c r="S20" s="78">
        <v>100</v>
      </c>
      <c r="T20" s="78">
        <v>100</v>
      </c>
      <c r="U20" s="78">
        <v>100</v>
      </c>
      <c r="V20" s="78">
        <v>100</v>
      </c>
      <c r="W20" s="78">
        <v>100</v>
      </c>
      <c r="X20" s="78">
        <v>100</v>
      </c>
      <c r="Y20" s="78">
        <v>100</v>
      </c>
      <c r="Z20" s="78">
        <v>100</v>
      </c>
      <c r="AA20" s="78">
        <v>100</v>
      </c>
      <c r="AB20" s="78">
        <v>100</v>
      </c>
      <c r="AC20" s="78">
        <v>100</v>
      </c>
      <c r="AD20" s="78">
        <v>100</v>
      </c>
      <c r="AE20" s="78">
        <v>100</v>
      </c>
      <c r="AF20" s="78">
        <v>100</v>
      </c>
      <c r="AG20" s="78">
        <v>100</v>
      </c>
      <c r="AH20" s="78">
        <v>100</v>
      </c>
      <c r="AI20" s="78">
        <v>100</v>
      </c>
      <c r="AJ20" s="78">
        <v>100</v>
      </c>
      <c r="AK20" s="78">
        <v>100</v>
      </c>
      <c r="AL20" s="78">
        <v>100</v>
      </c>
      <c r="AM20" s="78">
        <v>100</v>
      </c>
      <c r="AN20" s="78">
        <v>100</v>
      </c>
      <c r="AO20" s="78">
        <v>100</v>
      </c>
      <c r="AP20" s="78">
        <v>100</v>
      </c>
      <c r="AQ20" s="78">
        <v>100</v>
      </c>
      <c r="AR20" s="78">
        <v>100</v>
      </c>
      <c r="AS20" s="78">
        <v>100</v>
      </c>
      <c r="AT20" s="78">
        <v>100</v>
      </c>
      <c r="AU20" s="78">
        <v>100</v>
      </c>
      <c r="AV20" s="78">
        <v>100</v>
      </c>
      <c r="AW20" s="78">
        <v>100</v>
      </c>
      <c r="AX20" s="78">
        <v>100</v>
      </c>
      <c r="AY20" s="78">
        <v>100</v>
      </c>
      <c r="AZ20" s="78">
        <v>100</v>
      </c>
      <c r="BA20" s="78">
        <v>100</v>
      </c>
      <c r="BB20" s="78">
        <v>100</v>
      </c>
      <c r="BC20" s="78">
        <v>100</v>
      </c>
      <c r="BD20" s="78">
        <v>100</v>
      </c>
      <c r="BE20" s="78">
        <v>100</v>
      </c>
      <c r="BF20" s="78">
        <v>100</v>
      </c>
      <c r="BG20" s="78">
        <v>100</v>
      </c>
      <c r="BH20" s="78">
        <v>100</v>
      </c>
      <c r="BI20" s="78">
        <v>100</v>
      </c>
      <c r="BJ20" s="78">
        <v>100</v>
      </c>
      <c r="BK20" s="78">
        <v>100</v>
      </c>
      <c r="BL20" s="78">
        <v>100</v>
      </c>
      <c r="BM20" s="78">
        <v>100</v>
      </c>
      <c r="BN20" s="78">
        <v>100</v>
      </c>
      <c r="BO20" s="78">
        <v>100</v>
      </c>
      <c r="BP20" s="78">
        <v>100</v>
      </c>
      <c r="BQ20" s="78">
        <v>100</v>
      </c>
      <c r="BR20" s="78">
        <v>100</v>
      </c>
      <c r="BS20" s="78">
        <v>100</v>
      </c>
      <c r="BT20" s="78">
        <v>100</v>
      </c>
      <c r="BU20" s="78">
        <v>100</v>
      </c>
      <c r="BV20" s="78">
        <v>100</v>
      </c>
      <c r="BW20" s="78">
        <v>100</v>
      </c>
      <c r="BX20" s="78">
        <v>100</v>
      </c>
      <c r="BY20" s="78">
        <v>100</v>
      </c>
      <c r="BZ20" s="78">
        <v>100</v>
      </c>
      <c r="CA20" s="78">
        <v>100</v>
      </c>
      <c r="CB20" s="78">
        <v>100</v>
      </c>
      <c r="CC20" s="78">
        <v>100</v>
      </c>
      <c r="CD20" s="78">
        <v>100</v>
      </c>
      <c r="CE20" s="78">
        <v>100</v>
      </c>
      <c r="CF20" s="78">
        <v>100</v>
      </c>
      <c r="CG20" s="78">
        <v>100</v>
      </c>
      <c r="CH20" s="78">
        <v>100</v>
      </c>
      <c r="CI20" s="78">
        <v>100</v>
      </c>
      <c r="CJ20" s="78">
        <v>100</v>
      </c>
      <c r="CK20" s="78">
        <v>100</v>
      </c>
      <c r="CL20" s="78">
        <v>100</v>
      </c>
      <c r="CM20" s="78">
        <v>100</v>
      </c>
      <c r="CN20" s="78">
        <v>100</v>
      </c>
      <c r="CO20" s="78">
        <v>100</v>
      </c>
      <c r="CP20" s="78">
        <v>100</v>
      </c>
      <c r="CQ20" s="78">
        <v>100</v>
      </c>
      <c r="CR20" s="78">
        <v>100</v>
      </c>
      <c r="CS20" s="78">
        <v>100</v>
      </c>
      <c r="CT20" s="78">
        <v>100</v>
      </c>
      <c r="CU20" s="78">
        <v>100</v>
      </c>
      <c r="CV20" s="78">
        <v>100</v>
      </c>
      <c r="CW20" s="78">
        <v>100</v>
      </c>
      <c r="CX20" s="79">
        <v>100</v>
      </c>
      <c r="CY20" s="79">
        <v>100</v>
      </c>
      <c r="CZ20" s="79">
        <v>100</v>
      </c>
      <c r="DA20" s="79">
        <v>100</v>
      </c>
      <c r="DB20" s="79">
        <v>100</v>
      </c>
      <c r="DC20" s="79">
        <v>100</v>
      </c>
      <c r="DD20" s="78">
        <v>100</v>
      </c>
      <c r="DE20" s="78">
        <v>100</v>
      </c>
      <c r="DF20" s="78">
        <v>100</v>
      </c>
      <c r="DG20" s="78">
        <v>100</v>
      </c>
      <c r="DH20" s="78">
        <v>100</v>
      </c>
      <c r="DI20" s="78">
        <v>100</v>
      </c>
      <c r="DJ20" s="78">
        <v>100</v>
      </c>
      <c r="DK20" s="78">
        <v>100</v>
      </c>
      <c r="DL20" s="78">
        <v>100</v>
      </c>
      <c r="DM20" s="78">
        <v>100</v>
      </c>
      <c r="DN20" s="78">
        <v>100</v>
      </c>
      <c r="DO20" s="78">
        <v>100</v>
      </c>
      <c r="DP20" s="78">
        <v>100</v>
      </c>
      <c r="DQ20" s="78">
        <v>100</v>
      </c>
      <c r="DR20" s="78">
        <v>100</v>
      </c>
      <c r="DS20" s="78">
        <v>100</v>
      </c>
      <c r="DT20" s="78">
        <v>100</v>
      </c>
      <c r="DU20" s="78">
        <v>100</v>
      </c>
      <c r="DV20" s="78">
        <v>100</v>
      </c>
      <c r="DW20" s="78">
        <v>100</v>
      </c>
      <c r="DX20" s="78">
        <v>100</v>
      </c>
      <c r="DY20" s="78">
        <v>100</v>
      </c>
      <c r="DZ20" s="78">
        <v>100</v>
      </c>
      <c r="EA20" s="78">
        <v>100</v>
      </c>
      <c r="EB20" s="78">
        <v>100</v>
      </c>
      <c r="EC20" s="78">
        <v>100</v>
      </c>
      <c r="ED20" s="78">
        <v>100</v>
      </c>
      <c r="EE20" s="78">
        <v>100</v>
      </c>
      <c r="EF20" s="78">
        <v>100</v>
      </c>
      <c r="EG20" s="78">
        <v>100</v>
      </c>
      <c r="EH20" s="78">
        <v>100</v>
      </c>
      <c r="EI20" s="78">
        <v>100</v>
      </c>
      <c r="EJ20" s="78">
        <v>100</v>
      </c>
      <c r="EK20" s="78">
        <v>100</v>
      </c>
      <c r="EL20" s="78">
        <v>100</v>
      </c>
      <c r="EM20" s="78">
        <v>100</v>
      </c>
      <c r="EN20" s="78">
        <v>100</v>
      </c>
      <c r="EO20" s="78">
        <v>100</v>
      </c>
      <c r="EP20" s="78">
        <v>100</v>
      </c>
      <c r="EQ20" s="78">
        <v>100</v>
      </c>
      <c r="ER20" s="78">
        <v>100</v>
      </c>
      <c r="ES20" s="78">
        <v>100</v>
      </c>
      <c r="ET20" s="78">
        <v>100</v>
      </c>
      <c r="EU20" s="78">
        <v>100</v>
      </c>
      <c r="EV20" s="78">
        <v>100</v>
      </c>
      <c r="EW20" s="66">
        <v>100</v>
      </c>
      <c r="EX20" s="66">
        <v>100</v>
      </c>
      <c r="EY20" s="88">
        <v>100</v>
      </c>
      <c r="EZ20" s="88">
        <v>100</v>
      </c>
      <c r="FA20" s="88">
        <v>100</v>
      </c>
      <c r="FB20" s="88">
        <v>100</v>
      </c>
      <c r="FC20" s="66">
        <v>100</v>
      </c>
      <c r="FD20" s="66">
        <v>100</v>
      </c>
      <c r="FE20" s="66">
        <v>100</v>
      </c>
      <c r="FF20" s="66">
        <v>100</v>
      </c>
      <c r="FG20" s="66">
        <v>100</v>
      </c>
      <c r="FH20" s="66">
        <v>100</v>
      </c>
      <c r="FI20" s="66">
        <v>100</v>
      </c>
      <c r="FJ20" s="66">
        <v>100</v>
      </c>
      <c r="FK20" s="66">
        <v>100</v>
      </c>
      <c r="FL20" s="66">
        <v>100</v>
      </c>
      <c r="FM20" s="66">
        <v>100</v>
      </c>
      <c r="FN20" s="66">
        <v>100</v>
      </c>
      <c r="FO20" s="66">
        <v>100</v>
      </c>
      <c r="FP20" s="66">
        <v>100</v>
      </c>
      <c r="FQ20" s="66">
        <v>100</v>
      </c>
      <c r="FR20" s="66">
        <v>100</v>
      </c>
      <c r="FS20" s="66">
        <v>100</v>
      </c>
      <c r="FT20" s="66">
        <v>100</v>
      </c>
      <c r="FU20" s="66">
        <v>100</v>
      </c>
      <c r="FV20" s="66">
        <v>100</v>
      </c>
      <c r="FW20" s="66">
        <v>100</v>
      </c>
      <c r="FX20" s="67">
        <v>100</v>
      </c>
      <c r="FY20" s="67">
        <v>100</v>
      </c>
      <c r="FZ20" s="67">
        <v>100</v>
      </c>
      <c r="GA20" s="67">
        <v>100</v>
      </c>
      <c r="GB20" s="67">
        <v>100</v>
      </c>
      <c r="GC20" s="67">
        <v>100</v>
      </c>
      <c r="GD20" s="67">
        <v>100</v>
      </c>
      <c r="GE20" s="67">
        <v>100</v>
      </c>
      <c r="GF20" s="67">
        <v>100</v>
      </c>
      <c r="GG20" s="67">
        <v>100</v>
      </c>
      <c r="GH20" s="67">
        <v>100</v>
      </c>
      <c r="GI20" s="67">
        <v>100</v>
      </c>
      <c r="GJ20" s="67">
        <v>100</v>
      </c>
      <c r="GK20" s="67">
        <v>100</v>
      </c>
      <c r="GL20" s="67">
        <v>100</v>
      </c>
      <c r="GM20" s="67">
        <v>100</v>
      </c>
      <c r="GN20" s="67">
        <v>100</v>
      </c>
      <c r="GO20" s="67">
        <v>100</v>
      </c>
      <c r="GP20" s="67">
        <v>100</v>
      </c>
      <c r="GQ20" s="67">
        <v>100</v>
      </c>
      <c r="GR20" s="67">
        <v>100</v>
      </c>
      <c r="GS20" s="67">
        <v>100</v>
      </c>
      <c r="GT20" s="67">
        <v>100</v>
      </c>
      <c r="GU20" s="67">
        <v>100</v>
      </c>
      <c r="GV20" s="67">
        <v>100</v>
      </c>
      <c r="GW20" s="67">
        <v>100</v>
      </c>
      <c r="GX20" s="67">
        <v>100</v>
      </c>
      <c r="GY20" s="67">
        <v>100</v>
      </c>
      <c r="GZ20" s="67">
        <v>100</v>
      </c>
      <c r="HA20" s="67">
        <v>100</v>
      </c>
      <c r="HB20" s="67">
        <v>100</v>
      </c>
      <c r="HC20" s="67">
        <v>100</v>
      </c>
      <c r="HD20" s="67">
        <v>100</v>
      </c>
      <c r="HE20" s="67">
        <v>100</v>
      </c>
      <c r="HF20" s="67">
        <v>100</v>
      </c>
      <c r="HG20" s="67">
        <v>100</v>
      </c>
      <c r="HH20" s="67">
        <v>100</v>
      </c>
      <c r="HI20" s="67">
        <v>100</v>
      </c>
      <c r="HJ20" s="67">
        <v>100</v>
      </c>
      <c r="HK20" s="67">
        <v>100</v>
      </c>
      <c r="HL20" s="67">
        <v>100</v>
      </c>
      <c r="HM20" s="67">
        <v>100</v>
      </c>
      <c r="HN20" s="67">
        <v>100</v>
      </c>
      <c r="HO20" s="67">
        <v>100</v>
      </c>
      <c r="HP20" s="67">
        <v>100</v>
      </c>
      <c r="HQ20" s="68">
        <v>100</v>
      </c>
      <c r="HR20" s="68">
        <v>100</v>
      </c>
      <c r="HS20" s="68">
        <v>100</v>
      </c>
      <c r="HT20" s="67">
        <v>100</v>
      </c>
      <c r="HU20" s="67">
        <v>100</v>
      </c>
      <c r="HV20" s="67">
        <v>100</v>
      </c>
      <c r="HW20" s="67">
        <v>100</v>
      </c>
      <c r="HX20" s="67">
        <v>100</v>
      </c>
      <c r="HY20" s="67">
        <v>100</v>
      </c>
      <c r="HZ20" s="67">
        <v>100</v>
      </c>
      <c r="IA20" s="67">
        <v>100</v>
      </c>
      <c r="IB20" s="67">
        <v>100</v>
      </c>
      <c r="IC20" s="68">
        <v>100</v>
      </c>
      <c r="ID20" s="68">
        <v>100</v>
      </c>
      <c r="IE20" s="68">
        <v>100</v>
      </c>
      <c r="IF20" s="67">
        <v>100</v>
      </c>
      <c r="IG20" s="67">
        <v>100</v>
      </c>
      <c r="IH20" s="67">
        <v>100</v>
      </c>
      <c r="II20" s="14">
        <v>100</v>
      </c>
      <c r="IJ20" s="14">
        <v>100</v>
      </c>
      <c r="IK20" s="14">
        <v>100</v>
      </c>
      <c r="IL20" s="16" t="s">
        <v>126</v>
      </c>
      <c r="IM20" s="16" t="s">
        <v>126</v>
      </c>
      <c r="IN20" s="16" t="s">
        <v>126</v>
      </c>
      <c r="IO20" s="16" t="s">
        <v>126</v>
      </c>
      <c r="IP20" s="16" t="s">
        <v>126</v>
      </c>
      <c r="IQ20" s="16" t="s">
        <v>126</v>
      </c>
      <c r="IR20" s="16" t="s">
        <v>126</v>
      </c>
      <c r="IS20" s="59">
        <f t="shared" si="1"/>
        <v>0</v>
      </c>
      <c r="IT20" s="186"/>
      <c r="IU20" s="18"/>
      <c r="IV20" s="21"/>
      <c r="IW20" s="21"/>
      <c r="IX20" s="18"/>
      <c r="IY20" s="18"/>
      <c r="IZ20" s="18"/>
      <c r="JA20" s="18"/>
      <c r="JB20" s="18"/>
      <c r="JC20" s="18"/>
      <c r="JD20" s="18"/>
      <c r="JE20" s="18"/>
      <c r="JF20" s="18"/>
      <c r="JG20" s="18"/>
      <c r="JH20" s="18"/>
      <c r="JI20" s="18"/>
      <c r="JJ20" s="18"/>
      <c r="JK20" s="18"/>
      <c r="JL20" s="18"/>
      <c r="JM20" s="18"/>
    </row>
    <row r="21" spans="1:273" ht="13.5" customHeight="1">
      <c r="A21" s="97">
        <v>17</v>
      </c>
      <c r="B21" s="77" t="s">
        <v>166</v>
      </c>
      <c r="C21" s="5">
        <v>5400</v>
      </c>
      <c r="D21" s="5">
        <v>5400</v>
      </c>
      <c r="E21" s="5">
        <v>5400</v>
      </c>
      <c r="F21" s="31" t="s">
        <v>126</v>
      </c>
      <c r="G21" s="31" t="s">
        <v>126</v>
      </c>
      <c r="H21" s="31" t="s">
        <v>126</v>
      </c>
      <c r="I21" s="78">
        <v>100</v>
      </c>
      <c r="J21" s="78">
        <v>100</v>
      </c>
      <c r="K21" s="78">
        <v>100</v>
      </c>
      <c r="L21" s="78">
        <v>100</v>
      </c>
      <c r="M21" s="78">
        <v>100</v>
      </c>
      <c r="N21" s="78">
        <v>100</v>
      </c>
      <c r="O21" s="78">
        <v>100</v>
      </c>
      <c r="P21" s="78">
        <v>100</v>
      </c>
      <c r="Q21" s="78">
        <v>100</v>
      </c>
      <c r="R21" s="78">
        <v>100</v>
      </c>
      <c r="S21" s="78">
        <v>100</v>
      </c>
      <c r="T21" s="78">
        <v>100</v>
      </c>
      <c r="U21" s="78">
        <v>100</v>
      </c>
      <c r="V21" s="78">
        <v>100</v>
      </c>
      <c r="W21" s="78">
        <v>100</v>
      </c>
      <c r="X21" s="78">
        <v>100</v>
      </c>
      <c r="Y21" s="78">
        <v>100</v>
      </c>
      <c r="Z21" s="78">
        <v>100</v>
      </c>
      <c r="AA21" s="78">
        <v>100</v>
      </c>
      <c r="AB21" s="78">
        <v>100</v>
      </c>
      <c r="AC21" s="78">
        <v>100</v>
      </c>
      <c r="AD21" s="78">
        <v>100</v>
      </c>
      <c r="AE21" s="78">
        <v>100</v>
      </c>
      <c r="AF21" s="78">
        <v>100</v>
      </c>
      <c r="AG21" s="78">
        <v>100</v>
      </c>
      <c r="AH21" s="78">
        <v>100</v>
      </c>
      <c r="AI21" s="78">
        <v>100</v>
      </c>
      <c r="AJ21" s="78">
        <v>100</v>
      </c>
      <c r="AK21" s="78">
        <v>100</v>
      </c>
      <c r="AL21" s="78">
        <v>100</v>
      </c>
      <c r="AM21" s="78">
        <v>100</v>
      </c>
      <c r="AN21" s="78">
        <v>100</v>
      </c>
      <c r="AO21" s="78">
        <v>100</v>
      </c>
      <c r="AP21" s="78">
        <v>100</v>
      </c>
      <c r="AQ21" s="78">
        <v>100</v>
      </c>
      <c r="AR21" s="78">
        <v>100</v>
      </c>
      <c r="AS21" s="78">
        <v>100</v>
      </c>
      <c r="AT21" s="78">
        <v>100</v>
      </c>
      <c r="AU21" s="78">
        <v>100</v>
      </c>
      <c r="AV21" s="78">
        <v>100</v>
      </c>
      <c r="AW21" s="78">
        <v>100</v>
      </c>
      <c r="AX21" s="78">
        <v>100</v>
      </c>
      <c r="AY21" s="78">
        <v>100</v>
      </c>
      <c r="AZ21" s="78">
        <v>100</v>
      </c>
      <c r="BA21" s="78">
        <v>100</v>
      </c>
      <c r="BB21" s="78">
        <v>100</v>
      </c>
      <c r="BC21" s="78">
        <v>100</v>
      </c>
      <c r="BD21" s="78">
        <v>100</v>
      </c>
      <c r="BE21" s="78">
        <v>100</v>
      </c>
      <c r="BF21" s="78">
        <v>100</v>
      </c>
      <c r="BG21" s="78">
        <v>100</v>
      </c>
      <c r="BH21" s="78">
        <v>100</v>
      </c>
      <c r="BI21" s="78">
        <v>100</v>
      </c>
      <c r="BJ21" s="78">
        <v>100</v>
      </c>
      <c r="BK21" s="78">
        <v>100</v>
      </c>
      <c r="BL21" s="78">
        <v>100</v>
      </c>
      <c r="BM21" s="78">
        <v>100</v>
      </c>
      <c r="BN21" s="78">
        <v>100</v>
      </c>
      <c r="BO21" s="78">
        <v>100</v>
      </c>
      <c r="BP21" s="78">
        <v>100</v>
      </c>
      <c r="BQ21" s="78">
        <v>100</v>
      </c>
      <c r="BR21" s="78">
        <v>100</v>
      </c>
      <c r="BS21" s="78">
        <v>100</v>
      </c>
      <c r="BT21" s="78">
        <v>100</v>
      </c>
      <c r="BU21" s="78">
        <v>100</v>
      </c>
      <c r="BV21" s="78">
        <v>100</v>
      </c>
      <c r="BW21" s="78">
        <v>100</v>
      </c>
      <c r="BX21" s="78">
        <v>100</v>
      </c>
      <c r="BY21" s="78">
        <v>100</v>
      </c>
      <c r="BZ21" s="78">
        <v>100</v>
      </c>
      <c r="CA21" s="78">
        <v>100</v>
      </c>
      <c r="CB21" s="78">
        <v>100</v>
      </c>
      <c r="CC21" s="78">
        <v>100</v>
      </c>
      <c r="CD21" s="78">
        <v>100</v>
      </c>
      <c r="CE21" s="78">
        <v>100</v>
      </c>
      <c r="CF21" s="78">
        <v>100</v>
      </c>
      <c r="CG21" s="78">
        <v>100</v>
      </c>
      <c r="CH21" s="78">
        <v>100</v>
      </c>
      <c r="CI21" s="78">
        <v>100</v>
      </c>
      <c r="CJ21" s="78">
        <v>100</v>
      </c>
      <c r="CK21" s="78">
        <v>100</v>
      </c>
      <c r="CL21" s="78">
        <v>100</v>
      </c>
      <c r="CM21" s="78">
        <v>100</v>
      </c>
      <c r="CN21" s="78">
        <v>100</v>
      </c>
      <c r="CO21" s="78">
        <v>100</v>
      </c>
      <c r="CP21" s="78">
        <v>100</v>
      </c>
      <c r="CQ21" s="78">
        <v>100</v>
      </c>
      <c r="CR21" s="78">
        <v>100</v>
      </c>
      <c r="CS21" s="78">
        <v>100</v>
      </c>
      <c r="CT21" s="78">
        <v>100</v>
      </c>
      <c r="CU21" s="78">
        <v>100</v>
      </c>
      <c r="CV21" s="78">
        <v>100</v>
      </c>
      <c r="CW21" s="78">
        <v>100</v>
      </c>
      <c r="CX21" s="79">
        <v>100</v>
      </c>
      <c r="CY21" s="79">
        <v>100</v>
      </c>
      <c r="CZ21" s="79">
        <v>100</v>
      </c>
      <c r="DA21" s="79">
        <v>100</v>
      </c>
      <c r="DB21" s="79">
        <v>100</v>
      </c>
      <c r="DC21" s="79">
        <v>100</v>
      </c>
      <c r="DD21" s="78">
        <v>100</v>
      </c>
      <c r="DE21" s="78">
        <v>100</v>
      </c>
      <c r="DF21" s="78">
        <v>100</v>
      </c>
      <c r="DG21" s="78">
        <v>100</v>
      </c>
      <c r="DH21" s="78">
        <v>100</v>
      </c>
      <c r="DI21" s="78">
        <v>100</v>
      </c>
      <c r="DJ21" s="78">
        <v>100</v>
      </c>
      <c r="DK21" s="78">
        <v>100</v>
      </c>
      <c r="DL21" s="78">
        <v>100</v>
      </c>
      <c r="DM21" s="78">
        <v>100</v>
      </c>
      <c r="DN21" s="78">
        <v>100</v>
      </c>
      <c r="DO21" s="78">
        <v>100</v>
      </c>
      <c r="DP21" s="78">
        <v>100</v>
      </c>
      <c r="DQ21" s="78">
        <v>100</v>
      </c>
      <c r="DR21" s="78">
        <v>100</v>
      </c>
      <c r="DS21" s="78">
        <v>100</v>
      </c>
      <c r="DT21" s="78">
        <v>100</v>
      </c>
      <c r="DU21" s="78">
        <v>100</v>
      </c>
      <c r="DV21" s="78">
        <v>100</v>
      </c>
      <c r="DW21" s="78">
        <v>100</v>
      </c>
      <c r="DX21" s="78">
        <v>100</v>
      </c>
      <c r="DY21" s="78">
        <v>100</v>
      </c>
      <c r="DZ21" s="78">
        <v>100</v>
      </c>
      <c r="EA21" s="78">
        <v>100</v>
      </c>
      <c r="EB21" s="78">
        <v>100</v>
      </c>
      <c r="EC21" s="78">
        <v>100</v>
      </c>
      <c r="ED21" s="78">
        <v>100</v>
      </c>
      <c r="EE21" s="78">
        <v>100</v>
      </c>
      <c r="EF21" s="78">
        <v>100</v>
      </c>
      <c r="EG21" s="78">
        <v>100</v>
      </c>
      <c r="EH21" s="78">
        <v>100</v>
      </c>
      <c r="EI21" s="78">
        <v>100</v>
      </c>
      <c r="EJ21" s="78">
        <v>100</v>
      </c>
      <c r="EK21" s="78">
        <v>100</v>
      </c>
      <c r="EL21" s="78">
        <v>100</v>
      </c>
      <c r="EM21" s="78">
        <v>100</v>
      </c>
      <c r="EN21" s="78">
        <v>100</v>
      </c>
      <c r="EO21" s="78">
        <v>100</v>
      </c>
      <c r="EP21" s="78">
        <v>100</v>
      </c>
      <c r="EQ21" s="78">
        <v>100</v>
      </c>
      <c r="ER21" s="78">
        <v>100</v>
      </c>
      <c r="ES21" s="78">
        <v>100</v>
      </c>
      <c r="ET21" s="78">
        <v>100</v>
      </c>
      <c r="EU21" s="78">
        <v>100</v>
      </c>
      <c r="EV21" s="78">
        <v>100</v>
      </c>
      <c r="EW21" s="66">
        <v>100</v>
      </c>
      <c r="EX21" s="66">
        <v>100</v>
      </c>
      <c r="EY21" s="88">
        <v>100</v>
      </c>
      <c r="EZ21" s="88">
        <v>100</v>
      </c>
      <c r="FA21" s="88">
        <v>100</v>
      </c>
      <c r="FB21" s="88">
        <v>100</v>
      </c>
      <c r="FC21" s="66">
        <v>100</v>
      </c>
      <c r="FD21" s="66">
        <v>100</v>
      </c>
      <c r="FE21" s="66">
        <v>100</v>
      </c>
      <c r="FF21" s="66">
        <v>100</v>
      </c>
      <c r="FG21" s="66">
        <v>100</v>
      </c>
      <c r="FH21" s="66">
        <v>100</v>
      </c>
      <c r="FI21" s="66">
        <v>100</v>
      </c>
      <c r="FJ21" s="66">
        <v>100</v>
      </c>
      <c r="FK21" s="66">
        <v>100</v>
      </c>
      <c r="FL21" s="66">
        <v>100</v>
      </c>
      <c r="FM21" s="66">
        <v>100</v>
      </c>
      <c r="FN21" s="66">
        <v>100</v>
      </c>
      <c r="FO21" s="66">
        <v>100</v>
      </c>
      <c r="FP21" s="66">
        <v>100</v>
      </c>
      <c r="FQ21" s="66">
        <v>100</v>
      </c>
      <c r="FR21" s="66">
        <v>100</v>
      </c>
      <c r="FS21" s="66">
        <v>100</v>
      </c>
      <c r="FT21" s="66">
        <v>100</v>
      </c>
      <c r="FU21" s="66">
        <v>100</v>
      </c>
      <c r="FV21" s="66">
        <v>100</v>
      </c>
      <c r="FW21" s="66">
        <v>100</v>
      </c>
      <c r="FX21" s="67">
        <v>100</v>
      </c>
      <c r="FY21" s="67">
        <v>100</v>
      </c>
      <c r="FZ21" s="67">
        <v>100</v>
      </c>
      <c r="GA21" s="67">
        <v>100</v>
      </c>
      <c r="GB21" s="67">
        <v>100</v>
      </c>
      <c r="GC21" s="67">
        <v>100</v>
      </c>
      <c r="GD21" s="67">
        <v>100</v>
      </c>
      <c r="GE21" s="67">
        <v>100</v>
      </c>
      <c r="GF21" s="67">
        <v>100</v>
      </c>
      <c r="GG21" s="67">
        <v>100</v>
      </c>
      <c r="GH21" s="67">
        <v>100</v>
      </c>
      <c r="GI21" s="67">
        <v>100</v>
      </c>
      <c r="GJ21" s="67">
        <v>100</v>
      </c>
      <c r="GK21" s="67">
        <v>100</v>
      </c>
      <c r="GL21" s="67">
        <v>100</v>
      </c>
      <c r="GM21" s="67">
        <v>100</v>
      </c>
      <c r="GN21" s="67">
        <v>100</v>
      </c>
      <c r="GO21" s="67">
        <v>100</v>
      </c>
      <c r="GP21" s="67">
        <v>100</v>
      </c>
      <c r="GQ21" s="67">
        <v>100</v>
      </c>
      <c r="GR21" s="67">
        <v>100</v>
      </c>
      <c r="GS21" s="67">
        <v>100</v>
      </c>
      <c r="GT21" s="67">
        <v>100</v>
      </c>
      <c r="GU21" s="67">
        <v>100</v>
      </c>
      <c r="GV21" s="67">
        <v>100</v>
      </c>
      <c r="GW21" s="67">
        <v>100</v>
      </c>
      <c r="GX21" s="67">
        <v>100</v>
      </c>
      <c r="GY21" s="67">
        <v>100</v>
      </c>
      <c r="GZ21" s="67">
        <v>100</v>
      </c>
      <c r="HA21" s="67">
        <v>100</v>
      </c>
      <c r="HB21" s="67">
        <v>100</v>
      </c>
      <c r="HC21" s="67">
        <v>100</v>
      </c>
      <c r="HD21" s="67">
        <v>100</v>
      </c>
      <c r="HE21" s="67">
        <v>100</v>
      </c>
      <c r="HF21" s="67">
        <v>100</v>
      </c>
      <c r="HG21" s="67">
        <v>100</v>
      </c>
      <c r="HH21" s="67">
        <v>100</v>
      </c>
      <c r="HI21" s="67">
        <v>100</v>
      </c>
      <c r="HJ21" s="67">
        <v>100</v>
      </c>
      <c r="HK21" s="67">
        <v>100</v>
      </c>
      <c r="HL21" s="67">
        <v>100</v>
      </c>
      <c r="HM21" s="67">
        <v>100</v>
      </c>
      <c r="HN21" s="67">
        <v>100</v>
      </c>
      <c r="HO21" s="67">
        <v>100</v>
      </c>
      <c r="HP21" s="67">
        <v>100</v>
      </c>
      <c r="HQ21" s="68">
        <v>100</v>
      </c>
      <c r="HR21" s="68">
        <v>100</v>
      </c>
      <c r="HS21" s="68">
        <v>100</v>
      </c>
      <c r="HT21" s="67">
        <v>100</v>
      </c>
      <c r="HU21" s="67">
        <v>100</v>
      </c>
      <c r="HV21" s="67">
        <v>100</v>
      </c>
      <c r="HW21" s="67">
        <v>100</v>
      </c>
      <c r="HX21" s="67">
        <v>100</v>
      </c>
      <c r="HY21" s="67">
        <v>100</v>
      </c>
      <c r="HZ21" s="67">
        <v>100</v>
      </c>
      <c r="IA21" s="67">
        <v>100</v>
      </c>
      <c r="IB21" s="67">
        <v>100</v>
      </c>
      <c r="IC21" s="68">
        <v>100</v>
      </c>
      <c r="ID21" s="68">
        <v>100</v>
      </c>
      <c r="IE21" s="68">
        <v>100</v>
      </c>
      <c r="IF21" s="67">
        <v>100</v>
      </c>
      <c r="IG21" s="67">
        <v>100</v>
      </c>
      <c r="IH21" s="67">
        <v>100</v>
      </c>
      <c r="II21" s="14">
        <v>100</v>
      </c>
      <c r="IJ21" s="14">
        <v>100</v>
      </c>
      <c r="IK21" s="14">
        <v>100</v>
      </c>
      <c r="IL21" s="16" t="s">
        <v>126</v>
      </c>
      <c r="IM21" s="16" t="s">
        <v>126</v>
      </c>
      <c r="IN21" s="16" t="s">
        <v>126</v>
      </c>
      <c r="IO21" s="16" t="s">
        <v>126</v>
      </c>
      <c r="IP21" s="16" t="s">
        <v>126</v>
      </c>
      <c r="IQ21" s="16" t="s">
        <v>126</v>
      </c>
      <c r="IR21" s="16" t="s">
        <v>126</v>
      </c>
      <c r="IS21" s="59">
        <f t="shared" si="1"/>
        <v>0</v>
      </c>
      <c r="IT21" s="186"/>
      <c r="IU21" s="18"/>
      <c r="IV21" s="21"/>
      <c r="IW21" s="21"/>
      <c r="IX21" s="18"/>
      <c r="IY21" s="18"/>
      <c r="IZ21" s="18"/>
      <c r="JA21" s="18"/>
      <c r="JB21" s="18"/>
      <c r="JC21" s="18"/>
      <c r="JD21" s="18"/>
      <c r="JE21" s="18"/>
      <c r="JF21" s="18"/>
      <c r="JG21" s="18"/>
      <c r="JH21" s="18"/>
      <c r="JI21" s="18"/>
      <c r="JJ21" s="18"/>
      <c r="JK21" s="18"/>
      <c r="JL21" s="18"/>
      <c r="JM21" s="18"/>
    </row>
    <row r="22" spans="1:273" ht="13.5" customHeight="1">
      <c r="A22" s="97">
        <v>18</v>
      </c>
      <c r="B22" s="77" t="s">
        <v>167</v>
      </c>
      <c r="C22" s="5">
        <v>1900</v>
      </c>
      <c r="D22" s="5">
        <v>1900</v>
      </c>
      <c r="E22" s="5">
        <v>2900</v>
      </c>
      <c r="F22" s="31" t="s">
        <v>126</v>
      </c>
      <c r="G22" s="31" t="s">
        <v>126</v>
      </c>
      <c r="H22" s="31" t="s">
        <v>126</v>
      </c>
      <c r="I22" s="78">
        <v>100</v>
      </c>
      <c r="J22" s="78">
        <v>100</v>
      </c>
      <c r="K22" s="78">
        <v>100</v>
      </c>
      <c r="L22" s="78">
        <v>100</v>
      </c>
      <c r="M22" s="78">
        <v>100</v>
      </c>
      <c r="N22" s="78">
        <v>100</v>
      </c>
      <c r="O22" s="78">
        <v>100</v>
      </c>
      <c r="P22" s="78">
        <v>100</v>
      </c>
      <c r="Q22" s="78">
        <v>100</v>
      </c>
      <c r="R22" s="78">
        <v>100</v>
      </c>
      <c r="S22" s="78">
        <v>100</v>
      </c>
      <c r="T22" s="78">
        <v>100</v>
      </c>
      <c r="U22" s="78">
        <v>100</v>
      </c>
      <c r="V22" s="78">
        <v>100</v>
      </c>
      <c r="W22" s="78">
        <v>100</v>
      </c>
      <c r="X22" s="78">
        <v>100</v>
      </c>
      <c r="Y22" s="78">
        <v>100</v>
      </c>
      <c r="Z22" s="78">
        <v>100</v>
      </c>
      <c r="AA22" s="78">
        <v>100</v>
      </c>
      <c r="AB22" s="78">
        <v>100</v>
      </c>
      <c r="AC22" s="78">
        <v>100</v>
      </c>
      <c r="AD22" s="78">
        <v>100</v>
      </c>
      <c r="AE22" s="78">
        <v>100</v>
      </c>
      <c r="AF22" s="78">
        <v>100</v>
      </c>
      <c r="AG22" s="78">
        <v>100</v>
      </c>
      <c r="AH22" s="78">
        <v>100</v>
      </c>
      <c r="AI22" s="78">
        <v>100</v>
      </c>
      <c r="AJ22" s="78">
        <v>100</v>
      </c>
      <c r="AK22" s="78">
        <v>100</v>
      </c>
      <c r="AL22" s="78">
        <v>100</v>
      </c>
      <c r="AM22" s="78">
        <v>100</v>
      </c>
      <c r="AN22" s="78">
        <v>100</v>
      </c>
      <c r="AO22" s="78">
        <v>100</v>
      </c>
      <c r="AP22" s="78">
        <v>100</v>
      </c>
      <c r="AQ22" s="78">
        <v>100</v>
      </c>
      <c r="AR22" s="78">
        <v>100</v>
      </c>
      <c r="AS22" s="78">
        <v>100</v>
      </c>
      <c r="AT22" s="78">
        <v>100</v>
      </c>
      <c r="AU22" s="78">
        <v>100</v>
      </c>
      <c r="AV22" s="78">
        <v>100</v>
      </c>
      <c r="AW22" s="78">
        <v>100</v>
      </c>
      <c r="AX22" s="78">
        <v>100</v>
      </c>
      <c r="AY22" s="78">
        <v>100</v>
      </c>
      <c r="AZ22" s="78">
        <v>100</v>
      </c>
      <c r="BA22" s="78">
        <v>100</v>
      </c>
      <c r="BB22" s="78">
        <v>100</v>
      </c>
      <c r="BC22" s="78">
        <v>100</v>
      </c>
      <c r="BD22" s="78">
        <v>100</v>
      </c>
      <c r="BE22" s="78">
        <v>100</v>
      </c>
      <c r="BF22" s="78">
        <v>100</v>
      </c>
      <c r="BG22" s="78">
        <v>100</v>
      </c>
      <c r="BH22" s="78">
        <v>100</v>
      </c>
      <c r="BI22" s="78">
        <v>100</v>
      </c>
      <c r="BJ22" s="78">
        <v>100</v>
      </c>
      <c r="BK22" s="78">
        <v>100</v>
      </c>
      <c r="BL22" s="78">
        <v>100</v>
      </c>
      <c r="BM22" s="78">
        <v>100</v>
      </c>
      <c r="BN22" s="78">
        <v>100</v>
      </c>
      <c r="BO22" s="78">
        <v>100</v>
      </c>
      <c r="BP22" s="78">
        <v>100</v>
      </c>
      <c r="BQ22" s="78">
        <v>100</v>
      </c>
      <c r="BR22" s="78">
        <v>100</v>
      </c>
      <c r="BS22" s="78">
        <v>100</v>
      </c>
      <c r="BT22" s="78">
        <v>100</v>
      </c>
      <c r="BU22" s="78">
        <v>100</v>
      </c>
      <c r="BV22" s="78">
        <v>100</v>
      </c>
      <c r="BW22" s="78">
        <v>100</v>
      </c>
      <c r="BX22" s="78">
        <v>100</v>
      </c>
      <c r="BY22" s="78">
        <v>100</v>
      </c>
      <c r="BZ22" s="78">
        <v>100</v>
      </c>
      <c r="CA22" s="78">
        <v>100</v>
      </c>
      <c r="CB22" s="78">
        <v>100</v>
      </c>
      <c r="CC22" s="78">
        <v>100</v>
      </c>
      <c r="CD22" s="78">
        <v>100</v>
      </c>
      <c r="CE22" s="78">
        <v>100</v>
      </c>
      <c r="CF22" s="78">
        <v>100</v>
      </c>
      <c r="CG22" s="78">
        <v>100</v>
      </c>
      <c r="CH22" s="78">
        <v>100</v>
      </c>
      <c r="CI22" s="78">
        <v>100</v>
      </c>
      <c r="CJ22" s="78">
        <v>100</v>
      </c>
      <c r="CK22" s="78">
        <v>100</v>
      </c>
      <c r="CL22" s="78">
        <v>100</v>
      </c>
      <c r="CM22" s="78">
        <v>100</v>
      </c>
      <c r="CN22" s="78">
        <v>100</v>
      </c>
      <c r="CO22" s="78">
        <v>100</v>
      </c>
      <c r="CP22" s="78">
        <v>100</v>
      </c>
      <c r="CQ22" s="78">
        <v>100</v>
      </c>
      <c r="CR22" s="78">
        <v>100</v>
      </c>
      <c r="CS22" s="78">
        <v>100</v>
      </c>
      <c r="CT22" s="78">
        <v>100</v>
      </c>
      <c r="CU22" s="78">
        <v>100</v>
      </c>
      <c r="CV22" s="78">
        <v>100</v>
      </c>
      <c r="CW22" s="78">
        <v>100</v>
      </c>
      <c r="CX22" s="79">
        <v>100</v>
      </c>
      <c r="CY22" s="79">
        <v>100</v>
      </c>
      <c r="CZ22" s="79">
        <v>100</v>
      </c>
      <c r="DA22" s="79">
        <v>100</v>
      </c>
      <c r="DB22" s="79">
        <v>100</v>
      </c>
      <c r="DC22" s="79">
        <v>100</v>
      </c>
      <c r="DD22" s="78">
        <v>100</v>
      </c>
      <c r="DE22" s="78">
        <v>100</v>
      </c>
      <c r="DF22" s="78">
        <v>100</v>
      </c>
      <c r="DG22" s="78">
        <v>100</v>
      </c>
      <c r="DH22" s="78">
        <v>100</v>
      </c>
      <c r="DI22" s="78">
        <v>100</v>
      </c>
      <c r="DJ22" s="78">
        <v>100</v>
      </c>
      <c r="DK22" s="78">
        <v>100</v>
      </c>
      <c r="DL22" s="78">
        <v>100</v>
      </c>
      <c r="DM22" s="78">
        <v>100</v>
      </c>
      <c r="DN22" s="78">
        <v>100</v>
      </c>
      <c r="DO22" s="78">
        <v>100</v>
      </c>
      <c r="DP22" s="78">
        <v>100</v>
      </c>
      <c r="DQ22" s="78">
        <v>100</v>
      </c>
      <c r="DR22" s="78">
        <v>100</v>
      </c>
      <c r="DS22" s="78">
        <v>100</v>
      </c>
      <c r="DT22" s="78">
        <v>100</v>
      </c>
      <c r="DU22" s="78">
        <v>100</v>
      </c>
      <c r="DV22" s="78">
        <v>100</v>
      </c>
      <c r="DW22" s="78">
        <v>100</v>
      </c>
      <c r="DX22" s="78">
        <v>100</v>
      </c>
      <c r="DY22" s="78">
        <v>100</v>
      </c>
      <c r="DZ22" s="78">
        <v>100</v>
      </c>
      <c r="EA22" s="78">
        <v>100</v>
      </c>
      <c r="EB22" s="78">
        <v>100</v>
      </c>
      <c r="EC22" s="78">
        <v>100</v>
      </c>
      <c r="ED22" s="78">
        <v>100</v>
      </c>
      <c r="EE22" s="78">
        <v>100</v>
      </c>
      <c r="EF22" s="78">
        <v>100</v>
      </c>
      <c r="EG22" s="78">
        <v>100</v>
      </c>
      <c r="EH22" s="78">
        <v>100</v>
      </c>
      <c r="EI22" s="78">
        <v>100</v>
      </c>
      <c r="EJ22" s="78">
        <v>100</v>
      </c>
      <c r="EK22" s="78">
        <v>100</v>
      </c>
      <c r="EL22" s="78">
        <v>100</v>
      </c>
      <c r="EM22" s="78">
        <v>100</v>
      </c>
      <c r="EN22" s="78">
        <v>100</v>
      </c>
      <c r="EO22" s="78">
        <v>100</v>
      </c>
      <c r="EP22" s="78">
        <v>100</v>
      </c>
      <c r="EQ22" s="78">
        <v>100</v>
      </c>
      <c r="ER22" s="78">
        <v>100</v>
      </c>
      <c r="ES22" s="78">
        <v>100</v>
      </c>
      <c r="ET22" s="78">
        <v>100</v>
      </c>
      <c r="EU22" s="78">
        <v>100</v>
      </c>
      <c r="EV22" s="78">
        <v>100</v>
      </c>
      <c r="EW22" s="66">
        <v>100</v>
      </c>
      <c r="EX22" s="66">
        <v>100</v>
      </c>
      <c r="EY22" s="88">
        <v>100</v>
      </c>
      <c r="EZ22" s="88">
        <v>100</v>
      </c>
      <c r="FA22" s="88">
        <v>100</v>
      </c>
      <c r="FB22" s="88">
        <v>100</v>
      </c>
      <c r="FC22" s="66">
        <v>100</v>
      </c>
      <c r="FD22" s="66">
        <v>100</v>
      </c>
      <c r="FE22" s="66">
        <v>100</v>
      </c>
      <c r="FF22" s="66">
        <v>100</v>
      </c>
      <c r="FG22" s="66">
        <v>100</v>
      </c>
      <c r="FH22" s="66">
        <v>100</v>
      </c>
      <c r="FI22" s="66">
        <v>100</v>
      </c>
      <c r="FJ22" s="66">
        <v>100</v>
      </c>
      <c r="FK22" s="66">
        <v>100</v>
      </c>
      <c r="FL22" s="66">
        <v>100</v>
      </c>
      <c r="FM22" s="66">
        <v>100</v>
      </c>
      <c r="FN22" s="66">
        <v>100</v>
      </c>
      <c r="FO22" s="66">
        <v>100</v>
      </c>
      <c r="FP22" s="66">
        <v>100</v>
      </c>
      <c r="FQ22" s="66">
        <v>100</v>
      </c>
      <c r="FR22" s="66">
        <v>100</v>
      </c>
      <c r="FS22" s="66">
        <v>100</v>
      </c>
      <c r="FT22" s="66">
        <v>100</v>
      </c>
      <c r="FU22" s="66">
        <v>100</v>
      </c>
      <c r="FV22" s="66">
        <v>100</v>
      </c>
      <c r="FW22" s="66">
        <v>100</v>
      </c>
      <c r="FX22" s="67">
        <v>100</v>
      </c>
      <c r="FY22" s="67">
        <v>100</v>
      </c>
      <c r="FZ22" s="67">
        <v>100</v>
      </c>
      <c r="GA22" s="67">
        <v>100</v>
      </c>
      <c r="GB22" s="67">
        <v>100</v>
      </c>
      <c r="GC22" s="67">
        <v>100</v>
      </c>
      <c r="GD22" s="67">
        <v>100</v>
      </c>
      <c r="GE22" s="67">
        <v>100</v>
      </c>
      <c r="GF22" s="67">
        <v>100</v>
      </c>
      <c r="GG22" s="67">
        <v>100</v>
      </c>
      <c r="GH22" s="67">
        <v>100</v>
      </c>
      <c r="GI22" s="67">
        <v>100</v>
      </c>
      <c r="GJ22" s="67">
        <v>100</v>
      </c>
      <c r="GK22" s="67">
        <v>100</v>
      </c>
      <c r="GL22" s="67">
        <v>100</v>
      </c>
      <c r="GM22" s="67">
        <v>100</v>
      </c>
      <c r="GN22" s="67">
        <v>100</v>
      </c>
      <c r="GO22" s="67">
        <v>100</v>
      </c>
      <c r="GP22" s="67">
        <v>100</v>
      </c>
      <c r="GQ22" s="67">
        <v>100</v>
      </c>
      <c r="GR22" s="67">
        <v>100</v>
      </c>
      <c r="GS22" s="67">
        <v>100</v>
      </c>
      <c r="GT22" s="67">
        <v>100</v>
      </c>
      <c r="GU22" s="67">
        <v>100</v>
      </c>
      <c r="GV22" s="67">
        <v>100</v>
      </c>
      <c r="GW22" s="67">
        <v>100</v>
      </c>
      <c r="GX22" s="67">
        <v>100</v>
      </c>
      <c r="GY22" s="67">
        <v>100</v>
      </c>
      <c r="GZ22" s="67">
        <v>100</v>
      </c>
      <c r="HA22" s="67">
        <v>100</v>
      </c>
      <c r="HB22" s="67">
        <v>100</v>
      </c>
      <c r="HC22" s="67">
        <v>100</v>
      </c>
      <c r="HD22" s="67">
        <v>100</v>
      </c>
      <c r="HE22" s="67">
        <v>100</v>
      </c>
      <c r="HF22" s="67">
        <v>100</v>
      </c>
      <c r="HG22" s="67">
        <v>100</v>
      </c>
      <c r="HH22" s="67">
        <v>100</v>
      </c>
      <c r="HI22" s="67">
        <v>100</v>
      </c>
      <c r="HJ22" s="67">
        <v>100</v>
      </c>
      <c r="HK22" s="67">
        <v>100</v>
      </c>
      <c r="HL22" s="67">
        <v>100</v>
      </c>
      <c r="HM22" s="67">
        <v>100</v>
      </c>
      <c r="HN22" s="67">
        <v>100</v>
      </c>
      <c r="HO22" s="67">
        <v>100</v>
      </c>
      <c r="HP22" s="67">
        <v>100</v>
      </c>
      <c r="HQ22" s="68">
        <v>100</v>
      </c>
      <c r="HR22" s="68">
        <v>100</v>
      </c>
      <c r="HS22" s="68">
        <v>100</v>
      </c>
      <c r="HT22" s="67">
        <v>100</v>
      </c>
      <c r="HU22" s="67">
        <v>100</v>
      </c>
      <c r="HV22" s="67">
        <v>100</v>
      </c>
      <c r="HW22" s="67">
        <v>100</v>
      </c>
      <c r="HX22" s="67">
        <v>100</v>
      </c>
      <c r="HY22" s="67">
        <v>100</v>
      </c>
      <c r="HZ22" s="67">
        <v>100</v>
      </c>
      <c r="IA22" s="67">
        <v>100</v>
      </c>
      <c r="IB22" s="67">
        <v>100</v>
      </c>
      <c r="IC22" s="68">
        <v>100</v>
      </c>
      <c r="ID22" s="68">
        <v>100</v>
      </c>
      <c r="IE22" s="68">
        <v>100</v>
      </c>
      <c r="IF22" s="67">
        <v>100</v>
      </c>
      <c r="IG22" s="67">
        <v>100</v>
      </c>
      <c r="IH22" s="67">
        <v>100</v>
      </c>
      <c r="II22" s="14">
        <v>100</v>
      </c>
      <c r="IJ22" s="14">
        <v>100</v>
      </c>
      <c r="IK22" s="14">
        <v>100</v>
      </c>
      <c r="IL22" s="16" t="s">
        <v>126</v>
      </c>
      <c r="IM22" s="16" t="s">
        <v>126</v>
      </c>
      <c r="IN22" s="16" t="s">
        <v>126</v>
      </c>
      <c r="IO22" s="16" t="s">
        <v>126</v>
      </c>
      <c r="IP22" s="16" t="s">
        <v>126</v>
      </c>
      <c r="IQ22" s="16" t="s">
        <v>126</v>
      </c>
      <c r="IR22" s="16" t="s">
        <v>126</v>
      </c>
      <c r="IS22" s="59">
        <f t="shared" si="1"/>
        <v>0</v>
      </c>
      <c r="IT22" s="186"/>
      <c r="IU22" s="18"/>
      <c r="IV22" s="21"/>
      <c r="IW22" s="21"/>
      <c r="IX22" s="18"/>
      <c r="IY22" s="18"/>
      <c r="IZ22" s="18"/>
      <c r="JA22" s="18"/>
      <c r="JB22" s="18"/>
      <c r="JC22" s="18"/>
      <c r="JD22" s="18"/>
      <c r="JE22" s="18"/>
      <c r="JF22" s="18"/>
      <c r="JG22" s="18"/>
      <c r="JH22" s="18"/>
      <c r="JI22" s="18"/>
      <c r="JJ22" s="18"/>
      <c r="JK22" s="18"/>
      <c r="JL22" s="18"/>
      <c r="JM22" s="18"/>
    </row>
    <row r="23" spans="1:273" ht="13.5" customHeight="1">
      <c r="A23" s="97">
        <v>19</v>
      </c>
      <c r="B23" s="77" t="s">
        <v>168</v>
      </c>
      <c r="C23" s="5">
        <v>1600</v>
      </c>
      <c r="D23" s="5">
        <v>1600</v>
      </c>
      <c r="E23" s="5">
        <v>1900</v>
      </c>
      <c r="F23" s="31" t="s">
        <v>126</v>
      </c>
      <c r="G23" s="31" t="s">
        <v>126</v>
      </c>
      <c r="H23" s="31" t="s">
        <v>126</v>
      </c>
      <c r="I23" s="78">
        <v>100</v>
      </c>
      <c r="J23" s="78">
        <v>100</v>
      </c>
      <c r="K23" s="78">
        <v>100</v>
      </c>
      <c r="L23" s="78">
        <v>100</v>
      </c>
      <c r="M23" s="78">
        <v>100</v>
      </c>
      <c r="N23" s="78">
        <v>100</v>
      </c>
      <c r="O23" s="78">
        <v>100</v>
      </c>
      <c r="P23" s="78">
        <v>100</v>
      </c>
      <c r="Q23" s="78">
        <v>100</v>
      </c>
      <c r="R23" s="78">
        <v>100</v>
      </c>
      <c r="S23" s="78">
        <v>100</v>
      </c>
      <c r="T23" s="78">
        <v>100</v>
      </c>
      <c r="U23" s="78">
        <v>100</v>
      </c>
      <c r="V23" s="78">
        <v>100</v>
      </c>
      <c r="W23" s="78">
        <v>100</v>
      </c>
      <c r="X23" s="78">
        <v>100</v>
      </c>
      <c r="Y23" s="78">
        <v>100</v>
      </c>
      <c r="Z23" s="78">
        <v>100</v>
      </c>
      <c r="AA23" s="78">
        <v>100</v>
      </c>
      <c r="AB23" s="78">
        <v>100</v>
      </c>
      <c r="AC23" s="78">
        <v>100</v>
      </c>
      <c r="AD23" s="78">
        <v>100</v>
      </c>
      <c r="AE23" s="78">
        <v>100</v>
      </c>
      <c r="AF23" s="78">
        <v>100</v>
      </c>
      <c r="AG23" s="78">
        <v>100</v>
      </c>
      <c r="AH23" s="78">
        <v>100</v>
      </c>
      <c r="AI23" s="78">
        <v>100</v>
      </c>
      <c r="AJ23" s="78">
        <v>100</v>
      </c>
      <c r="AK23" s="78">
        <v>100</v>
      </c>
      <c r="AL23" s="78">
        <v>100</v>
      </c>
      <c r="AM23" s="78">
        <v>100</v>
      </c>
      <c r="AN23" s="78">
        <v>100</v>
      </c>
      <c r="AO23" s="78">
        <v>100</v>
      </c>
      <c r="AP23" s="78">
        <v>100</v>
      </c>
      <c r="AQ23" s="78">
        <v>100</v>
      </c>
      <c r="AR23" s="78">
        <v>100</v>
      </c>
      <c r="AS23" s="78">
        <v>100</v>
      </c>
      <c r="AT23" s="78">
        <v>100</v>
      </c>
      <c r="AU23" s="78">
        <v>100</v>
      </c>
      <c r="AV23" s="78">
        <v>100</v>
      </c>
      <c r="AW23" s="78">
        <v>100</v>
      </c>
      <c r="AX23" s="78">
        <v>100</v>
      </c>
      <c r="AY23" s="78">
        <v>100</v>
      </c>
      <c r="AZ23" s="78">
        <v>100</v>
      </c>
      <c r="BA23" s="78">
        <v>100</v>
      </c>
      <c r="BB23" s="78">
        <v>100</v>
      </c>
      <c r="BC23" s="78">
        <v>100</v>
      </c>
      <c r="BD23" s="78">
        <v>100</v>
      </c>
      <c r="BE23" s="78">
        <v>100</v>
      </c>
      <c r="BF23" s="78">
        <v>100</v>
      </c>
      <c r="BG23" s="78">
        <v>100</v>
      </c>
      <c r="BH23" s="78">
        <v>100</v>
      </c>
      <c r="BI23" s="78">
        <v>100</v>
      </c>
      <c r="BJ23" s="78">
        <v>100</v>
      </c>
      <c r="BK23" s="78">
        <v>100</v>
      </c>
      <c r="BL23" s="78">
        <v>100</v>
      </c>
      <c r="BM23" s="78">
        <v>100</v>
      </c>
      <c r="BN23" s="78">
        <v>100</v>
      </c>
      <c r="BO23" s="78">
        <v>100</v>
      </c>
      <c r="BP23" s="78">
        <v>100</v>
      </c>
      <c r="BQ23" s="78">
        <v>100</v>
      </c>
      <c r="BR23" s="78">
        <v>100</v>
      </c>
      <c r="BS23" s="78">
        <v>100</v>
      </c>
      <c r="BT23" s="78">
        <v>100</v>
      </c>
      <c r="BU23" s="78">
        <v>100</v>
      </c>
      <c r="BV23" s="78">
        <v>100</v>
      </c>
      <c r="BW23" s="78">
        <v>100</v>
      </c>
      <c r="BX23" s="78">
        <v>100</v>
      </c>
      <c r="BY23" s="78">
        <v>100</v>
      </c>
      <c r="BZ23" s="78">
        <v>100</v>
      </c>
      <c r="CA23" s="78">
        <v>100</v>
      </c>
      <c r="CB23" s="78">
        <v>100</v>
      </c>
      <c r="CC23" s="78">
        <v>100</v>
      </c>
      <c r="CD23" s="78">
        <v>100</v>
      </c>
      <c r="CE23" s="78">
        <v>100</v>
      </c>
      <c r="CF23" s="78">
        <v>100</v>
      </c>
      <c r="CG23" s="78">
        <v>100</v>
      </c>
      <c r="CH23" s="78">
        <v>100</v>
      </c>
      <c r="CI23" s="78">
        <v>100</v>
      </c>
      <c r="CJ23" s="78">
        <v>100</v>
      </c>
      <c r="CK23" s="78">
        <v>100</v>
      </c>
      <c r="CL23" s="78">
        <v>100</v>
      </c>
      <c r="CM23" s="78">
        <v>100</v>
      </c>
      <c r="CN23" s="78">
        <v>100</v>
      </c>
      <c r="CO23" s="78">
        <v>100</v>
      </c>
      <c r="CP23" s="78">
        <v>100</v>
      </c>
      <c r="CQ23" s="78">
        <v>100</v>
      </c>
      <c r="CR23" s="78">
        <v>100</v>
      </c>
      <c r="CS23" s="78">
        <v>100</v>
      </c>
      <c r="CT23" s="78">
        <v>100</v>
      </c>
      <c r="CU23" s="78">
        <v>100</v>
      </c>
      <c r="CV23" s="78">
        <v>100</v>
      </c>
      <c r="CW23" s="78">
        <v>100</v>
      </c>
      <c r="CX23" s="79">
        <v>100</v>
      </c>
      <c r="CY23" s="79">
        <v>100</v>
      </c>
      <c r="CZ23" s="79">
        <v>100</v>
      </c>
      <c r="DA23" s="79">
        <v>100</v>
      </c>
      <c r="DB23" s="79">
        <v>100</v>
      </c>
      <c r="DC23" s="79">
        <v>100</v>
      </c>
      <c r="DD23" s="78">
        <v>100</v>
      </c>
      <c r="DE23" s="78">
        <v>100</v>
      </c>
      <c r="DF23" s="78">
        <v>100</v>
      </c>
      <c r="DG23" s="78">
        <v>100</v>
      </c>
      <c r="DH23" s="78">
        <v>100</v>
      </c>
      <c r="DI23" s="78">
        <v>100</v>
      </c>
      <c r="DJ23" s="78">
        <v>100</v>
      </c>
      <c r="DK23" s="78">
        <v>100</v>
      </c>
      <c r="DL23" s="78">
        <v>100</v>
      </c>
      <c r="DM23" s="78">
        <v>100</v>
      </c>
      <c r="DN23" s="78">
        <v>100</v>
      </c>
      <c r="DO23" s="78">
        <v>100</v>
      </c>
      <c r="DP23" s="78">
        <v>100</v>
      </c>
      <c r="DQ23" s="78">
        <v>100</v>
      </c>
      <c r="DR23" s="78">
        <v>100</v>
      </c>
      <c r="DS23" s="78">
        <v>100</v>
      </c>
      <c r="DT23" s="78">
        <v>100</v>
      </c>
      <c r="DU23" s="78">
        <v>100</v>
      </c>
      <c r="DV23" s="78">
        <v>100</v>
      </c>
      <c r="DW23" s="78">
        <v>100</v>
      </c>
      <c r="DX23" s="78">
        <v>100</v>
      </c>
      <c r="DY23" s="78">
        <v>100</v>
      </c>
      <c r="DZ23" s="78">
        <v>100</v>
      </c>
      <c r="EA23" s="78">
        <v>100</v>
      </c>
      <c r="EB23" s="78">
        <v>100</v>
      </c>
      <c r="EC23" s="78">
        <v>100</v>
      </c>
      <c r="ED23" s="78">
        <v>100</v>
      </c>
      <c r="EE23" s="78">
        <v>100</v>
      </c>
      <c r="EF23" s="78">
        <v>100</v>
      </c>
      <c r="EG23" s="78">
        <v>100</v>
      </c>
      <c r="EH23" s="78">
        <v>100</v>
      </c>
      <c r="EI23" s="78">
        <v>100</v>
      </c>
      <c r="EJ23" s="78">
        <v>100</v>
      </c>
      <c r="EK23" s="78">
        <v>100</v>
      </c>
      <c r="EL23" s="78">
        <v>100</v>
      </c>
      <c r="EM23" s="78">
        <v>100</v>
      </c>
      <c r="EN23" s="78">
        <v>100</v>
      </c>
      <c r="EO23" s="78">
        <v>100</v>
      </c>
      <c r="EP23" s="78">
        <v>100</v>
      </c>
      <c r="EQ23" s="78">
        <v>100</v>
      </c>
      <c r="ER23" s="78">
        <v>100</v>
      </c>
      <c r="ES23" s="78">
        <v>100</v>
      </c>
      <c r="ET23" s="78">
        <v>100</v>
      </c>
      <c r="EU23" s="78">
        <v>100</v>
      </c>
      <c r="EV23" s="78">
        <v>100</v>
      </c>
      <c r="EW23" s="66">
        <v>100</v>
      </c>
      <c r="EX23" s="66">
        <v>100</v>
      </c>
      <c r="EY23" s="88">
        <v>100</v>
      </c>
      <c r="EZ23" s="88">
        <v>100</v>
      </c>
      <c r="FA23" s="88">
        <v>100</v>
      </c>
      <c r="FB23" s="88">
        <v>100</v>
      </c>
      <c r="FC23" s="66">
        <v>100</v>
      </c>
      <c r="FD23" s="66">
        <v>100</v>
      </c>
      <c r="FE23" s="66">
        <v>100</v>
      </c>
      <c r="FF23" s="66">
        <v>100</v>
      </c>
      <c r="FG23" s="66">
        <v>100</v>
      </c>
      <c r="FH23" s="66">
        <v>100</v>
      </c>
      <c r="FI23" s="66">
        <v>100</v>
      </c>
      <c r="FJ23" s="66">
        <v>100</v>
      </c>
      <c r="FK23" s="66">
        <v>100</v>
      </c>
      <c r="FL23" s="66">
        <v>100</v>
      </c>
      <c r="FM23" s="66">
        <v>100</v>
      </c>
      <c r="FN23" s="66">
        <v>100</v>
      </c>
      <c r="FO23" s="66">
        <v>100</v>
      </c>
      <c r="FP23" s="66">
        <v>100</v>
      </c>
      <c r="FQ23" s="66">
        <v>100</v>
      </c>
      <c r="FR23" s="66">
        <v>100</v>
      </c>
      <c r="FS23" s="66">
        <v>100</v>
      </c>
      <c r="FT23" s="66">
        <v>100</v>
      </c>
      <c r="FU23" s="66">
        <v>100</v>
      </c>
      <c r="FV23" s="66">
        <v>100</v>
      </c>
      <c r="FW23" s="66">
        <v>100</v>
      </c>
      <c r="FX23" s="67">
        <v>100</v>
      </c>
      <c r="FY23" s="67">
        <v>100</v>
      </c>
      <c r="FZ23" s="67">
        <v>100</v>
      </c>
      <c r="GA23" s="67">
        <v>100</v>
      </c>
      <c r="GB23" s="67">
        <v>100</v>
      </c>
      <c r="GC23" s="67">
        <v>100</v>
      </c>
      <c r="GD23" s="67">
        <v>100</v>
      </c>
      <c r="GE23" s="67">
        <v>100</v>
      </c>
      <c r="GF23" s="67">
        <v>100</v>
      </c>
      <c r="GG23" s="67">
        <v>100</v>
      </c>
      <c r="GH23" s="67">
        <v>100</v>
      </c>
      <c r="GI23" s="67">
        <v>100</v>
      </c>
      <c r="GJ23" s="67">
        <v>100</v>
      </c>
      <c r="GK23" s="67">
        <v>100</v>
      </c>
      <c r="GL23" s="67">
        <v>100</v>
      </c>
      <c r="GM23" s="67">
        <v>100</v>
      </c>
      <c r="GN23" s="67">
        <v>100</v>
      </c>
      <c r="GO23" s="67">
        <v>100</v>
      </c>
      <c r="GP23" s="67">
        <v>100</v>
      </c>
      <c r="GQ23" s="67">
        <v>100</v>
      </c>
      <c r="GR23" s="67">
        <v>100</v>
      </c>
      <c r="GS23" s="67">
        <v>100</v>
      </c>
      <c r="GT23" s="67">
        <v>100</v>
      </c>
      <c r="GU23" s="67">
        <v>100</v>
      </c>
      <c r="GV23" s="67">
        <v>100</v>
      </c>
      <c r="GW23" s="67">
        <v>100</v>
      </c>
      <c r="GX23" s="67">
        <v>100</v>
      </c>
      <c r="GY23" s="67">
        <v>100</v>
      </c>
      <c r="GZ23" s="67">
        <v>100</v>
      </c>
      <c r="HA23" s="67">
        <v>100</v>
      </c>
      <c r="HB23" s="67">
        <v>100</v>
      </c>
      <c r="HC23" s="67">
        <v>100</v>
      </c>
      <c r="HD23" s="67">
        <v>100</v>
      </c>
      <c r="HE23" s="67">
        <v>100</v>
      </c>
      <c r="HF23" s="67">
        <v>100</v>
      </c>
      <c r="HG23" s="67">
        <v>100</v>
      </c>
      <c r="HH23" s="67">
        <v>100</v>
      </c>
      <c r="HI23" s="67">
        <v>100</v>
      </c>
      <c r="HJ23" s="67">
        <v>100</v>
      </c>
      <c r="HK23" s="67">
        <v>100</v>
      </c>
      <c r="HL23" s="67">
        <v>100</v>
      </c>
      <c r="HM23" s="67">
        <v>100</v>
      </c>
      <c r="HN23" s="67">
        <v>100</v>
      </c>
      <c r="HO23" s="67">
        <v>100</v>
      </c>
      <c r="HP23" s="67">
        <v>100</v>
      </c>
      <c r="HQ23" s="68">
        <v>100</v>
      </c>
      <c r="HR23" s="68">
        <v>100</v>
      </c>
      <c r="HS23" s="68">
        <v>100</v>
      </c>
      <c r="HT23" s="67">
        <v>100</v>
      </c>
      <c r="HU23" s="67">
        <v>100</v>
      </c>
      <c r="HV23" s="67">
        <v>100</v>
      </c>
      <c r="HW23" s="67">
        <v>100</v>
      </c>
      <c r="HX23" s="67">
        <v>100</v>
      </c>
      <c r="HY23" s="67">
        <v>100</v>
      </c>
      <c r="HZ23" s="67">
        <v>100</v>
      </c>
      <c r="IA23" s="67">
        <v>100</v>
      </c>
      <c r="IB23" s="67">
        <v>100</v>
      </c>
      <c r="IC23" s="68">
        <v>100</v>
      </c>
      <c r="ID23" s="68">
        <v>100</v>
      </c>
      <c r="IE23" s="68">
        <v>100</v>
      </c>
      <c r="IF23" s="67">
        <v>100</v>
      </c>
      <c r="IG23" s="67">
        <v>100</v>
      </c>
      <c r="IH23" s="67">
        <v>100</v>
      </c>
      <c r="II23" s="14">
        <v>100</v>
      </c>
      <c r="IJ23" s="14">
        <v>100</v>
      </c>
      <c r="IK23" s="14">
        <v>100</v>
      </c>
      <c r="IL23" s="16" t="s">
        <v>126</v>
      </c>
      <c r="IM23" s="16" t="s">
        <v>126</v>
      </c>
      <c r="IN23" s="16" t="s">
        <v>126</v>
      </c>
      <c r="IO23" s="16" t="s">
        <v>126</v>
      </c>
      <c r="IP23" s="16" t="s">
        <v>126</v>
      </c>
      <c r="IQ23" s="16" t="s">
        <v>126</v>
      </c>
      <c r="IR23" s="16" t="s">
        <v>126</v>
      </c>
      <c r="IS23" s="59">
        <f t="shared" si="1"/>
        <v>0</v>
      </c>
      <c r="IT23" s="186"/>
      <c r="IU23" s="18"/>
      <c r="IV23" s="21"/>
      <c r="IW23" s="21"/>
      <c r="IX23" s="18"/>
      <c r="IY23" s="18"/>
      <c r="IZ23" s="18"/>
      <c r="JA23" s="18"/>
      <c r="JB23" s="18"/>
      <c r="JC23" s="18"/>
      <c r="JD23" s="18"/>
      <c r="JE23" s="18"/>
      <c r="JF23" s="18"/>
      <c r="JG23" s="18"/>
      <c r="JH23" s="18"/>
      <c r="JI23" s="18"/>
      <c r="JJ23" s="18"/>
      <c r="JK23" s="18"/>
      <c r="JL23" s="18"/>
      <c r="JM23" s="18"/>
    </row>
    <row r="24" spans="1:273" ht="13.5" customHeight="1">
      <c r="A24" s="97">
        <v>20</v>
      </c>
      <c r="B24" s="77" t="s">
        <v>169</v>
      </c>
      <c r="C24" s="7">
        <v>1300</v>
      </c>
      <c r="D24" s="32">
        <v>1000</v>
      </c>
      <c r="E24" s="32">
        <v>590</v>
      </c>
      <c r="F24" s="31" t="s">
        <v>126</v>
      </c>
      <c r="G24" s="31" t="s">
        <v>126</v>
      </c>
      <c r="H24" s="31" t="s">
        <v>126</v>
      </c>
      <c r="I24" s="78">
        <v>100</v>
      </c>
      <c r="J24" s="78">
        <v>100</v>
      </c>
      <c r="K24" s="78">
        <v>100</v>
      </c>
      <c r="L24" s="78">
        <v>100</v>
      </c>
      <c r="M24" s="78">
        <v>100</v>
      </c>
      <c r="N24" s="78">
        <v>100</v>
      </c>
      <c r="O24" s="78">
        <v>100</v>
      </c>
      <c r="P24" s="78">
        <v>100</v>
      </c>
      <c r="Q24" s="78">
        <v>100</v>
      </c>
      <c r="R24" s="78">
        <v>100</v>
      </c>
      <c r="S24" s="78">
        <v>100</v>
      </c>
      <c r="T24" s="78">
        <v>100</v>
      </c>
      <c r="U24" s="78">
        <v>100</v>
      </c>
      <c r="V24" s="78">
        <v>100</v>
      </c>
      <c r="W24" s="78">
        <v>100</v>
      </c>
      <c r="X24" s="78">
        <v>100</v>
      </c>
      <c r="Y24" s="78">
        <v>100</v>
      </c>
      <c r="Z24" s="78">
        <v>100</v>
      </c>
      <c r="AA24" s="78">
        <v>100</v>
      </c>
      <c r="AB24" s="78">
        <v>100</v>
      </c>
      <c r="AC24" s="78">
        <v>100</v>
      </c>
      <c r="AD24" s="78">
        <v>100</v>
      </c>
      <c r="AE24" s="78">
        <v>100</v>
      </c>
      <c r="AF24" s="78">
        <v>100</v>
      </c>
      <c r="AG24" s="78">
        <v>100</v>
      </c>
      <c r="AH24" s="78">
        <v>100</v>
      </c>
      <c r="AI24" s="78">
        <v>100</v>
      </c>
      <c r="AJ24" s="78">
        <v>100</v>
      </c>
      <c r="AK24" s="78">
        <v>100</v>
      </c>
      <c r="AL24" s="78">
        <v>100</v>
      </c>
      <c r="AM24" s="78">
        <v>100</v>
      </c>
      <c r="AN24" s="78">
        <v>100</v>
      </c>
      <c r="AO24" s="78">
        <v>100</v>
      </c>
      <c r="AP24" s="78">
        <v>100</v>
      </c>
      <c r="AQ24" s="78">
        <v>100</v>
      </c>
      <c r="AR24" s="78">
        <v>100</v>
      </c>
      <c r="AS24" s="78">
        <v>100</v>
      </c>
      <c r="AT24" s="78">
        <v>100</v>
      </c>
      <c r="AU24" s="78">
        <v>100</v>
      </c>
      <c r="AV24" s="78">
        <v>100</v>
      </c>
      <c r="AW24" s="78">
        <v>100</v>
      </c>
      <c r="AX24" s="78">
        <v>100</v>
      </c>
      <c r="AY24" s="78">
        <v>100</v>
      </c>
      <c r="AZ24" s="78">
        <v>100</v>
      </c>
      <c r="BA24" s="78">
        <v>100</v>
      </c>
      <c r="BB24" s="78">
        <v>100</v>
      </c>
      <c r="BC24" s="78">
        <v>100</v>
      </c>
      <c r="BD24" s="78">
        <v>100</v>
      </c>
      <c r="BE24" s="78">
        <v>100</v>
      </c>
      <c r="BF24" s="78">
        <v>100</v>
      </c>
      <c r="BG24" s="78">
        <v>100</v>
      </c>
      <c r="BH24" s="78">
        <v>100</v>
      </c>
      <c r="BI24" s="78">
        <v>100</v>
      </c>
      <c r="BJ24" s="78">
        <v>100</v>
      </c>
      <c r="BK24" s="78">
        <v>100</v>
      </c>
      <c r="BL24" s="78">
        <v>100</v>
      </c>
      <c r="BM24" s="78">
        <v>100</v>
      </c>
      <c r="BN24" s="78">
        <v>100</v>
      </c>
      <c r="BO24" s="78">
        <v>100</v>
      </c>
      <c r="BP24" s="78">
        <v>100</v>
      </c>
      <c r="BQ24" s="78">
        <v>100</v>
      </c>
      <c r="BR24" s="78">
        <v>100</v>
      </c>
      <c r="BS24" s="78">
        <v>100</v>
      </c>
      <c r="BT24" s="78">
        <v>100</v>
      </c>
      <c r="BU24" s="78">
        <v>100</v>
      </c>
      <c r="BV24" s="78">
        <v>100</v>
      </c>
      <c r="BW24" s="78">
        <v>100</v>
      </c>
      <c r="BX24" s="78">
        <v>100</v>
      </c>
      <c r="BY24" s="78">
        <v>100</v>
      </c>
      <c r="BZ24" s="78">
        <v>100</v>
      </c>
      <c r="CA24" s="78">
        <v>100</v>
      </c>
      <c r="CB24" s="78">
        <v>100</v>
      </c>
      <c r="CC24" s="78">
        <v>100</v>
      </c>
      <c r="CD24" s="78">
        <v>100</v>
      </c>
      <c r="CE24" s="78">
        <v>100</v>
      </c>
      <c r="CF24" s="78">
        <v>100</v>
      </c>
      <c r="CG24" s="78">
        <v>100</v>
      </c>
      <c r="CH24" s="78">
        <v>100</v>
      </c>
      <c r="CI24" s="78">
        <v>100</v>
      </c>
      <c r="CJ24" s="78">
        <v>100</v>
      </c>
      <c r="CK24" s="78">
        <v>100</v>
      </c>
      <c r="CL24" s="78">
        <v>100</v>
      </c>
      <c r="CM24" s="78">
        <v>100</v>
      </c>
      <c r="CN24" s="78">
        <v>100</v>
      </c>
      <c r="CO24" s="78">
        <v>100</v>
      </c>
      <c r="CP24" s="78">
        <v>100</v>
      </c>
      <c r="CQ24" s="78">
        <v>100</v>
      </c>
      <c r="CR24" s="78">
        <v>100</v>
      </c>
      <c r="CS24" s="78">
        <v>100</v>
      </c>
      <c r="CT24" s="78">
        <v>100</v>
      </c>
      <c r="CU24" s="78">
        <v>100</v>
      </c>
      <c r="CV24" s="78">
        <v>100</v>
      </c>
      <c r="CW24" s="78">
        <v>100</v>
      </c>
      <c r="CX24" s="79">
        <v>100</v>
      </c>
      <c r="CY24" s="79">
        <v>100</v>
      </c>
      <c r="CZ24" s="79">
        <v>100</v>
      </c>
      <c r="DA24" s="79">
        <v>100</v>
      </c>
      <c r="DB24" s="79">
        <v>100</v>
      </c>
      <c r="DC24" s="79">
        <v>100</v>
      </c>
      <c r="DD24" s="78">
        <v>100</v>
      </c>
      <c r="DE24" s="78">
        <v>100</v>
      </c>
      <c r="DF24" s="78">
        <v>100</v>
      </c>
      <c r="DG24" s="78">
        <v>100</v>
      </c>
      <c r="DH24" s="78">
        <v>100</v>
      </c>
      <c r="DI24" s="78">
        <v>100</v>
      </c>
      <c r="DJ24" s="78">
        <v>100</v>
      </c>
      <c r="DK24" s="78">
        <v>100</v>
      </c>
      <c r="DL24" s="78">
        <v>100</v>
      </c>
      <c r="DM24" s="78">
        <v>100</v>
      </c>
      <c r="DN24" s="78">
        <v>100</v>
      </c>
      <c r="DO24" s="78">
        <v>100</v>
      </c>
      <c r="DP24" s="78">
        <v>100</v>
      </c>
      <c r="DQ24" s="78">
        <v>100</v>
      </c>
      <c r="DR24" s="78">
        <v>100</v>
      </c>
      <c r="DS24" s="78">
        <v>100</v>
      </c>
      <c r="DT24" s="78">
        <v>100</v>
      </c>
      <c r="DU24" s="78">
        <v>100</v>
      </c>
      <c r="DV24" s="78">
        <v>100</v>
      </c>
      <c r="DW24" s="78">
        <v>100</v>
      </c>
      <c r="DX24" s="78">
        <v>100</v>
      </c>
      <c r="DY24" s="78">
        <v>100</v>
      </c>
      <c r="DZ24" s="78">
        <v>100</v>
      </c>
      <c r="EA24" s="78">
        <v>100</v>
      </c>
      <c r="EB24" s="78">
        <v>100</v>
      </c>
      <c r="EC24" s="78">
        <v>100</v>
      </c>
      <c r="ED24" s="78">
        <v>100</v>
      </c>
      <c r="EE24" s="78">
        <v>100</v>
      </c>
      <c r="EF24" s="78">
        <v>100</v>
      </c>
      <c r="EG24" s="78">
        <v>100</v>
      </c>
      <c r="EH24" s="78">
        <v>100</v>
      </c>
      <c r="EI24" s="78">
        <v>100</v>
      </c>
      <c r="EJ24" s="78">
        <v>100</v>
      </c>
      <c r="EK24" s="78">
        <v>100</v>
      </c>
      <c r="EL24" s="78">
        <v>100</v>
      </c>
      <c r="EM24" s="78">
        <v>100</v>
      </c>
      <c r="EN24" s="78">
        <v>100</v>
      </c>
      <c r="EO24" s="78">
        <v>100</v>
      </c>
      <c r="EP24" s="78">
        <v>100</v>
      </c>
      <c r="EQ24" s="78">
        <v>100</v>
      </c>
      <c r="ER24" s="78">
        <v>100</v>
      </c>
      <c r="ES24" s="78">
        <v>100</v>
      </c>
      <c r="ET24" s="78">
        <v>100</v>
      </c>
      <c r="EU24" s="78">
        <v>100</v>
      </c>
      <c r="EV24" s="78">
        <v>100</v>
      </c>
      <c r="EW24" s="66">
        <v>100</v>
      </c>
      <c r="EX24" s="66">
        <v>100</v>
      </c>
      <c r="EY24" s="88">
        <v>100</v>
      </c>
      <c r="EZ24" s="88">
        <v>100</v>
      </c>
      <c r="FA24" s="88">
        <v>100</v>
      </c>
      <c r="FB24" s="88">
        <v>100</v>
      </c>
      <c r="FC24" s="66">
        <v>100</v>
      </c>
      <c r="FD24" s="66">
        <v>100</v>
      </c>
      <c r="FE24" s="66">
        <v>100</v>
      </c>
      <c r="FF24" s="66">
        <v>100</v>
      </c>
      <c r="FG24" s="66">
        <v>100</v>
      </c>
      <c r="FH24" s="66">
        <v>100</v>
      </c>
      <c r="FI24" s="66">
        <v>100</v>
      </c>
      <c r="FJ24" s="66">
        <v>100</v>
      </c>
      <c r="FK24" s="66">
        <v>100</v>
      </c>
      <c r="FL24" s="66">
        <v>100</v>
      </c>
      <c r="FM24" s="66">
        <v>100</v>
      </c>
      <c r="FN24" s="66">
        <v>100</v>
      </c>
      <c r="FO24" s="66">
        <v>100</v>
      </c>
      <c r="FP24" s="66">
        <v>100</v>
      </c>
      <c r="FQ24" s="66">
        <v>100</v>
      </c>
      <c r="FR24" s="66">
        <v>100</v>
      </c>
      <c r="FS24" s="66">
        <v>100</v>
      </c>
      <c r="FT24" s="66">
        <v>100</v>
      </c>
      <c r="FU24" s="66">
        <v>100</v>
      </c>
      <c r="FV24" s="66">
        <v>100</v>
      </c>
      <c r="FW24" s="66">
        <v>100</v>
      </c>
      <c r="FX24" s="67">
        <v>100</v>
      </c>
      <c r="FY24" s="67">
        <v>100</v>
      </c>
      <c r="FZ24" s="67">
        <v>100</v>
      </c>
      <c r="GA24" s="67">
        <v>100</v>
      </c>
      <c r="GB24" s="67">
        <v>100</v>
      </c>
      <c r="GC24" s="67">
        <v>100</v>
      </c>
      <c r="GD24" s="67">
        <v>100</v>
      </c>
      <c r="GE24" s="67">
        <v>100</v>
      </c>
      <c r="GF24" s="67">
        <v>100</v>
      </c>
      <c r="GG24" s="67">
        <v>100</v>
      </c>
      <c r="GH24" s="67">
        <v>100</v>
      </c>
      <c r="GI24" s="67">
        <v>100</v>
      </c>
      <c r="GJ24" s="67">
        <v>100</v>
      </c>
      <c r="GK24" s="67">
        <v>100</v>
      </c>
      <c r="GL24" s="67">
        <v>100</v>
      </c>
      <c r="GM24" s="67">
        <v>100</v>
      </c>
      <c r="GN24" s="67">
        <v>100</v>
      </c>
      <c r="GO24" s="67">
        <v>100</v>
      </c>
      <c r="GP24" s="67">
        <v>100</v>
      </c>
      <c r="GQ24" s="67">
        <v>100</v>
      </c>
      <c r="GR24" s="67">
        <v>100</v>
      </c>
      <c r="GS24" s="67">
        <v>100</v>
      </c>
      <c r="GT24" s="67">
        <v>100</v>
      </c>
      <c r="GU24" s="67">
        <v>100</v>
      </c>
      <c r="GV24" s="67">
        <v>100</v>
      </c>
      <c r="GW24" s="67">
        <v>100</v>
      </c>
      <c r="GX24" s="67">
        <v>100</v>
      </c>
      <c r="GY24" s="67">
        <v>100</v>
      </c>
      <c r="GZ24" s="67">
        <v>100</v>
      </c>
      <c r="HA24" s="67">
        <v>100</v>
      </c>
      <c r="HB24" s="67">
        <v>100</v>
      </c>
      <c r="HC24" s="67">
        <v>100</v>
      </c>
      <c r="HD24" s="67">
        <v>100</v>
      </c>
      <c r="HE24" s="67">
        <v>100</v>
      </c>
      <c r="HF24" s="67">
        <v>100</v>
      </c>
      <c r="HG24" s="67">
        <v>100</v>
      </c>
      <c r="HH24" s="67">
        <v>100</v>
      </c>
      <c r="HI24" s="67">
        <v>100</v>
      </c>
      <c r="HJ24" s="67">
        <v>100</v>
      </c>
      <c r="HK24" s="67">
        <v>100</v>
      </c>
      <c r="HL24" s="67">
        <v>100</v>
      </c>
      <c r="HM24" s="67">
        <v>100</v>
      </c>
      <c r="HN24" s="67">
        <v>100</v>
      </c>
      <c r="HO24" s="67">
        <v>100</v>
      </c>
      <c r="HP24" s="67">
        <v>100</v>
      </c>
      <c r="HQ24" s="68">
        <v>100</v>
      </c>
      <c r="HR24" s="68">
        <v>100</v>
      </c>
      <c r="HS24" s="68">
        <v>100</v>
      </c>
      <c r="HT24" s="67">
        <v>100</v>
      </c>
      <c r="HU24" s="67">
        <v>100</v>
      </c>
      <c r="HV24" s="67">
        <v>100</v>
      </c>
      <c r="HW24" s="67">
        <v>100</v>
      </c>
      <c r="HX24" s="67">
        <v>100</v>
      </c>
      <c r="HY24" s="67">
        <v>100</v>
      </c>
      <c r="HZ24" s="67">
        <v>100</v>
      </c>
      <c r="IA24" s="67">
        <v>100</v>
      </c>
      <c r="IB24" s="67">
        <v>100</v>
      </c>
      <c r="IC24" s="68">
        <v>100</v>
      </c>
      <c r="ID24" s="68">
        <v>100</v>
      </c>
      <c r="IE24" s="68">
        <v>100</v>
      </c>
      <c r="IF24" s="67">
        <v>100</v>
      </c>
      <c r="IG24" s="67">
        <v>100</v>
      </c>
      <c r="IH24" s="67">
        <v>100</v>
      </c>
      <c r="II24" s="14">
        <v>100</v>
      </c>
      <c r="IJ24" s="14">
        <v>100</v>
      </c>
      <c r="IK24" s="14">
        <v>100</v>
      </c>
      <c r="IL24" s="16" t="s">
        <v>126</v>
      </c>
      <c r="IM24" s="16" t="s">
        <v>126</v>
      </c>
      <c r="IN24" s="16" t="s">
        <v>126</v>
      </c>
      <c r="IO24" s="16" t="s">
        <v>126</v>
      </c>
      <c r="IP24" s="16" t="s">
        <v>126</v>
      </c>
      <c r="IQ24" s="16" t="s">
        <v>126</v>
      </c>
      <c r="IR24" s="16" t="s">
        <v>126</v>
      </c>
      <c r="IS24" s="59">
        <f t="shared" si="1"/>
        <v>0</v>
      </c>
      <c r="IT24" s="186"/>
      <c r="IU24" s="18"/>
      <c r="IV24" s="21"/>
      <c r="IW24" s="21"/>
      <c r="IX24" s="18"/>
      <c r="IY24" s="18"/>
      <c r="IZ24" s="18"/>
      <c r="JA24" s="18"/>
      <c r="JB24" s="18"/>
      <c r="JC24" s="18"/>
      <c r="JD24" s="18"/>
      <c r="JE24" s="18"/>
      <c r="JF24" s="18"/>
      <c r="JG24" s="18"/>
      <c r="JH24" s="18"/>
      <c r="JI24" s="18"/>
      <c r="JJ24" s="18"/>
      <c r="JK24" s="18"/>
      <c r="JL24" s="18"/>
      <c r="JM24" s="18"/>
    </row>
    <row r="25" spans="1:273" ht="13.5" customHeight="1">
      <c r="A25" s="97">
        <v>21</v>
      </c>
      <c r="B25" s="77" t="s">
        <v>170</v>
      </c>
      <c r="C25" s="5">
        <v>2400</v>
      </c>
      <c r="D25" s="5">
        <v>2900</v>
      </c>
      <c r="E25" s="5">
        <v>2400</v>
      </c>
      <c r="F25" s="31" t="s">
        <v>126</v>
      </c>
      <c r="G25" s="31" t="s">
        <v>126</v>
      </c>
      <c r="H25" s="31" t="s">
        <v>126</v>
      </c>
      <c r="I25" s="78">
        <v>100</v>
      </c>
      <c r="J25" s="78">
        <v>100</v>
      </c>
      <c r="K25" s="78">
        <v>100</v>
      </c>
      <c r="L25" s="78">
        <v>100</v>
      </c>
      <c r="M25" s="78">
        <v>100</v>
      </c>
      <c r="N25" s="78">
        <v>100</v>
      </c>
      <c r="O25" s="78">
        <v>100</v>
      </c>
      <c r="P25" s="78">
        <v>100</v>
      </c>
      <c r="Q25" s="78">
        <v>100</v>
      </c>
      <c r="R25" s="78">
        <v>100</v>
      </c>
      <c r="S25" s="78">
        <v>100</v>
      </c>
      <c r="T25" s="78">
        <v>100</v>
      </c>
      <c r="U25" s="78">
        <v>100</v>
      </c>
      <c r="V25" s="78">
        <v>100</v>
      </c>
      <c r="W25" s="78">
        <v>100</v>
      </c>
      <c r="X25" s="78">
        <v>100</v>
      </c>
      <c r="Y25" s="78">
        <v>100</v>
      </c>
      <c r="Z25" s="78">
        <v>100</v>
      </c>
      <c r="AA25" s="78">
        <v>100</v>
      </c>
      <c r="AB25" s="78">
        <v>100</v>
      </c>
      <c r="AC25" s="78">
        <v>100</v>
      </c>
      <c r="AD25" s="78">
        <v>100</v>
      </c>
      <c r="AE25" s="78">
        <v>100</v>
      </c>
      <c r="AF25" s="78">
        <v>100</v>
      </c>
      <c r="AG25" s="78">
        <v>100</v>
      </c>
      <c r="AH25" s="78">
        <v>100</v>
      </c>
      <c r="AI25" s="78">
        <v>100</v>
      </c>
      <c r="AJ25" s="78">
        <v>100</v>
      </c>
      <c r="AK25" s="78">
        <v>100</v>
      </c>
      <c r="AL25" s="78">
        <v>100</v>
      </c>
      <c r="AM25" s="78">
        <v>100</v>
      </c>
      <c r="AN25" s="78">
        <v>100</v>
      </c>
      <c r="AO25" s="78">
        <v>100</v>
      </c>
      <c r="AP25" s="78">
        <v>100</v>
      </c>
      <c r="AQ25" s="78">
        <v>100</v>
      </c>
      <c r="AR25" s="78">
        <v>100</v>
      </c>
      <c r="AS25" s="78">
        <v>100</v>
      </c>
      <c r="AT25" s="78">
        <v>100</v>
      </c>
      <c r="AU25" s="78">
        <v>100</v>
      </c>
      <c r="AV25" s="78">
        <v>100</v>
      </c>
      <c r="AW25" s="78">
        <v>100</v>
      </c>
      <c r="AX25" s="78">
        <v>100</v>
      </c>
      <c r="AY25" s="78">
        <v>100</v>
      </c>
      <c r="AZ25" s="78">
        <v>100</v>
      </c>
      <c r="BA25" s="78">
        <v>100</v>
      </c>
      <c r="BB25" s="78">
        <v>100</v>
      </c>
      <c r="BC25" s="78">
        <v>100</v>
      </c>
      <c r="BD25" s="78">
        <v>100</v>
      </c>
      <c r="BE25" s="78">
        <v>100</v>
      </c>
      <c r="BF25" s="78">
        <v>100</v>
      </c>
      <c r="BG25" s="78">
        <v>100</v>
      </c>
      <c r="BH25" s="78">
        <v>100</v>
      </c>
      <c r="BI25" s="78">
        <v>100</v>
      </c>
      <c r="BJ25" s="78">
        <v>100</v>
      </c>
      <c r="BK25" s="78">
        <v>100</v>
      </c>
      <c r="BL25" s="78">
        <v>100</v>
      </c>
      <c r="BM25" s="78">
        <v>100</v>
      </c>
      <c r="BN25" s="78">
        <v>100</v>
      </c>
      <c r="BO25" s="78">
        <v>100</v>
      </c>
      <c r="BP25" s="78">
        <v>100</v>
      </c>
      <c r="BQ25" s="78">
        <v>100</v>
      </c>
      <c r="BR25" s="78">
        <v>100</v>
      </c>
      <c r="BS25" s="78">
        <v>100</v>
      </c>
      <c r="BT25" s="78">
        <v>100</v>
      </c>
      <c r="BU25" s="78">
        <v>100</v>
      </c>
      <c r="BV25" s="78">
        <v>100</v>
      </c>
      <c r="BW25" s="78">
        <v>100</v>
      </c>
      <c r="BX25" s="78">
        <v>100</v>
      </c>
      <c r="BY25" s="78">
        <v>100</v>
      </c>
      <c r="BZ25" s="78">
        <v>100</v>
      </c>
      <c r="CA25" s="78">
        <v>100</v>
      </c>
      <c r="CB25" s="78">
        <v>100</v>
      </c>
      <c r="CC25" s="78">
        <v>100</v>
      </c>
      <c r="CD25" s="78">
        <v>100</v>
      </c>
      <c r="CE25" s="78">
        <v>100</v>
      </c>
      <c r="CF25" s="78">
        <v>100</v>
      </c>
      <c r="CG25" s="78">
        <v>100</v>
      </c>
      <c r="CH25" s="78">
        <v>100</v>
      </c>
      <c r="CI25" s="78">
        <v>100</v>
      </c>
      <c r="CJ25" s="78">
        <v>100</v>
      </c>
      <c r="CK25" s="78">
        <v>100</v>
      </c>
      <c r="CL25" s="78">
        <v>100</v>
      </c>
      <c r="CM25" s="78">
        <v>100</v>
      </c>
      <c r="CN25" s="78">
        <v>100</v>
      </c>
      <c r="CO25" s="78">
        <v>100</v>
      </c>
      <c r="CP25" s="78">
        <v>100</v>
      </c>
      <c r="CQ25" s="78">
        <v>100</v>
      </c>
      <c r="CR25" s="78">
        <v>100</v>
      </c>
      <c r="CS25" s="78">
        <v>100</v>
      </c>
      <c r="CT25" s="78">
        <v>100</v>
      </c>
      <c r="CU25" s="78">
        <v>100</v>
      </c>
      <c r="CV25" s="78">
        <v>100</v>
      </c>
      <c r="CW25" s="78">
        <v>100</v>
      </c>
      <c r="CX25" s="79">
        <v>100</v>
      </c>
      <c r="CY25" s="79">
        <v>100</v>
      </c>
      <c r="CZ25" s="79">
        <v>100</v>
      </c>
      <c r="DA25" s="79">
        <v>100</v>
      </c>
      <c r="DB25" s="79">
        <v>100</v>
      </c>
      <c r="DC25" s="79">
        <v>100</v>
      </c>
      <c r="DD25" s="78">
        <v>100</v>
      </c>
      <c r="DE25" s="78">
        <v>100</v>
      </c>
      <c r="DF25" s="78">
        <v>100</v>
      </c>
      <c r="DG25" s="78">
        <v>100</v>
      </c>
      <c r="DH25" s="78">
        <v>100</v>
      </c>
      <c r="DI25" s="78">
        <v>100</v>
      </c>
      <c r="DJ25" s="78">
        <v>100</v>
      </c>
      <c r="DK25" s="78">
        <v>100</v>
      </c>
      <c r="DL25" s="78">
        <v>100</v>
      </c>
      <c r="DM25" s="78">
        <v>100</v>
      </c>
      <c r="DN25" s="78">
        <v>100</v>
      </c>
      <c r="DO25" s="78">
        <v>100</v>
      </c>
      <c r="DP25" s="78">
        <v>100</v>
      </c>
      <c r="DQ25" s="78">
        <v>100</v>
      </c>
      <c r="DR25" s="78">
        <v>100</v>
      </c>
      <c r="DS25" s="78">
        <v>100</v>
      </c>
      <c r="DT25" s="78">
        <v>100</v>
      </c>
      <c r="DU25" s="78">
        <v>100</v>
      </c>
      <c r="DV25" s="78">
        <v>100</v>
      </c>
      <c r="DW25" s="78">
        <v>100</v>
      </c>
      <c r="DX25" s="78">
        <v>100</v>
      </c>
      <c r="DY25" s="78">
        <v>100</v>
      </c>
      <c r="DZ25" s="78">
        <v>100</v>
      </c>
      <c r="EA25" s="78">
        <v>100</v>
      </c>
      <c r="EB25" s="78">
        <v>100</v>
      </c>
      <c r="EC25" s="78">
        <v>100</v>
      </c>
      <c r="ED25" s="78">
        <v>100</v>
      </c>
      <c r="EE25" s="78">
        <v>100</v>
      </c>
      <c r="EF25" s="78">
        <v>100</v>
      </c>
      <c r="EG25" s="78">
        <v>100</v>
      </c>
      <c r="EH25" s="78">
        <v>100</v>
      </c>
      <c r="EI25" s="78">
        <v>100</v>
      </c>
      <c r="EJ25" s="78">
        <v>100</v>
      </c>
      <c r="EK25" s="78">
        <v>100</v>
      </c>
      <c r="EL25" s="78">
        <v>100</v>
      </c>
      <c r="EM25" s="78">
        <v>100</v>
      </c>
      <c r="EN25" s="78">
        <v>100</v>
      </c>
      <c r="EO25" s="78">
        <v>100</v>
      </c>
      <c r="EP25" s="78">
        <v>100</v>
      </c>
      <c r="EQ25" s="78">
        <v>100</v>
      </c>
      <c r="ER25" s="78">
        <v>100</v>
      </c>
      <c r="ES25" s="78">
        <v>100</v>
      </c>
      <c r="ET25" s="78">
        <v>100</v>
      </c>
      <c r="EU25" s="78">
        <v>100</v>
      </c>
      <c r="EV25" s="78">
        <v>100</v>
      </c>
      <c r="EW25" s="66">
        <v>100</v>
      </c>
      <c r="EX25" s="66">
        <v>100</v>
      </c>
      <c r="EY25" s="88">
        <v>100</v>
      </c>
      <c r="EZ25" s="88">
        <v>100</v>
      </c>
      <c r="FA25" s="88">
        <v>100</v>
      </c>
      <c r="FB25" s="88">
        <v>100</v>
      </c>
      <c r="FC25" s="66">
        <v>100</v>
      </c>
      <c r="FD25" s="66">
        <v>100</v>
      </c>
      <c r="FE25" s="66">
        <v>100</v>
      </c>
      <c r="FF25" s="66">
        <v>100</v>
      </c>
      <c r="FG25" s="66">
        <v>100</v>
      </c>
      <c r="FH25" s="66">
        <v>100</v>
      </c>
      <c r="FI25" s="66">
        <v>100</v>
      </c>
      <c r="FJ25" s="66">
        <v>100</v>
      </c>
      <c r="FK25" s="66">
        <v>100</v>
      </c>
      <c r="FL25" s="66">
        <v>100</v>
      </c>
      <c r="FM25" s="66">
        <v>100</v>
      </c>
      <c r="FN25" s="66">
        <v>100</v>
      </c>
      <c r="FO25" s="66">
        <v>100</v>
      </c>
      <c r="FP25" s="66">
        <v>100</v>
      </c>
      <c r="FQ25" s="66">
        <v>100</v>
      </c>
      <c r="FR25" s="66">
        <v>100</v>
      </c>
      <c r="FS25" s="66">
        <v>100</v>
      </c>
      <c r="FT25" s="66">
        <v>100</v>
      </c>
      <c r="FU25" s="66">
        <v>100</v>
      </c>
      <c r="FV25" s="66">
        <v>100</v>
      </c>
      <c r="FW25" s="66">
        <v>100</v>
      </c>
      <c r="FX25" s="67">
        <v>100</v>
      </c>
      <c r="FY25" s="67">
        <v>100</v>
      </c>
      <c r="FZ25" s="67">
        <v>100</v>
      </c>
      <c r="GA25" s="67">
        <v>100</v>
      </c>
      <c r="GB25" s="67">
        <v>100</v>
      </c>
      <c r="GC25" s="67">
        <v>100</v>
      </c>
      <c r="GD25" s="67">
        <v>100</v>
      </c>
      <c r="GE25" s="67">
        <v>100</v>
      </c>
      <c r="GF25" s="67">
        <v>100</v>
      </c>
      <c r="GG25" s="67">
        <v>100</v>
      </c>
      <c r="GH25" s="67">
        <v>100</v>
      </c>
      <c r="GI25" s="67">
        <v>100</v>
      </c>
      <c r="GJ25" s="67">
        <v>100</v>
      </c>
      <c r="GK25" s="67">
        <v>100</v>
      </c>
      <c r="GL25" s="67">
        <v>100</v>
      </c>
      <c r="GM25" s="67">
        <v>100</v>
      </c>
      <c r="GN25" s="67">
        <v>100</v>
      </c>
      <c r="GO25" s="67">
        <v>100</v>
      </c>
      <c r="GP25" s="67">
        <v>100</v>
      </c>
      <c r="GQ25" s="67">
        <v>100</v>
      </c>
      <c r="GR25" s="67">
        <v>100</v>
      </c>
      <c r="GS25" s="67">
        <v>100</v>
      </c>
      <c r="GT25" s="67">
        <v>100</v>
      </c>
      <c r="GU25" s="67">
        <v>100</v>
      </c>
      <c r="GV25" s="67">
        <v>100</v>
      </c>
      <c r="GW25" s="67">
        <v>100</v>
      </c>
      <c r="GX25" s="67">
        <v>100</v>
      </c>
      <c r="GY25" s="67">
        <v>100</v>
      </c>
      <c r="GZ25" s="67">
        <v>100</v>
      </c>
      <c r="HA25" s="67">
        <v>100</v>
      </c>
      <c r="HB25" s="67">
        <v>100</v>
      </c>
      <c r="HC25" s="67">
        <v>100</v>
      </c>
      <c r="HD25" s="67">
        <v>100</v>
      </c>
      <c r="HE25" s="67">
        <v>100</v>
      </c>
      <c r="HF25" s="67">
        <v>100</v>
      </c>
      <c r="HG25" s="67">
        <v>100</v>
      </c>
      <c r="HH25" s="67">
        <v>100</v>
      </c>
      <c r="HI25" s="67">
        <v>100</v>
      </c>
      <c r="HJ25" s="67">
        <v>100</v>
      </c>
      <c r="HK25" s="67">
        <v>100</v>
      </c>
      <c r="HL25" s="67">
        <v>100</v>
      </c>
      <c r="HM25" s="67">
        <v>100</v>
      </c>
      <c r="HN25" s="67">
        <v>100</v>
      </c>
      <c r="HO25" s="67">
        <v>100</v>
      </c>
      <c r="HP25" s="67">
        <v>100</v>
      </c>
      <c r="HQ25" s="68">
        <v>100</v>
      </c>
      <c r="HR25" s="68">
        <v>100</v>
      </c>
      <c r="HS25" s="68">
        <v>100</v>
      </c>
      <c r="HT25" s="67">
        <v>100</v>
      </c>
      <c r="HU25" s="67">
        <v>100</v>
      </c>
      <c r="HV25" s="67">
        <v>100</v>
      </c>
      <c r="HW25" s="67">
        <v>100</v>
      </c>
      <c r="HX25" s="67">
        <v>100</v>
      </c>
      <c r="HY25" s="67">
        <v>100</v>
      </c>
      <c r="HZ25" s="67">
        <v>100</v>
      </c>
      <c r="IA25" s="67">
        <v>100</v>
      </c>
      <c r="IB25" s="67">
        <v>100</v>
      </c>
      <c r="IC25" s="68">
        <v>100</v>
      </c>
      <c r="ID25" s="68">
        <v>100</v>
      </c>
      <c r="IE25" s="68">
        <v>100</v>
      </c>
      <c r="IF25" s="67">
        <v>100</v>
      </c>
      <c r="IG25" s="67">
        <v>100</v>
      </c>
      <c r="IH25" s="67">
        <v>100</v>
      </c>
      <c r="II25" s="14">
        <v>100</v>
      </c>
      <c r="IJ25" s="14">
        <v>100</v>
      </c>
      <c r="IK25" s="14">
        <v>100</v>
      </c>
      <c r="IL25" s="16" t="s">
        <v>126</v>
      </c>
      <c r="IM25" s="16" t="s">
        <v>126</v>
      </c>
      <c r="IN25" s="16" t="s">
        <v>126</v>
      </c>
      <c r="IO25" s="16" t="s">
        <v>126</v>
      </c>
      <c r="IP25" s="16" t="s">
        <v>126</v>
      </c>
      <c r="IQ25" s="16" t="s">
        <v>126</v>
      </c>
      <c r="IR25" s="16" t="s">
        <v>126</v>
      </c>
      <c r="IS25" s="59">
        <f t="shared" si="1"/>
        <v>0</v>
      </c>
      <c r="IT25" s="186"/>
      <c r="IU25" s="18"/>
      <c r="IV25" s="21"/>
      <c r="IW25" s="21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</row>
    <row r="26" spans="1:273" ht="13.5" customHeight="1">
      <c r="A26" s="97">
        <v>22</v>
      </c>
      <c r="B26" s="77" t="s">
        <v>171</v>
      </c>
      <c r="C26" s="5">
        <v>1000</v>
      </c>
      <c r="D26" s="5">
        <v>1000</v>
      </c>
      <c r="E26" s="5">
        <v>1000</v>
      </c>
      <c r="F26" s="31" t="s">
        <v>126</v>
      </c>
      <c r="G26" s="31" t="s">
        <v>126</v>
      </c>
      <c r="H26" s="31" t="s">
        <v>126</v>
      </c>
      <c r="I26" s="78">
        <v>100</v>
      </c>
      <c r="J26" s="78">
        <v>100</v>
      </c>
      <c r="K26" s="78">
        <v>100</v>
      </c>
      <c r="L26" s="78">
        <v>100</v>
      </c>
      <c r="M26" s="78">
        <v>100</v>
      </c>
      <c r="N26" s="78">
        <v>100</v>
      </c>
      <c r="O26" s="78">
        <v>100</v>
      </c>
      <c r="P26" s="78">
        <v>100</v>
      </c>
      <c r="Q26" s="78">
        <v>100</v>
      </c>
      <c r="R26" s="78">
        <v>100</v>
      </c>
      <c r="S26" s="78">
        <v>100</v>
      </c>
      <c r="T26" s="78">
        <v>100</v>
      </c>
      <c r="U26" s="78">
        <v>100</v>
      </c>
      <c r="V26" s="78">
        <v>100</v>
      </c>
      <c r="W26" s="78">
        <v>100</v>
      </c>
      <c r="X26" s="78">
        <v>100</v>
      </c>
      <c r="Y26" s="78">
        <v>100</v>
      </c>
      <c r="Z26" s="78">
        <v>100</v>
      </c>
      <c r="AA26" s="78">
        <v>100</v>
      </c>
      <c r="AB26" s="78">
        <v>100</v>
      </c>
      <c r="AC26" s="78">
        <v>100</v>
      </c>
      <c r="AD26" s="78">
        <v>100</v>
      </c>
      <c r="AE26" s="78">
        <v>100</v>
      </c>
      <c r="AF26" s="78">
        <v>100</v>
      </c>
      <c r="AG26" s="78">
        <v>100</v>
      </c>
      <c r="AH26" s="78">
        <v>100</v>
      </c>
      <c r="AI26" s="78">
        <v>100</v>
      </c>
      <c r="AJ26" s="78">
        <v>100</v>
      </c>
      <c r="AK26" s="78">
        <v>100</v>
      </c>
      <c r="AL26" s="78">
        <v>100</v>
      </c>
      <c r="AM26" s="78">
        <v>100</v>
      </c>
      <c r="AN26" s="78">
        <v>100</v>
      </c>
      <c r="AO26" s="78">
        <v>100</v>
      </c>
      <c r="AP26" s="78">
        <v>100</v>
      </c>
      <c r="AQ26" s="78">
        <v>100</v>
      </c>
      <c r="AR26" s="78">
        <v>100</v>
      </c>
      <c r="AS26" s="78">
        <v>100</v>
      </c>
      <c r="AT26" s="78">
        <v>100</v>
      </c>
      <c r="AU26" s="78">
        <v>100</v>
      </c>
      <c r="AV26" s="78">
        <v>100</v>
      </c>
      <c r="AW26" s="78">
        <v>100</v>
      </c>
      <c r="AX26" s="78">
        <v>100</v>
      </c>
      <c r="AY26" s="78">
        <v>100</v>
      </c>
      <c r="AZ26" s="78">
        <v>100</v>
      </c>
      <c r="BA26" s="78">
        <v>100</v>
      </c>
      <c r="BB26" s="78">
        <v>100</v>
      </c>
      <c r="BC26" s="78">
        <v>100</v>
      </c>
      <c r="BD26" s="78">
        <v>100</v>
      </c>
      <c r="BE26" s="78">
        <v>100</v>
      </c>
      <c r="BF26" s="78">
        <v>100</v>
      </c>
      <c r="BG26" s="78">
        <v>100</v>
      </c>
      <c r="BH26" s="78">
        <v>100</v>
      </c>
      <c r="BI26" s="78">
        <v>100</v>
      </c>
      <c r="BJ26" s="78">
        <v>100</v>
      </c>
      <c r="BK26" s="78">
        <v>100</v>
      </c>
      <c r="BL26" s="78">
        <v>100</v>
      </c>
      <c r="BM26" s="78">
        <v>100</v>
      </c>
      <c r="BN26" s="78">
        <v>100</v>
      </c>
      <c r="BO26" s="78">
        <v>100</v>
      </c>
      <c r="BP26" s="78">
        <v>100</v>
      </c>
      <c r="BQ26" s="78">
        <v>100</v>
      </c>
      <c r="BR26" s="78">
        <v>100</v>
      </c>
      <c r="BS26" s="78">
        <v>100</v>
      </c>
      <c r="BT26" s="78">
        <v>100</v>
      </c>
      <c r="BU26" s="78">
        <v>100</v>
      </c>
      <c r="BV26" s="78">
        <v>100</v>
      </c>
      <c r="BW26" s="78">
        <v>100</v>
      </c>
      <c r="BX26" s="78">
        <v>100</v>
      </c>
      <c r="BY26" s="78">
        <v>100</v>
      </c>
      <c r="BZ26" s="78">
        <v>100</v>
      </c>
      <c r="CA26" s="78">
        <v>100</v>
      </c>
      <c r="CB26" s="78">
        <v>100</v>
      </c>
      <c r="CC26" s="78">
        <v>100</v>
      </c>
      <c r="CD26" s="78">
        <v>100</v>
      </c>
      <c r="CE26" s="78">
        <v>100</v>
      </c>
      <c r="CF26" s="78">
        <v>100</v>
      </c>
      <c r="CG26" s="78">
        <v>100</v>
      </c>
      <c r="CH26" s="78">
        <v>100</v>
      </c>
      <c r="CI26" s="78">
        <v>100</v>
      </c>
      <c r="CJ26" s="78">
        <v>100</v>
      </c>
      <c r="CK26" s="78">
        <v>100</v>
      </c>
      <c r="CL26" s="78">
        <v>100</v>
      </c>
      <c r="CM26" s="78">
        <v>100</v>
      </c>
      <c r="CN26" s="78">
        <v>100</v>
      </c>
      <c r="CO26" s="78">
        <v>100</v>
      </c>
      <c r="CP26" s="78">
        <v>100</v>
      </c>
      <c r="CQ26" s="78">
        <v>100</v>
      </c>
      <c r="CR26" s="78">
        <v>100</v>
      </c>
      <c r="CS26" s="78">
        <v>100</v>
      </c>
      <c r="CT26" s="78">
        <v>100</v>
      </c>
      <c r="CU26" s="78">
        <v>100</v>
      </c>
      <c r="CV26" s="78">
        <v>100</v>
      </c>
      <c r="CW26" s="78">
        <v>100</v>
      </c>
      <c r="CX26" s="79">
        <v>100</v>
      </c>
      <c r="CY26" s="79">
        <v>100</v>
      </c>
      <c r="CZ26" s="79">
        <v>100</v>
      </c>
      <c r="DA26" s="79">
        <v>100</v>
      </c>
      <c r="DB26" s="79">
        <v>100</v>
      </c>
      <c r="DC26" s="79">
        <v>100</v>
      </c>
      <c r="DD26" s="78">
        <v>100</v>
      </c>
      <c r="DE26" s="78">
        <v>100</v>
      </c>
      <c r="DF26" s="78">
        <v>100</v>
      </c>
      <c r="DG26" s="78">
        <v>100</v>
      </c>
      <c r="DH26" s="78">
        <v>100</v>
      </c>
      <c r="DI26" s="78">
        <v>100</v>
      </c>
      <c r="DJ26" s="78">
        <v>100</v>
      </c>
      <c r="DK26" s="78">
        <v>100</v>
      </c>
      <c r="DL26" s="78">
        <v>100</v>
      </c>
      <c r="DM26" s="78">
        <v>100</v>
      </c>
      <c r="DN26" s="78">
        <v>100</v>
      </c>
      <c r="DO26" s="78">
        <v>100</v>
      </c>
      <c r="DP26" s="78">
        <v>100</v>
      </c>
      <c r="DQ26" s="78">
        <v>100</v>
      </c>
      <c r="DR26" s="78">
        <v>100</v>
      </c>
      <c r="DS26" s="78">
        <v>100</v>
      </c>
      <c r="DT26" s="78">
        <v>100</v>
      </c>
      <c r="DU26" s="78">
        <v>100</v>
      </c>
      <c r="DV26" s="78">
        <v>100</v>
      </c>
      <c r="DW26" s="78">
        <v>100</v>
      </c>
      <c r="DX26" s="78">
        <v>100</v>
      </c>
      <c r="DY26" s="78">
        <v>100</v>
      </c>
      <c r="DZ26" s="78">
        <v>100</v>
      </c>
      <c r="EA26" s="78">
        <v>100</v>
      </c>
      <c r="EB26" s="78">
        <v>100</v>
      </c>
      <c r="EC26" s="78">
        <v>100</v>
      </c>
      <c r="ED26" s="78">
        <v>100</v>
      </c>
      <c r="EE26" s="78">
        <v>100</v>
      </c>
      <c r="EF26" s="78">
        <v>100</v>
      </c>
      <c r="EG26" s="78">
        <v>100</v>
      </c>
      <c r="EH26" s="78">
        <v>100</v>
      </c>
      <c r="EI26" s="78">
        <v>100</v>
      </c>
      <c r="EJ26" s="78">
        <v>100</v>
      </c>
      <c r="EK26" s="78">
        <v>100</v>
      </c>
      <c r="EL26" s="78">
        <v>100</v>
      </c>
      <c r="EM26" s="78">
        <v>100</v>
      </c>
      <c r="EN26" s="78">
        <v>100</v>
      </c>
      <c r="EO26" s="78">
        <v>100</v>
      </c>
      <c r="EP26" s="78">
        <v>100</v>
      </c>
      <c r="EQ26" s="78">
        <v>100</v>
      </c>
      <c r="ER26" s="78">
        <v>100</v>
      </c>
      <c r="ES26" s="78">
        <v>100</v>
      </c>
      <c r="ET26" s="78">
        <v>100</v>
      </c>
      <c r="EU26" s="78">
        <v>100</v>
      </c>
      <c r="EV26" s="78">
        <v>100</v>
      </c>
      <c r="EW26" s="66">
        <v>100</v>
      </c>
      <c r="EX26" s="66">
        <v>100</v>
      </c>
      <c r="EY26" s="88">
        <v>100</v>
      </c>
      <c r="EZ26" s="88">
        <v>100</v>
      </c>
      <c r="FA26" s="88">
        <v>100</v>
      </c>
      <c r="FB26" s="88">
        <v>100</v>
      </c>
      <c r="FC26" s="66">
        <v>100</v>
      </c>
      <c r="FD26" s="66">
        <v>100</v>
      </c>
      <c r="FE26" s="66">
        <v>100</v>
      </c>
      <c r="FF26" s="66">
        <v>100</v>
      </c>
      <c r="FG26" s="66">
        <v>100</v>
      </c>
      <c r="FH26" s="66">
        <v>100</v>
      </c>
      <c r="FI26" s="66">
        <v>100</v>
      </c>
      <c r="FJ26" s="66">
        <v>100</v>
      </c>
      <c r="FK26" s="66">
        <v>100</v>
      </c>
      <c r="FL26" s="66">
        <v>100</v>
      </c>
      <c r="FM26" s="66">
        <v>100</v>
      </c>
      <c r="FN26" s="66">
        <v>100</v>
      </c>
      <c r="FO26" s="66">
        <v>100</v>
      </c>
      <c r="FP26" s="66">
        <v>100</v>
      </c>
      <c r="FQ26" s="66">
        <v>100</v>
      </c>
      <c r="FR26" s="66">
        <v>100</v>
      </c>
      <c r="FS26" s="66">
        <v>100</v>
      </c>
      <c r="FT26" s="66">
        <v>100</v>
      </c>
      <c r="FU26" s="66">
        <v>100</v>
      </c>
      <c r="FV26" s="66">
        <v>100</v>
      </c>
      <c r="FW26" s="66">
        <v>100</v>
      </c>
      <c r="FX26" s="67">
        <v>100</v>
      </c>
      <c r="FY26" s="67">
        <v>100</v>
      </c>
      <c r="FZ26" s="67">
        <v>100</v>
      </c>
      <c r="GA26" s="67">
        <v>100</v>
      </c>
      <c r="GB26" s="67">
        <v>100</v>
      </c>
      <c r="GC26" s="67">
        <v>100</v>
      </c>
      <c r="GD26" s="67">
        <v>100</v>
      </c>
      <c r="GE26" s="67">
        <v>100</v>
      </c>
      <c r="GF26" s="67">
        <v>100</v>
      </c>
      <c r="GG26" s="67">
        <v>100</v>
      </c>
      <c r="GH26" s="67">
        <v>100</v>
      </c>
      <c r="GI26" s="67">
        <v>100</v>
      </c>
      <c r="GJ26" s="67">
        <v>100</v>
      </c>
      <c r="GK26" s="67">
        <v>100</v>
      </c>
      <c r="GL26" s="67">
        <v>100</v>
      </c>
      <c r="GM26" s="67">
        <v>100</v>
      </c>
      <c r="GN26" s="67">
        <v>100</v>
      </c>
      <c r="GO26" s="67">
        <v>100</v>
      </c>
      <c r="GP26" s="67">
        <v>100</v>
      </c>
      <c r="GQ26" s="67">
        <v>100</v>
      </c>
      <c r="GR26" s="67">
        <v>100</v>
      </c>
      <c r="GS26" s="67">
        <v>100</v>
      </c>
      <c r="GT26" s="67">
        <v>100</v>
      </c>
      <c r="GU26" s="67">
        <v>100</v>
      </c>
      <c r="GV26" s="67">
        <v>100</v>
      </c>
      <c r="GW26" s="67">
        <v>100</v>
      </c>
      <c r="GX26" s="67">
        <v>100</v>
      </c>
      <c r="GY26" s="67">
        <v>100</v>
      </c>
      <c r="GZ26" s="67">
        <v>100</v>
      </c>
      <c r="HA26" s="67">
        <v>100</v>
      </c>
      <c r="HB26" s="67">
        <v>100</v>
      </c>
      <c r="HC26" s="67">
        <v>100</v>
      </c>
      <c r="HD26" s="67">
        <v>100</v>
      </c>
      <c r="HE26" s="67">
        <v>100</v>
      </c>
      <c r="HF26" s="67">
        <v>100</v>
      </c>
      <c r="HG26" s="67">
        <v>100</v>
      </c>
      <c r="HH26" s="67">
        <v>100</v>
      </c>
      <c r="HI26" s="67">
        <v>100</v>
      </c>
      <c r="HJ26" s="67">
        <v>100</v>
      </c>
      <c r="HK26" s="67">
        <v>100</v>
      </c>
      <c r="HL26" s="67">
        <v>100</v>
      </c>
      <c r="HM26" s="67">
        <v>100</v>
      </c>
      <c r="HN26" s="67">
        <v>100</v>
      </c>
      <c r="HO26" s="67">
        <v>100</v>
      </c>
      <c r="HP26" s="67">
        <v>100</v>
      </c>
      <c r="HQ26" s="68">
        <v>100</v>
      </c>
      <c r="HR26" s="68">
        <v>100</v>
      </c>
      <c r="HS26" s="68">
        <v>100</v>
      </c>
      <c r="HT26" s="67">
        <v>100</v>
      </c>
      <c r="HU26" s="67">
        <v>100</v>
      </c>
      <c r="HV26" s="67">
        <v>100</v>
      </c>
      <c r="HW26" s="67">
        <v>100</v>
      </c>
      <c r="HX26" s="67">
        <v>100</v>
      </c>
      <c r="HY26" s="67">
        <v>100</v>
      </c>
      <c r="HZ26" s="67">
        <v>100</v>
      </c>
      <c r="IA26" s="67">
        <v>100</v>
      </c>
      <c r="IB26" s="67">
        <v>100</v>
      </c>
      <c r="IC26" s="68">
        <v>100</v>
      </c>
      <c r="ID26" s="68">
        <v>100</v>
      </c>
      <c r="IE26" s="68">
        <v>100</v>
      </c>
      <c r="IF26" s="67">
        <v>100</v>
      </c>
      <c r="IG26" s="67">
        <v>100</v>
      </c>
      <c r="IH26" s="67">
        <v>100</v>
      </c>
      <c r="II26" s="14">
        <v>100</v>
      </c>
      <c r="IJ26" s="14">
        <v>100</v>
      </c>
      <c r="IK26" s="14">
        <v>100</v>
      </c>
      <c r="IL26" s="16" t="s">
        <v>126</v>
      </c>
      <c r="IM26" s="16" t="s">
        <v>126</v>
      </c>
      <c r="IN26" s="16" t="s">
        <v>126</v>
      </c>
      <c r="IO26" s="16" t="s">
        <v>126</v>
      </c>
      <c r="IP26" s="16" t="s">
        <v>126</v>
      </c>
      <c r="IQ26" s="16" t="s">
        <v>126</v>
      </c>
      <c r="IR26" s="16" t="s">
        <v>126</v>
      </c>
      <c r="IS26" s="59">
        <f t="shared" si="1"/>
        <v>0</v>
      </c>
      <c r="IT26" s="186"/>
      <c r="IU26" s="18"/>
      <c r="IV26" s="21"/>
      <c r="IW26" s="21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</row>
    <row r="27" spans="1:273" ht="13.5" customHeight="1">
      <c r="A27" s="97">
        <v>23</v>
      </c>
      <c r="B27" s="77" t="s">
        <v>172</v>
      </c>
      <c r="C27" s="6">
        <v>590</v>
      </c>
      <c r="D27" s="33">
        <v>390</v>
      </c>
      <c r="E27" s="33">
        <v>8100</v>
      </c>
      <c r="F27" s="31" t="s">
        <v>126</v>
      </c>
      <c r="G27" s="31" t="s">
        <v>126</v>
      </c>
      <c r="H27" s="31" t="s">
        <v>126</v>
      </c>
      <c r="I27" s="78">
        <v>100</v>
      </c>
      <c r="J27" s="78">
        <v>100</v>
      </c>
      <c r="K27" s="78">
        <v>100</v>
      </c>
      <c r="L27" s="78">
        <v>100</v>
      </c>
      <c r="M27" s="78">
        <v>100</v>
      </c>
      <c r="N27" s="78">
        <v>100</v>
      </c>
      <c r="O27" s="78">
        <v>100</v>
      </c>
      <c r="P27" s="78">
        <v>100</v>
      </c>
      <c r="Q27" s="78">
        <v>100</v>
      </c>
      <c r="R27" s="78">
        <v>100</v>
      </c>
      <c r="S27" s="78">
        <v>100</v>
      </c>
      <c r="T27" s="78">
        <v>100</v>
      </c>
      <c r="U27" s="78">
        <v>100</v>
      </c>
      <c r="V27" s="78">
        <v>100</v>
      </c>
      <c r="W27" s="78">
        <v>100</v>
      </c>
      <c r="X27" s="78">
        <v>100</v>
      </c>
      <c r="Y27" s="78">
        <v>100</v>
      </c>
      <c r="Z27" s="78">
        <v>100</v>
      </c>
      <c r="AA27" s="78">
        <v>100</v>
      </c>
      <c r="AB27" s="78">
        <v>100</v>
      </c>
      <c r="AC27" s="78">
        <v>100</v>
      </c>
      <c r="AD27" s="78">
        <v>100</v>
      </c>
      <c r="AE27" s="78">
        <v>100</v>
      </c>
      <c r="AF27" s="78">
        <v>100</v>
      </c>
      <c r="AG27" s="78">
        <v>100</v>
      </c>
      <c r="AH27" s="78">
        <v>100</v>
      </c>
      <c r="AI27" s="78">
        <v>100</v>
      </c>
      <c r="AJ27" s="78">
        <v>100</v>
      </c>
      <c r="AK27" s="78">
        <v>100</v>
      </c>
      <c r="AL27" s="78">
        <v>100</v>
      </c>
      <c r="AM27" s="78">
        <v>100</v>
      </c>
      <c r="AN27" s="78">
        <v>100</v>
      </c>
      <c r="AO27" s="78">
        <v>100</v>
      </c>
      <c r="AP27" s="78">
        <v>100</v>
      </c>
      <c r="AQ27" s="78">
        <v>100</v>
      </c>
      <c r="AR27" s="78">
        <v>100</v>
      </c>
      <c r="AS27" s="78">
        <v>100</v>
      </c>
      <c r="AT27" s="78">
        <v>100</v>
      </c>
      <c r="AU27" s="78">
        <v>100</v>
      </c>
      <c r="AV27" s="78">
        <v>100</v>
      </c>
      <c r="AW27" s="78">
        <v>100</v>
      </c>
      <c r="AX27" s="78">
        <v>100</v>
      </c>
      <c r="AY27" s="78">
        <v>100</v>
      </c>
      <c r="AZ27" s="78">
        <v>100</v>
      </c>
      <c r="BA27" s="78">
        <v>100</v>
      </c>
      <c r="BB27" s="78">
        <v>100</v>
      </c>
      <c r="BC27" s="78">
        <v>100</v>
      </c>
      <c r="BD27" s="78">
        <v>100</v>
      </c>
      <c r="BE27" s="78">
        <v>100</v>
      </c>
      <c r="BF27" s="78">
        <v>100</v>
      </c>
      <c r="BG27" s="78">
        <v>100</v>
      </c>
      <c r="BH27" s="78">
        <v>100</v>
      </c>
      <c r="BI27" s="78">
        <v>100</v>
      </c>
      <c r="BJ27" s="78">
        <v>100</v>
      </c>
      <c r="BK27" s="78">
        <v>100</v>
      </c>
      <c r="BL27" s="78">
        <v>100</v>
      </c>
      <c r="BM27" s="78">
        <v>100</v>
      </c>
      <c r="BN27" s="78">
        <v>100</v>
      </c>
      <c r="BO27" s="78">
        <v>100</v>
      </c>
      <c r="BP27" s="78">
        <v>100</v>
      </c>
      <c r="BQ27" s="78">
        <v>100</v>
      </c>
      <c r="BR27" s="78">
        <v>100</v>
      </c>
      <c r="BS27" s="78">
        <v>100</v>
      </c>
      <c r="BT27" s="78">
        <v>100</v>
      </c>
      <c r="BU27" s="78">
        <v>100</v>
      </c>
      <c r="BV27" s="78">
        <v>100</v>
      </c>
      <c r="BW27" s="78">
        <v>100</v>
      </c>
      <c r="BX27" s="78">
        <v>100</v>
      </c>
      <c r="BY27" s="78">
        <v>100</v>
      </c>
      <c r="BZ27" s="78">
        <v>100</v>
      </c>
      <c r="CA27" s="78">
        <v>100</v>
      </c>
      <c r="CB27" s="78">
        <v>100</v>
      </c>
      <c r="CC27" s="78">
        <v>100</v>
      </c>
      <c r="CD27" s="78">
        <v>100</v>
      </c>
      <c r="CE27" s="78">
        <v>100</v>
      </c>
      <c r="CF27" s="78">
        <v>100</v>
      </c>
      <c r="CG27" s="78">
        <v>100</v>
      </c>
      <c r="CH27" s="78">
        <v>100</v>
      </c>
      <c r="CI27" s="78">
        <v>100</v>
      </c>
      <c r="CJ27" s="78">
        <v>100</v>
      </c>
      <c r="CK27" s="78">
        <v>100</v>
      </c>
      <c r="CL27" s="78">
        <v>100</v>
      </c>
      <c r="CM27" s="78">
        <v>100</v>
      </c>
      <c r="CN27" s="78">
        <v>100</v>
      </c>
      <c r="CO27" s="78">
        <v>100</v>
      </c>
      <c r="CP27" s="78">
        <v>100</v>
      </c>
      <c r="CQ27" s="78">
        <v>100</v>
      </c>
      <c r="CR27" s="78">
        <v>100</v>
      </c>
      <c r="CS27" s="78">
        <v>100</v>
      </c>
      <c r="CT27" s="78">
        <v>100</v>
      </c>
      <c r="CU27" s="78">
        <v>100</v>
      </c>
      <c r="CV27" s="78">
        <v>100</v>
      </c>
      <c r="CW27" s="78">
        <v>100</v>
      </c>
      <c r="CX27" s="79">
        <v>100</v>
      </c>
      <c r="CY27" s="79">
        <v>100</v>
      </c>
      <c r="CZ27" s="79">
        <v>100</v>
      </c>
      <c r="DA27" s="79">
        <v>100</v>
      </c>
      <c r="DB27" s="79">
        <v>100</v>
      </c>
      <c r="DC27" s="79">
        <v>100</v>
      </c>
      <c r="DD27" s="78">
        <v>100</v>
      </c>
      <c r="DE27" s="78">
        <v>100</v>
      </c>
      <c r="DF27" s="78">
        <v>100</v>
      </c>
      <c r="DG27" s="78">
        <v>100</v>
      </c>
      <c r="DH27" s="78">
        <v>100</v>
      </c>
      <c r="DI27" s="78">
        <v>100</v>
      </c>
      <c r="DJ27" s="78">
        <v>100</v>
      </c>
      <c r="DK27" s="78">
        <v>100</v>
      </c>
      <c r="DL27" s="78">
        <v>100</v>
      </c>
      <c r="DM27" s="78">
        <v>100</v>
      </c>
      <c r="DN27" s="78">
        <v>100</v>
      </c>
      <c r="DO27" s="78">
        <v>100</v>
      </c>
      <c r="DP27" s="78">
        <v>100</v>
      </c>
      <c r="DQ27" s="78">
        <v>100</v>
      </c>
      <c r="DR27" s="78">
        <v>100</v>
      </c>
      <c r="DS27" s="78">
        <v>100</v>
      </c>
      <c r="DT27" s="78">
        <v>100</v>
      </c>
      <c r="DU27" s="78">
        <v>100</v>
      </c>
      <c r="DV27" s="78">
        <v>100</v>
      </c>
      <c r="DW27" s="78">
        <v>100</v>
      </c>
      <c r="DX27" s="78">
        <v>100</v>
      </c>
      <c r="DY27" s="78">
        <v>100</v>
      </c>
      <c r="DZ27" s="78">
        <v>100</v>
      </c>
      <c r="EA27" s="78">
        <v>100</v>
      </c>
      <c r="EB27" s="78">
        <v>100</v>
      </c>
      <c r="EC27" s="78">
        <v>100</v>
      </c>
      <c r="ED27" s="78">
        <v>100</v>
      </c>
      <c r="EE27" s="78">
        <v>100</v>
      </c>
      <c r="EF27" s="78">
        <v>100</v>
      </c>
      <c r="EG27" s="78">
        <v>100</v>
      </c>
      <c r="EH27" s="78">
        <v>100</v>
      </c>
      <c r="EI27" s="78">
        <v>100</v>
      </c>
      <c r="EJ27" s="78">
        <v>100</v>
      </c>
      <c r="EK27" s="78">
        <v>100</v>
      </c>
      <c r="EL27" s="78">
        <v>100</v>
      </c>
      <c r="EM27" s="78">
        <v>100</v>
      </c>
      <c r="EN27" s="78">
        <v>100</v>
      </c>
      <c r="EO27" s="78">
        <v>100</v>
      </c>
      <c r="EP27" s="78">
        <v>100</v>
      </c>
      <c r="EQ27" s="78">
        <v>100</v>
      </c>
      <c r="ER27" s="78">
        <v>100</v>
      </c>
      <c r="ES27" s="78">
        <v>100</v>
      </c>
      <c r="ET27" s="78">
        <v>100</v>
      </c>
      <c r="EU27" s="78">
        <v>100</v>
      </c>
      <c r="EV27" s="78">
        <v>100</v>
      </c>
      <c r="EW27" s="66">
        <v>100</v>
      </c>
      <c r="EX27" s="66">
        <v>100</v>
      </c>
      <c r="EY27" s="88">
        <v>100</v>
      </c>
      <c r="EZ27" s="88">
        <v>100</v>
      </c>
      <c r="FA27" s="88">
        <v>100</v>
      </c>
      <c r="FB27" s="88">
        <v>100</v>
      </c>
      <c r="FC27" s="66">
        <v>100</v>
      </c>
      <c r="FD27" s="66">
        <v>100</v>
      </c>
      <c r="FE27" s="66">
        <v>100</v>
      </c>
      <c r="FF27" s="66">
        <v>100</v>
      </c>
      <c r="FG27" s="66">
        <v>100</v>
      </c>
      <c r="FH27" s="66">
        <v>100</v>
      </c>
      <c r="FI27" s="66">
        <v>100</v>
      </c>
      <c r="FJ27" s="66">
        <v>100</v>
      </c>
      <c r="FK27" s="66">
        <v>100</v>
      </c>
      <c r="FL27" s="66">
        <v>100</v>
      </c>
      <c r="FM27" s="66">
        <v>100</v>
      </c>
      <c r="FN27" s="66">
        <v>100</v>
      </c>
      <c r="FO27" s="66">
        <v>100</v>
      </c>
      <c r="FP27" s="66">
        <v>100</v>
      </c>
      <c r="FQ27" s="66">
        <v>100</v>
      </c>
      <c r="FR27" s="66">
        <v>100</v>
      </c>
      <c r="FS27" s="66">
        <v>100</v>
      </c>
      <c r="FT27" s="66">
        <v>100</v>
      </c>
      <c r="FU27" s="66">
        <v>100</v>
      </c>
      <c r="FV27" s="66">
        <v>100</v>
      </c>
      <c r="FW27" s="66">
        <v>100</v>
      </c>
      <c r="FX27" s="67">
        <v>100</v>
      </c>
      <c r="FY27" s="67">
        <v>100</v>
      </c>
      <c r="FZ27" s="67">
        <v>100</v>
      </c>
      <c r="GA27" s="67">
        <v>100</v>
      </c>
      <c r="GB27" s="67">
        <v>100</v>
      </c>
      <c r="GC27" s="67">
        <v>100</v>
      </c>
      <c r="GD27" s="67">
        <v>100</v>
      </c>
      <c r="GE27" s="67">
        <v>100</v>
      </c>
      <c r="GF27" s="67">
        <v>100</v>
      </c>
      <c r="GG27" s="67">
        <v>100</v>
      </c>
      <c r="GH27" s="67">
        <v>100</v>
      </c>
      <c r="GI27" s="67">
        <v>100</v>
      </c>
      <c r="GJ27" s="67">
        <v>100</v>
      </c>
      <c r="GK27" s="67">
        <v>100</v>
      </c>
      <c r="GL27" s="67">
        <v>100</v>
      </c>
      <c r="GM27" s="67">
        <v>100</v>
      </c>
      <c r="GN27" s="67">
        <v>100</v>
      </c>
      <c r="GO27" s="67">
        <v>100</v>
      </c>
      <c r="GP27" s="67">
        <v>100</v>
      </c>
      <c r="GQ27" s="67">
        <v>100</v>
      </c>
      <c r="GR27" s="67">
        <v>100</v>
      </c>
      <c r="GS27" s="67">
        <v>100</v>
      </c>
      <c r="GT27" s="67">
        <v>100</v>
      </c>
      <c r="GU27" s="67">
        <v>100</v>
      </c>
      <c r="GV27" s="67">
        <v>100</v>
      </c>
      <c r="GW27" s="67">
        <v>100</v>
      </c>
      <c r="GX27" s="67">
        <v>100</v>
      </c>
      <c r="GY27" s="67">
        <v>100</v>
      </c>
      <c r="GZ27" s="67">
        <v>100</v>
      </c>
      <c r="HA27" s="67">
        <v>100</v>
      </c>
      <c r="HB27" s="67">
        <v>100</v>
      </c>
      <c r="HC27" s="67">
        <v>100</v>
      </c>
      <c r="HD27" s="67">
        <v>100</v>
      </c>
      <c r="HE27" s="67">
        <v>100</v>
      </c>
      <c r="HF27" s="67">
        <v>100</v>
      </c>
      <c r="HG27" s="67">
        <v>100</v>
      </c>
      <c r="HH27" s="67">
        <v>100</v>
      </c>
      <c r="HI27" s="67">
        <v>100</v>
      </c>
      <c r="HJ27" s="67">
        <v>100</v>
      </c>
      <c r="HK27" s="67">
        <v>100</v>
      </c>
      <c r="HL27" s="67">
        <v>100</v>
      </c>
      <c r="HM27" s="67">
        <v>100</v>
      </c>
      <c r="HN27" s="67">
        <v>100</v>
      </c>
      <c r="HO27" s="67">
        <v>100</v>
      </c>
      <c r="HP27" s="67">
        <v>100</v>
      </c>
      <c r="HQ27" s="68">
        <v>100</v>
      </c>
      <c r="HR27" s="68">
        <v>100</v>
      </c>
      <c r="HS27" s="68">
        <v>100</v>
      </c>
      <c r="HT27" s="67">
        <v>100</v>
      </c>
      <c r="HU27" s="67">
        <v>100</v>
      </c>
      <c r="HV27" s="67">
        <v>100</v>
      </c>
      <c r="HW27" s="67">
        <v>100</v>
      </c>
      <c r="HX27" s="67">
        <v>100</v>
      </c>
      <c r="HY27" s="67">
        <v>100</v>
      </c>
      <c r="HZ27" s="67">
        <v>100</v>
      </c>
      <c r="IA27" s="67">
        <v>100</v>
      </c>
      <c r="IB27" s="67">
        <v>100</v>
      </c>
      <c r="IC27" s="68">
        <v>100</v>
      </c>
      <c r="ID27" s="68">
        <v>100</v>
      </c>
      <c r="IE27" s="68">
        <v>100</v>
      </c>
      <c r="IF27" s="67">
        <v>100</v>
      </c>
      <c r="IG27" s="67">
        <v>100</v>
      </c>
      <c r="IH27" s="67">
        <v>100</v>
      </c>
      <c r="II27" s="14">
        <v>100</v>
      </c>
      <c r="IJ27" s="14">
        <v>100</v>
      </c>
      <c r="IK27" s="14">
        <v>100</v>
      </c>
      <c r="IL27" s="16" t="s">
        <v>126</v>
      </c>
      <c r="IM27" s="16" t="s">
        <v>126</v>
      </c>
      <c r="IN27" s="16" t="s">
        <v>126</v>
      </c>
      <c r="IO27" s="16" t="s">
        <v>126</v>
      </c>
      <c r="IP27" s="16" t="s">
        <v>126</v>
      </c>
      <c r="IQ27" s="16" t="s">
        <v>126</v>
      </c>
      <c r="IR27" s="16" t="s">
        <v>126</v>
      </c>
      <c r="IS27" s="59">
        <f t="shared" si="1"/>
        <v>0</v>
      </c>
      <c r="IT27" s="186"/>
      <c r="IU27" s="18"/>
      <c r="IV27" s="21"/>
      <c r="IW27" s="21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</row>
    <row r="28" spans="1:273" ht="13.5" customHeight="1">
      <c r="A28" s="97">
        <v>24</v>
      </c>
      <c r="B28" s="77" t="s">
        <v>173</v>
      </c>
      <c r="C28" s="30" t="s">
        <v>126</v>
      </c>
      <c r="D28" s="19" t="s">
        <v>126</v>
      </c>
      <c r="E28" s="19" t="s">
        <v>126</v>
      </c>
      <c r="F28" s="31" t="s">
        <v>126</v>
      </c>
      <c r="G28" s="31" t="s">
        <v>126</v>
      </c>
      <c r="H28" s="31" t="s">
        <v>126</v>
      </c>
      <c r="I28" s="78">
        <v>100</v>
      </c>
      <c r="J28" s="78">
        <v>100</v>
      </c>
      <c r="K28" s="78">
        <v>100</v>
      </c>
      <c r="L28" s="78">
        <v>100</v>
      </c>
      <c r="M28" s="78">
        <v>100</v>
      </c>
      <c r="N28" s="78">
        <v>100</v>
      </c>
      <c r="O28" s="78">
        <v>100</v>
      </c>
      <c r="P28" s="78">
        <v>100</v>
      </c>
      <c r="Q28" s="78">
        <v>100</v>
      </c>
      <c r="R28" s="78">
        <v>100</v>
      </c>
      <c r="S28" s="78">
        <v>100</v>
      </c>
      <c r="T28" s="78">
        <v>100</v>
      </c>
      <c r="U28" s="31">
        <v>82</v>
      </c>
      <c r="V28" s="78">
        <v>100</v>
      </c>
      <c r="W28" s="78">
        <v>100</v>
      </c>
      <c r="X28" s="31">
        <v>65</v>
      </c>
      <c r="Y28" s="78">
        <v>100</v>
      </c>
      <c r="Z28" s="78">
        <v>100</v>
      </c>
      <c r="AA28" s="31">
        <v>30</v>
      </c>
      <c r="AB28" s="78">
        <v>100</v>
      </c>
      <c r="AC28" s="78">
        <v>100</v>
      </c>
      <c r="AD28" s="31">
        <v>29</v>
      </c>
      <c r="AE28" s="78">
        <v>100</v>
      </c>
      <c r="AF28" s="78">
        <v>100</v>
      </c>
      <c r="AG28" s="31">
        <v>25</v>
      </c>
      <c r="AH28" s="78">
        <v>100</v>
      </c>
      <c r="AI28" s="78">
        <v>100</v>
      </c>
      <c r="AJ28" s="31">
        <v>15</v>
      </c>
      <c r="AK28" s="78">
        <v>100</v>
      </c>
      <c r="AL28" s="78">
        <v>100</v>
      </c>
      <c r="AM28" s="31">
        <v>21</v>
      </c>
      <c r="AN28" s="78">
        <v>100</v>
      </c>
      <c r="AO28" s="78">
        <v>100</v>
      </c>
      <c r="AP28" s="31">
        <v>26</v>
      </c>
      <c r="AQ28" s="78">
        <v>100</v>
      </c>
      <c r="AR28" s="31">
        <v>48</v>
      </c>
      <c r="AS28" s="31">
        <v>32</v>
      </c>
      <c r="AT28" s="78">
        <v>100</v>
      </c>
      <c r="AU28" s="31">
        <v>45</v>
      </c>
      <c r="AV28" s="31">
        <v>52</v>
      </c>
      <c r="AW28" s="78">
        <v>100</v>
      </c>
      <c r="AX28" s="31">
        <v>68</v>
      </c>
      <c r="AY28" s="78">
        <v>100</v>
      </c>
      <c r="AZ28" s="31">
        <v>83</v>
      </c>
      <c r="BA28" s="31">
        <v>65</v>
      </c>
      <c r="BB28" s="78">
        <v>100</v>
      </c>
      <c r="BC28" s="31">
        <v>81</v>
      </c>
      <c r="BD28" s="31">
        <v>63</v>
      </c>
      <c r="BE28" s="78">
        <v>100</v>
      </c>
      <c r="BF28" s="31">
        <v>78</v>
      </c>
      <c r="BG28" s="31">
        <v>61</v>
      </c>
      <c r="BH28" s="78">
        <v>100</v>
      </c>
      <c r="BI28" s="31">
        <v>71</v>
      </c>
      <c r="BJ28" s="31">
        <v>69</v>
      </c>
      <c r="BK28" s="78">
        <v>100</v>
      </c>
      <c r="BL28" s="78">
        <v>100</v>
      </c>
      <c r="BM28" s="78">
        <v>100</v>
      </c>
      <c r="BN28" s="78">
        <v>100</v>
      </c>
      <c r="BO28" s="78">
        <v>100</v>
      </c>
      <c r="BP28" s="78">
        <v>100</v>
      </c>
      <c r="BQ28" s="31">
        <v>89</v>
      </c>
      <c r="BR28" s="78">
        <v>100</v>
      </c>
      <c r="BS28" s="78">
        <v>100</v>
      </c>
      <c r="BT28" s="78">
        <v>100</v>
      </c>
      <c r="BU28" s="31">
        <v>84</v>
      </c>
      <c r="BV28" s="78">
        <v>100</v>
      </c>
      <c r="BW28" s="78">
        <v>100</v>
      </c>
      <c r="BX28" s="31">
        <v>76</v>
      </c>
      <c r="BY28" s="31">
        <v>92</v>
      </c>
      <c r="BZ28" s="31">
        <v>98</v>
      </c>
      <c r="CA28" s="31">
        <v>86</v>
      </c>
      <c r="CB28" s="31">
        <v>84</v>
      </c>
      <c r="CC28" s="31">
        <v>78</v>
      </c>
      <c r="CD28" s="31">
        <v>61</v>
      </c>
      <c r="CE28" s="31">
        <v>88</v>
      </c>
      <c r="CF28" s="31">
        <v>66</v>
      </c>
      <c r="CG28" s="31">
        <v>57</v>
      </c>
      <c r="CH28" s="31">
        <v>74</v>
      </c>
      <c r="CI28" s="31">
        <v>53</v>
      </c>
      <c r="CJ28" s="31">
        <v>50</v>
      </c>
      <c r="CK28" s="31">
        <v>66</v>
      </c>
      <c r="CL28" s="31">
        <v>50</v>
      </c>
      <c r="CM28" s="31">
        <v>46</v>
      </c>
      <c r="CN28" s="31">
        <v>54</v>
      </c>
      <c r="CO28" s="31">
        <v>68</v>
      </c>
      <c r="CP28" s="31">
        <v>42</v>
      </c>
      <c r="CQ28" s="31">
        <v>57</v>
      </c>
      <c r="CR28" s="31">
        <v>55</v>
      </c>
      <c r="CS28" s="31">
        <v>40</v>
      </c>
      <c r="CT28" s="31">
        <v>49</v>
      </c>
      <c r="CU28" s="31">
        <v>57</v>
      </c>
      <c r="CV28" s="31">
        <v>37</v>
      </c>
      <c r="CW28" s="31">
        <v>44</v>
      </c>
      <c r="CX28" s="31">
        <v>48</v>
      </c>
      <c r="CY28" s="31">
        <v>53</v>
      </c>
      <c r="CZ28" s="31">
        <v>34</v>
      </c>
      <c r="DA28" s="31">
        <v>43</v>
      </c>
      <c r="DB28" s="31">
        <v>50</v>
      </c>
      <c r="DC28" s="31">
        <v>34</v>
      </c>
      <c r="DD28" s="31">
        <v>40</v>
      </c>
      <c r="DE28" s="31">
        <v>47</v>
      </c>
      <c r="DF28" s="31">
        <v>36</v>
      </c>
      <c r="DG28" s="31">
        <v>48</v>
      </c>
      <c r="DH28" s="31">
        <v>46</v>
      </c>
      <c r="DI28" s="31">
        <v>32</v>
      </c>
      <c r="DJ28" s="31">
        <v>43</v>
      </c>
      <c r="DK28" s="31">
        <v>42</v>
      </c>
      <c r="DL28" s="31">
        <v>36</v>
      </c>
      <c r="DM28" s="31">
        <v>48</v>
      </c>
      <c r="DN28" s="31">
        <v>36</v>
      </c>
      <c r="DO28" s="31">
        <v>33</v>
      </c>
      <c r="DP28" s="31">
        <v>43</v>
      </c>
      <c r="DQ28" s="31">
        <v>35</v>
      </c>
      <c r="DR28" s="31">
        <v>37</v>
      </c>
      <c r="DS28" s="31">
        <v>49</v>
      </c>
      <c r="DT28" s="31">
        <v>32</v>
      </c>
      <c r="DU28" s="31">
        <v>33</v>
      </c>
      <c r="DV28" s="31">
        <v>43</v>
      </c>
      <c r="DW28" s="31">
        <v>38</v>
      </c>
      <c r="DX28" s="31">
        <v>30</v>
      </c>
      <c r="DY28" s="31">
        <v>52</v>
      </c>
      <c r="DZ28" s="31">
        <v>34</v>
      </c>
      <c r="EA28" s="31">
        <v>41</v>
      </c>
      <c r="EB28" s="31">
        <v>49</v>
      </c>
      <c r="EC28" s="31">
        <v>56</v>
      </c>
      <c r="ED28" s="31">
        <v>46</v>
      </c>
      <c r="EE28" s="31">
        <v>48</v>
      </c>
      <c r="EF28" s="31">
        <v>52</v>
      </c>
      <c r="EG28" s="31">
        <v>57</v>
      </c>
      <c r="EH28" s="31">
        <v>43</v>
      </c>
      <c r="EI28" s="31">
        <v>45</v>
      </c>
      <c r="EJ28" s="31">
        <v>56</v>
      </c>
      <c r="EK28" s="31">
        <v>48</v>
      </c>
      <c r="EL28" s="31">
        <v>41</v>
      </c>
      <c r="EM28" s="31">
        <v>50</v>
      </c>
      <c r="EN28" s="31">
        <v>49</v>
      </c>
      <c r="EO28" s="31">
        <v>46</v>
      </c>
      <c r="EP28" s="31">
        <v>53</v>
      </c>
      <c r="EQ28" s="31">
        <v>43</v>
      </c>
      <c r="ER28" s="31">
        <v>39</v>
      </c>
      <c r="ES28" s="31">
        <v>50</v>
      </c>
      <c r="ET28" s="31">
        <v>37</v>
      </c>
      <c r="EU28" s="31">
        <v>32</v>
      </c>
      <c r="EV28" s="31">
        <v>40</v>
      </c>
      <c r="EW28" s="31">
        <v>45</v>
      </c>
      <c r="EX28" s="31">
        <v>38</v>
      </c>
      <c r="EY28" s="31">
        <v>46</v>
      </c>
      <c r="EZ28" s="31">
        <v>29</v>
      </c>
      <c r="FA28" s="31">
        <v>32</v>
      </c>
      <c r="FB28" s="31">
        <v>41</v>
      </c>
      <c r="FC28" s="31">
        <v>35</v>
      </c>
      <c r="FD28" s="31">
        <v>39</v>
      </c>
      <c r="FE28" s="31">
        <v>34</v>
      </c>
      <c r="FF28" s="64">
        <v>65</v>
      </c>
      <c r="FG28" s="64">
        <v>33</v>
      </c>
      <c r="FH28" s="64">
        <v>39</v>
      </c>
      <c r="FI28" s="64">
        <v>62</v>
      </c>
      <c r="FJ28" s="64">
        <v>32</v>
      </c>
      <c r="FK28" s="64">
        <v>35</v>
      </c>
      <c r="FL28" s="64">
        <v>59</v>
      </c>
      <c r="FM28" s="64">
        <v>38</v>
      </c>
      <c r="FN28" s="64">
        <v>31</v>
      </c>
      <c r="FO28" s="64">
        <v>53</v>
      </c>
      <c r="FP28" s="64">
        <v>70</v>
      </c>
      <c r="FQ28" s="64">
        <v>46</v>
      </c>
      <c r="FR28" s="64">
        <v>58</v>
      </c>
      <c r="FS28" s="64">
        <v>64</v>
      </c>
      <c r="FT28" s="64">
        <v>45</v>
      </c>
      <c r="FU28" s="64">
        <v>56</v>
      </c>
      <c r="FV28" s="64">
        <v>63</v>
      </c>
      <c r="FW28" s="64">
        <v>43</v>
      </c>
      <c r="FX28" s="62">
        <v>54</v>
      </c>
      <c r="FY28" s="62">
        <v>61</v>
      </c>
      <c r="FZ28" s="62">
        <v>48</v>
      </c>
      <c r="GA28" s="62">
        <v>49</v>
      </c>
      <c r="GB28" s="62">
        <v>60</v>
      </c>
      <c r="GC28" s="62">
        <v>43</v>
      </c>
      <c r="GD28" s="62">
        <v>62</v>
      </c>
      <c r="GE28" s="62">
        <v>53</v>
      </c>
      <c r="GF28" s="62">
        <v>48</v>
      </c>
      <c r="GG28" s="62">
        <v>56</v>
      </c>
      <c r="GH28" s="62">
        <v>54</v>
      </c>
      <c r="GI28" s="62">
        <v>43</v>
      </c>
      <c r="GJ28" s="62">
        <v>62</v>
      </c>
      <c r="GK28" s="62">
        <v>56</v>
      </c>
      <c r="GL28" s="62">
        <v>48</v>
      </c>
      <c r="GM28" s="62">
        <v>58</v>
      </c>
      <c r="GN28" s="62">
        <v>52</v>
      </c>
      <c r="GO28" s="62">
        <v>41</v>
      </c>
      <c r="GP28" s="62">
        <v>55</v>
      </c>
      <c r="GQ28" s="62">
        <v>49</v>
      </c>
      <c r="GR28" s="62">
        <v>52</v>
      </c>
      <c r="GS28" s="62">
        <v>49</v>
      </c>
      <c r="GT28" s="62">
        <v>47</v>
      </c>
      <c r="GU28" s="62">
        <v>58</v>
      </c>
      <c r="GV28" s="62">
        <v>57</v>
      </c>
      <c r="GW28" s="62">
        <v>54</v>
      </c>
      <c r="GX28" s="62">
        <v>68</v>
      </c>
      <c r="GY28" s="62">
        <v>53</v>
      </c>
      <c r="GZ28" s="62">
        <v>52</v>
      </c>
      <c r="HA28" s="62">
        <v>61</v>
      </c>
      <c r="HB28" s="62">
        <v>58</v>
      </c>
      <c r="HC28" s="62">
        <v>65</v>
      </c>
      <c r="HD28" s="62">
        <v>69</v>
      </c>
      <c r="HE28" s="62">
        <v>51</v>
      </c>
      <c r="HF28" s="62">
        <v>62</v>
      </c>
      <c r="HG28" s="62">
        <v>63</v>
      </c>
      <c r="HH28" s="62">
        <v>72</v>
      </c>
      <c r="HI28" s="62">
        <v>68</v>
      </c>
      <c r="HJ28" s="62">
        <v>74</v>
      </c>
      <c r="HK28" s="62">
        <v>70</v>
      </c>
      <c r="HL28" s="62">
        <v>63</v>
      </c>
      <c r="HM28" s="62">
        <v>71</v>
      </c>
      <c r="HN28" s="62">
        <v>78</v>
      </c>
      <c r="HO28" s="62">
        <v>67</v>
      </c>
      <c r="HP28" s="62">
        <v>71</v>
      </c>
      <c r="HQ28" s="63">
        <v>74</v>
      </c>
      <c r="HR28" s="63">
        <v>62</v>
      </c>
      <c r="HS28" s="63">
        <v>70</v>
      </c>
      <c r="HT28" s="67">
        <v>100</v>
      </c>
      <c r="HU28" s="62">
        <v>68</v>
      </c>
      <c r="HV28" s="62">
        <v>72</v>
      </c>
      <c r="HW28" s="67">
        <v>100</v>
      </c>
      <c r="HX28" s="62">
        <v>63</v>
      </c>
      <c r="HY28" s="62">
        <v>69</v>
      </c>
      <c r="HZ28" s="67">
        <v>100</v>
      </c>
      <c r="IA28" s="62">
        <v>64</v>
      </c>
      <c r="IB28" s="62">
        <v>64</v>
      </c>
      <c r="IC28" s="68">
        <v>100</v>
      </c>
      <c r="ID28" s="63">
        <v>63</v>
      </c>
      <c r="IE28" s="63">
        <v>66</v>
      </c>
      <c r="IF28" s="67">
        <v>100</v>
      </c>
      <c r="IG28" s="67">
        <v>100</v>
      </c>
      <c r="IH28" s="67">
        <v>100</v>
      </c>
      <c r="II28" s="14">
        <v>100</v>
      </c>
      <c r="IJ28" s="14">
        <v>100</v>
      </c>
      <c r="IK28" s="14">
        <v>100</v>
      </c>
      <c r="IL28" s="16" t="s">
        <v>126</v>
      </c>
      <c r="IM28" s="16" t="s">
        <v>126</v>
      </c>
      <c r="IN28" s="16" t="s">
        <v>126</v>
      </c>
      <c r="IO28" s="16" t="s">
        <v>126</v>
      </c>
      <c r="IP28" s="16" t="s">
        <v>126</v>
      </c>
      <c r="IQ28" s="16" t="s">
        <v>126</v>
      </c>
      <c r="IR28" s="16" t="s">
        <v>126</v>
      </c>
      <c r="IS28" s="59">
        <f t="shared" si="1"/>
        <v>0</v>
      </c>
      <c r="IT28" s="186"/>
      <c r="IU28" s="18"/>
      <c r="IV28" s="21"/>
      <c r="IW28" s="21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</row>
    <row r="29" spans="1:273" ht="13.5" customHeight="1">
      <c r="A29" s="97">
        <v>25</v>
      </c>
      <c r="B29" s="77" t="s">
        <v>174</v>
      </c>
      <c r="C29" s="5">
        <v>1600</v>
      </c>
      <c r="D29" s="5">
        <v>1900</v>
      </c>
      <c r="E29" s="5">
        <v>1300</v>
      </c>
      <c r="F29" s="31" t="s">
        <v>126</v>
      </c>
      <c r="G29" s="31" t="s">
        <v>126</v>
      </c>
      <c r="H29" s="31" t="s">
        <v>126</v>
      </c>
      <c r="I29" s="78">
        <v>100</v>
      </c>
      <c r="J29" s="78">
        <v>100</v>
      </c>
      <c r="K29" s="78">
        <v>100</v>
      </c>
      <c r="L29" s="78">
        <v>100</v>
      </c>
      <c r="M29" s="78">
        <v>100</v>
      </c>
      <c r="N29" s="78">
        <v>100</v>
      </c>
      <c r="O29" s="78">
        <v>100</v>
      </c>
      <c r="P29" s="78">
        <v>100</v>
      </c>
      <c r="Q29" s="78">
        <v>100</v>
      </c>
      <c r="R29" s="78">
        <v>100</v>
      </c>
      <c r="S29" s="78">
        <v>100</v>
      </c>
      <c r="T29" s="78">
        <v>100</v>
      </c>
      <c r="U29" s="78">
        <v>100</v>
      </c>
      <c r="V29" s="78">
        <v>100</v>
      </c>
      <c r="W29" s="78">
        <v>100</v>
      </c>
      <c r="X29" s="78">
        <v>100</v>
      </c>
      <c r="Y29" s="78">
        <v>100</v>
      </c>
      <c r="Z29" s="78">
        <v>100</v>
      </c>
      <c r="AA29" s="78">
        <v>100</v>
      </c>
      <c r="AB29" s="78">
        <v>100</v>
      </c>
      <c r="AC29" s="78">
        <v>100</v>
      </c>
      <c r="AD29" s="78">
        <v>100</v>
      </c>
      <c r="AE29" s="78">
        <v>100</v>
      </c>
      <c r="AF29" s="78">
        <v>100</v>
      </c>
      <c r="AG29" s="78">
        <v>100</v>
      </c>
      <c r="AH29" s="78">
        <v>100</v>
      </c>
      <c r="AI29" s="78">
        <v>100</v>
      </c>
      <c r="AJ29" s="78">
        <v>100</v>
      </c>
      <c r="AK29" s="78">
        <v>100</v>
      </c>
      <c r="AL29" s="78">
        <v>100</v>
      </c>
      <c r="AM29" s="78">
        <v>100</v>
      </c>
      <c r="AN29" s="78">
        <v>100</v>
      </c>
      <c r="AO29" s="78">
        <v>100</v>
      </c>
      <c r="AP29" s="78">
        <v>100</v>
      </c>
      <c r="AQ29" s="78">
        <v>100</v>
      </c>
      <c r="AR29" s="78">
        <v>100</v>
      </c>
      <c r="AS29" s="78">
        <v>100</v>
      </c>
      <c r="AT29" s="78">
        <v>100</v>
      </c>
      <c r="AU29" s="78">
        <v>100</v>
      </c>
      <c r="AV29" s="78">
        <v>100</v>
      </c>
      <c r="AW29" s="78">
        <v>100</v>
      </c>
      <c r="AX29" s="78">
        <v>100</v>
      </c>
      <c r="AY29" s="78">
        <v>100</v>
      </c>
      <c r="AZ29" s="78">
        <v>100</v>
      </c>
      <c r="BA29" s="78">
        <v>100</v>
      </c>
      <c r="BB29" s="78">
        <v>100</v>
      </c>
      <c r="BC29" s="78">
        <v>100</v>
      </c>
      <c r="BD29" s="78">
        <v>100</v>
      </c>
      <c r="BE29" s="78">
        <v>100</v>
      </c>
      <c r="BF29" s="78">
        <v>100</v>
      </c>
      <c r="BG29" s="78">
        <v>100</v>
      </c>
      <c r="BH29" s="78">
        <v>100</v>
      </c>
      <c r="BI29" s="78">
        <v>100</v>
      </c>
      <c r="BJ29" s="78">
        <v>100</v>
      </c>
      <c r="BK29" s="78">
        <v>100</v>
      </c>
      <c r="BL29" s="78">
        <v>100</v>
      </c>
      <c r="BM29" s="78">
        <v>100</v>
      </c>
      <c r="BN29" s="78">
        <v>100</v>
      </c>
      <c r="BO29" s="78">
        <v>100</v>
      </c>
      <c r="BP29" s="78">
        <v>100</v>
      </c>
      <c r="BQ29" s="78">
        <v>100</v>
      </c>
      <c r="BR29" s="78">
        <v>100</v>
      </c>
      <c r="BS29" s="78">
        <v>100</v>
      </c>
      <c r="BT29" s="78">
        <v>100</v>
      </c>
      <c r="BU29" s="78">
        <v>100</v>
      </c>
      <c r="BV29" s="78">
        <v>100</v>
      </c>
      <c r="BW29" s="78">
        <v>100</v>
      </c>
      <c r="BX29" s="78">
        <v>100</v>
      </c>
      <c r="BY29" s="78">
        <v>100</v>
      </c>
      <c r="BZ29" s="78">
        <v>100</v>
      </c>
      <c r="CA29" s="78">
        <v>100</v>
      </c>
      <c r="CB29" s="78">
        <v>100</v>
      </c>
      <c r="CC29" s="78">
        <v>100</v>
      </c>
      <c r="CD29" s="78">
        <v>100</v>
      </c>
      <c r="CE29" s="78">
        <v>100</v>
      </c>
      <c r="CF29" s="78">
        <v>100</v>
      </c>
      <c r="CG29" s="78">
        <v>100</v>
      </c>
      <c r="CH29" s="78">
        <v>100</v>
      </c>
      <c r="CI29" s="78">
        <v>100</v>
      </c>
      <c r="CJ29" s="78">
        <v>100</v>
      </c>
      <c r="CK29" s="78">
        <v>100</v>
      </c>
      <c r="CL29" s="78">
        <v>100</v>
      </c>
      <c r="CM29" s="78">
        <v>100</v>
      </c>
      <c r="CN29" s="78">
        <v>100</v>
      </c>
      <c r="CO29" s="78">
        <v>100</v>
      </c>
      <c r="CP29" s="78">
        <v>100</v>
      </c>
      <c r="CQ29" s="78">
        <v>100</v>
      </c>
      <c r="CR29" s="78">
        <v>100</v>
      </c>
      <c r="CS29" s="78">
        <v>100</v>
      </c>
      <c r="CT29" s="78">
        <v>100</v>
      </c>
      <c r="CU29" s="78">
        <v>100</v>
      </c>
      <c r="CV29" s="78">
        <v>100</v>
      </c>
      <c r="CW29" s="78">
        <v>100</v>
      </c>
      <c r="CX29" s="79">
        <v>100</v>
      </c>
      <c r="CY29" s="79">
        <v>100</v>
      </c>
      <c r="CZ29" s="79">
        <v>100</v>
      </c>
      <c r="DA29" s="79">
        <v>100</v>
      </c>
      <c r="DB29" s="79">
        <v>100</v>
      </c>
      <c r="DC29" s="79">
        <v>100</v>
      </c>
      <c r="DD29" s="78">
        <v>100</v>
      </c>
      <c r="DE29" s="78">
        <v>100</v>
      </c>
      <c r="DF29" s="78">
        <v>100</v>
      </c>
      <c r="DG29" s="78">
        <v>100</v>
      </c>
      <c r="DH29" s="78">
        <v>100</v>
      </c>
      <c r="DI29" s="78">
        <v>100</v>
      </c>
      <c r="DJ29" s="78">
        <v>100</v>
      </c>
      <c r="DK29" s="78">
        <v>100</v>
      </c>
      <c r="DL29" s="78">
        <v>100</v>
      </c>
      <c r="DM29" s="78">
        <v>100</v>
      </c>
      <c r="DN29" s="78">
        <v>100</v>
      </c>
      <c r="DO29" s="78">
        <v>100</v>
      </c>
      <c r="DP29" s="78">
        <v>100</v>
      </c>
      <c r="DQ29" s="78">
        <v>100</v>
      </c>
      <c r="DR29" s="78">
        <v>100</v>
      </c>
      <c r="DS29" s="78">
        <v>100</v>
      </c>
      <c r="DT29" s="78">
        <v>100</v>
      </c>
      <c r="DU29" s="78">
        <v>100</v>
      </c>
      <c r="DV29" s="78">
        <v>100</v>
      </c>
      <c r="DW29" s="78">
        <v>100</v>
      </c>
      <c r="DX29" s="78">
        <v>100</v>
      </c>
      <c r="DY29" s="78">
        <v>100</v>
      </c>
      <c r="DZ29" s="78">
        <v>100</v>
      </c>
      <c r="EA29" s="78">
        <v>100</v>
      </c>
      <c r="EB29" s="78">
        <v>100</v>
      </c>
      <c r="EC29" s="78">
        <v>100</v>
      </c>
      <c r="ED29" s="78">
        <v>100</v>
      </c>
      <c r="EE29" s="78">
        <v>100</v>
      </c>
      <c r="EF29" s="78">
        <v>100</v>
      </c>
      <c r="EG29" s="78">
        <v>100</v>
      </c>
      <c r="EH29" s="78">
        <v>100</v>
      </c>
      <c r="EI29" s="78">
        <v>100</v>
      </c>
      <c r="EJ29" s="78">
        <v>100</v>
      </c>
      <c r="EK29" s="78">
        <v>100</v>
      </c>
      <c r="EL29" s="78">
        <v>100</v>
      </c>
      <c r="EM29" s="78">
        <v>100</v>
      </c>
      <c r="EN29" s="78">
        <v>100</v>
      </c>
      <c r="EO29" s="78">
        <v>100</v>
      </c>
      <c r="EP29" s="78">
        <v>100</v>
      </c>
      <c r="EQ29" s="78">
        <v>100</v>
      </c>
      <c r="ER29" s="78">
        <v>100</v>
      </c>
      <c r="ES29" s="78">
        <v>100</v>
      </c>
      <c r="ET29" s="78">
        <v>100</v>
      </c>
      <c r="EU29" s="78">
        <v>100</v>
      </c>
      <c r="EV29" s="78">
        <v>100</v>
      </c>
      <c r="EW29" s="66">
        <v>100</v>
      </c>
      <c r="EX29" s="66">
        <v>100</v>
      </c>
      <c r="EY29" s="88">
        <v>100</v>
      </c>
      <c r="EZ29" s="88">
        <v>100</v>
      </c>
      <c r="FA29" s="88">
        <v>100</v>
      </c>
      <c r="FB29" s="88">
        <v>100</v>
      </c>
      <c r="FC29" s="66">
        <v>100</v>
      </c>
      <c r="FD29" s="66">
        <v>100</v>
      </c>
      <c r="FE29" s="66">
        <v>100</v>
      </c>
      <c r="FF29" s="66">
        <v>100</v>
      </c>
      <c r="FG29" s="66">
        <v>100</v>
      </c>
      <c r="FH29" s="66">
        <v>100</v>
      </c>
      <c r="FI29" s="66">
        <v>100</v>
      </c>
      <c r="FJ29" s="66">
        <v>100</v>
      </c>
      <c r="FK29" s="66">
        <v>100</v>
      </c>
      <c r="FL29" s="66">
        <v>100</v>
      </c>
      <c r="FM29" s="66">
        <v>100</v>
      </c>
      <c r="FN29" s="66">
        <v>100</v>
      </c>
      <c r="FO29" s="66">
        <v>100</v>
      </c>
      <c r="FP29" s="66">
        <v>100</v>
      </c>
      <c r="FQ29" s="66">
        <v>100</v>
      </c>
      <c r="FR29" s="66">
        <v>100</v>
      </c>
      <c r="FS29" s="66">
        <v>100</v>
      </c>
      <c r="FT29" s="66">
        <v>100</v>
      </c>
      <c r="FU29" s="66">
        <v>100</v>
      </c>
      <c r="FV29" s="66">
        <v>100</v>
      </c>
      <c r="FW29" s="66">
        <v>100</v>
      </c>
      <c r="FX29" s="67">
        <v>100</v>
      </c>
      <c r="FY29" s="67">
        <v>100</v>
      </c>
      <c r="FZ29" s="67">
        <v>100</v>
      </c>
      <c r="GA29" s="67">
        <v>100</v>
      </c>
      <c r="GB29" s="67">
        <v>100</v>
      </c>
      <c r="GC29" s="67">
        <v>100</v>
      </c>
      <c r="GD29" s="67">
        <v>100</v>
      </c>
      <c r="GE29" s="67">
        <v>100</v>
      </c>
      <c r="GF29" s="67">
        <v>100</v>
      </c>
      <c r="GG29" s="67">
        <v>100</v>
      </c>
      <c r="GH29" s="67">
        <v>100</v>
      </c>
      <c r="GI29" s="67">
        <v>100</v>
      </c>
      <c r="GJ29" s="67">
        <v>100</v>
      </c>
      <c r="GK29" s="67">
        <v>100</v>
      </c>
      <c r="GL29" s="67">
        <v>100</v>
      </c>
      <c r="GM29" s="67">
        <v>100</v>
      </c>
      <c r="GN29" s="67">
        <v>100</v>
      </c>
      <c r="GO29" s="67">
        <v>100</v>
      </c>
      <c r="GP29" s="67">
        <v>100</v>
      </c>
      <c r="GQ29" s="67">
        <v>100</v>
      </c>
      <c r="GR29" s="67">
        <v>100</v>
      </c>
      <c r="GS29" s="67">
        <v>100</v>
      </c>
      <c r="GT29" s="67">
        <v>100</v>
      </c>
      <c r="GU29" s="67">
        <v>100</v>
      </c>
      <c r="GV29" s="67">
        <v>100</v>
      </c>
      <c r="GW29" s="67">
        <v>100</v>
      </c>
      <c r="GX29" s="67">
        <v>100</v>
      </c>
      <c r="GY29" s="67">
        <v>100</v>
      </c>
      <c r="GZ29" s="67">
        <v>100</v>
      </c>
      <c r="HA29" s="67">
        <v>100</v>
      </c>
      <c r="HB29" s="67">
        <v>100</v>
      </c>
      <c r="HC29" s="67">
        <v>100</v>
      </c>
      <c r="HD29" s="67">
        <v>100</v>
      </c>
      <c r="HE29" s="67">
        <v>100</v>
      </c>
      <c r="HF29" s="67">
        <v>100</v>
      </c>
      <c r="HG29" s="67">
        <v>100</v>
      </c>
      <c r="HH29" s="67">
        <v>100</v>
      </c>
      <c r="HI29" s="67">
        <v>100</v>
      </c>
      <c r="HJ29" s="67">
        <v>100</v>
      </c>
      <c r="HK29" s="67">
        <v>100</v>
      </c>
      <c r="HL29" s="67">
        <v>100</v>
      </c>
      <c r="HM29" s="67">
        <v>100</v>
      </c>
      <c r="HN29" s="67">
        <v>100</v>
      </c>
      <c r="HO29" s="67">
        <v>100</v>
      </c>
      <c r="HP29" s="67">
        <v>100</v>
      </c>
      <c r="HQ29" s="68">
        <v>100</v>
      </c>
      <c r="HR29" s="68">
        <v>100</v>
      </c>
      <c r="HS29" s="68">
        <v>100</v>
      </c>
      <c r="HT29" s="67">
        <v>100</v>
      </c>
      <c r="HU29" s="67">
        <v>100</v>
      </c>
      <c r="HV29" s="67">
        <v>100</v>
      </c>
      <c r="HW29" s="67">
        <v>100</v>
      </c>
      <c r="HX29" s="67">
        <v>100</v>
      </c>
      <c r="HY29" s="67">
        <v>100</v>
      </c>
      <c r="HZ29" s="67">
        <v>100</v>
      </c>
      <c r="IA29" s="67">
        <v>100</v>
      </c>
      <c r="IB29" s="67">
        <v>100</v>
      </c>
      <c r="IC29" s="68">
        <v>100</v>
      </c>
      <c r="ID29" s="68">
        <v>100</v>
      </c>
      <c r="IE29" s="68">
        <v>100</v>
      </c>
      <c r="IF29" s="67">
        <v>100</v>
      </c>
      <c r="IG29" s="67">
        <v>100</v>
      </c>
      <c r="IH29" s="67">
        <v>100</v>
      </c>
      <c r="II29" s="14">
        <v>100</v>
      </c>
      <c r="IJ29" s="14">
        <v>100</v>
      </c>
      <c r="IK29" s="14">
        <v>100</v>
      </c>
      <c r="IL29" s="16" t="s">
        <v>126</v>
      </c>
      <c r="IM29" s="16" t="s">
        <v>126</v>
      </c>
      <c r="IN29" s="16" t="s">
        <v>126</v>
      </c>
      <c r="IO29" s="16" t="s">
        <v>126</v>
      </c>
      <c r="IP29" s="16" t="s">
        <v>126</v>
      </c>
      <c r="IQ29" s="16" t="s">
        <v>126</v>
      </c>
      <c r="IR29" s="16" t="s">
        <v>126</v>
      </c>
      <c r="IS29" s="59">
        <f t="shared" si="1"/>
        <v>0</v>
      </c>
      <c r="IT29" s="186"/>
      <c r="IU29" s="18"/>
      <c r="IV29" s="21"/>
      <c r="IW29" s="21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</row>
    <row r="30" spans="1:273" ht="13.5" customHeight="1">
      <c r="A30" s="97">
        <v>26</v>
      </c>
      <c r="B30" s="77" t="s">
        <v>175</v>
      </c>
      <c r="C30" s="5">
        <v>1300</v>
      </c>
      <c r="D30" s="5">
        <v>1300</v>
      </c>
      <c r="E30" s="5">
        <v>1000</v>
      </c>
      <c r="F30" s="31" t="s">
        <v>126</v>
      </c>
      <c r="G30" s="31" t="s">
        <v>126</v>
      </c>
      <c r="H30" s="31" t="s">
        <v>126</v>
      </c>
      <c r="I30" s="78">
        <v>100</v>
      </c>
      <c r="J30" s="78">
        <v>100</v>
      </c>
      <c r="K30" s="78">
        <v>100</v>
      </c>
      <c r="L30" s="78">
        <v>100</v>
      </c>
      <c r="M30" s="78">
        <v>100</v>
      </c>
      <c r="N30" s="78">
        <v>100</v>
      </c>
      <c r="O30" s="78">
        <v>100</v>
      </c>
      <c r="P30" s="78">
        <v>100</v>
      </c>
      <c r="Q30" s="78">
        <v>100</v>
      </c>
      <c r="R30" s="78">
        <v>100</v>
      </c>
      <c r="S30" s="78">
        <v>100</v>
      </c>
      <c r="T30" s="78">
        <v>100</v>
      </c>
      <c r="U30" s="78">
        <v>100</v>
      </c>
      <c r="V30" s="78">
        <v>100</v>
      </c>
      <c r="W30" s="78">
        <v>100</v>
      </c>
      <c r="X30" s="78">
        <v>100</v>
      </c>
      <c r="Y30" s="78">
        <v>100</v>
      </c>
      <c r="Z30" s="78">
        <v>100</v>
      </c>
      <c r="AA30" s="78">
        <v>100</v>
      </c>
      <c r="AB30" s="78">
        <v>100</v>
      </c>
      <c r="AC30" s="78">
        <v>100</v>
      </c>
      <c r="AD30" s="78">
        <v>100</v>
      </c>
      <c r="AE30" s="78">
        <v>100</v>
      </c>
      <c r="AF30" s="78">
        <v>100</v>
      </c>
      <c r="AG30" s="78">
        <v>100</v>
      </c>
      <c r="AH30" s="78">
        <v>100</v>
      </c>
      <c r="AI30" s="78">
        <v>100</v>
      </c>
      <c r="AJ30" s="78">
        <v>100</v>
      </c>
      <c r="AK30" s="78">
        <v>100</v>
      </c>
      <c r="AL30" s="78">
        <v>100</v>
      </c>
      <c r="AM30" s="78">
        <v>100</v>
      </c>
      <c r="AN30" s="78">
        <v>100</v>
      </c>
      <c r="AO30" s="78">
        <v>100</v>
      </c>
      <c r="AP30" s="78">
        <v>100</v>
      </c>
      <c r="AQ30" s="78">
        <v>100</v>
      </c>
      <c r="AR30" s="78">
        <v>100</v>
      </c>
      <c r="AS30" s="78">
        <v>100</v>
      </c>
      <c r="AT30" s="78">
        <v>100</v>
      </c>
      <c r="AU30" s="78">
        <v>100</v>
      </c>
      <c r="AV30" s="78">
        <v>100</v>
      </c>
      <c r="AW30" s="78">
        <v>100</v>
      </c>
      <c r="AX30" s="78">
        <v>100</v>
      </c>
      <c r="AY30" s="78">
        <v>100</v>
      </c>
      <c r="AZ30" s="78">
        <v>100</v>
      </c>
      <c r="BA30" s="78">
        <v>100</v>
      </c>
      <c r="BB30" s="78">
        <v>100</v>
      </c>
      <c r="BC30" s="78">
        <v>100</v>
      </c>
      <c r="BD30" s="78">
        <v>100</v>
      </c>
      <c r="BE30" s="78">
        <v>100</v>
      </c>
      <c r="BF30" s="78">
        <v>100</v>
      </c>
      <c r="BG30" s="78">
        <v>100</v>
      </c>
      <c r="BH30" s="78">
        <v>100</v>
      </c>
      <c r="BI30" s="78">
        <v>100</v>
      </c>
      <c r="BJ30" s="78">
        <v>100</v>
      </c>
      <c r="BK30" s="78">
        <v>100</v>
      </c>
      <c r="BL30" s="78">
        <v>100</v>
      </c>
      <c r="BM30" s="78">
        <v>100</v>
      </c>
      <c r="BN30" s="78">
        <v>100</v>
      </c>
      <c r="BO30" s="78">
        <v>100</v>
      </c>
      <c r="BP30" s="78">
        <v>100</v>
      </c>
      <c r="BQ30" s="78">
        <v>100</v>
      </c>
      <c r="BR30" s="78">
        <v>100</v>
      </c>
      <c r="BS30" s="78">
        <v>100</v>
      </c>
      <c r="BT30" s="78">
        <v>100</v>
      </c>
      <c r="BU30" s="78">
        <v>100</v>
      </c>
      <c r="BV30" s="78">
        <v>100</v>
      </c>
      <c r="BW30" s="78">
        <v>100</v>
      </c>
      <c r="BX30" s="78">
        <v>100</v>
      </c>
      <c r="BY30" s="78">
        <v>100</v>
      </c>
      <c r="BZ30" s="78">
        <v>100</v>
      </c>
      <c r="CA30" s="78">
        <v>100</v>
      </c>
      <c r="CB30" s="78">
        <v>100</v>
      </c>
      <c r="CC30" s="78">
        <v>100</v>
      </c>
      <c r="CD30" s="78">
        <v>100</v>
      </c>
      <c r="CE30" s="78">
        <v>100</v>
      </c>
      <c r="CF30" s="78">
        <v>100</v>
      </c>
      <c r="CG30" s="78">
        <v>100</v>
      </c>
      <c r="CH30" s="78">
        <v>100</v>
      </c>
      <c r="CI30" s="78">
        <v>100</v>
      </c>
      <c r="CJ30" s="78">
        <v>100</v>
      </c>
      <c r="CK30" s="78">
        <v>100</v>
      </c>
      <c r="CL30" s="78">
        <v>100</v>
      </c>
      <c r="CM30" s="78">
        <v>100</v>
      </c>
      <c r="CN30" s="78">
        <v>100</v>
      </c>
      <c r="CO30" s="78">
        <v>100</v>
      </c>
      <c r="CP30" s="78">
        <v>100</v>
      </c>
      <c r="CQ30" s="78">
        <v>100</v>
      </c>
      <c r="CR30" s="78">
        <v>100</v>
      </c>
      <c r="CS30" s="78">
        <v>100</v>
      </c>
      <c r="CT30" s="78">
        <v>100</v>
      </c>
      <c r="CU30" s="78">
        <v>100</v>
      </c>
      <c r="CV30" s="78">
        <v>100</v>
      </c>
      <c r="CW30" s="78">
        <v>100</v>
      </c>
      <c r="CX30" s="79">
        <v>100</v>
      </c>
      <c r="CY30" s="79">
        <v>100</v>
      </c>
      <c r="CZ30" s="79">
        <v>100</v>
      </c>
      <c r="DA30" s="79">
        <v>100</v>
      </c>
      <c r="DB30" s="79">
        <v>100</v>
      </c>
      <c r="DC30" s="79">
        <v>100</v>
      </c>
      <c r="DD30" s="78">
        <v>100</v>
      </c>
      <c r="DE30" s="78">
        <v>100</v>
      </c>
      <c r="DF30" s="78">
        <v>100</v>
      </c>
      <c r="DG30" s="78">
        <v>100</v>
      </c>
      <c r="DH30" s="78">
        <v>100</v>
      </c>
      <c r="DI30" s="78">
        <v>100</v>
      </c>
      <c r="DJ30" s="78">
        <v>100</v>
      </c>
      <c r="DK30" s="78">
        <v>100</v>
      </c>
      <c r="DL30" s="78">
        <v>100</v>
      </c>
      <c r="DM30" s="78">
        <v>100</v>
      </c>
      <c r="DN30" s="78">
        <v>100</v>
      </c>
      <c r="DO30" s="78">
        <v>100</v>
      </c>
      <c r="DP30" s="78">
        <v>100</v>
      </c>
      <c r="DQ30" s="78">
        <v>100</v>
      </c>
      <c r="DR30" s="78">
        <v>100</v>
      </c>
      <c r="DS30" s="78">
        <v>100</v>
      </c>
      <c r="DT30" s="78">
        <v>100</v>
      </c>
      <c r="DU30" s="78">
        <v>100</v>
      </c>
      <c r="DV30" s="78">
        <v>100</v>
      </c>
      <c r="DW30" s="78">
        <v>100</v>
      </c>
      <c r="DX30" s="78">
        <v>100</v>
      </c>
      <c r="DY30" s="78">
        <v>100</v>
      </c>
      <c r="DZ30" s="78">
        <v>100</v>
      </c>
      <c r="EA30" s="78">
        <v>100</v>
      </c>
      <c r="EB30" s="78">
        <v>100</v>
      </c>
      <c r="EC30" s="78">
        <v>100</v>
      </c>
      <c r="ED30" s="78">
        <v>100</v>
      </c>
      <c r="EE30" s="78">
        <v>100</v>
      </c>
      <c r="EF30" s="78">
        <v>100</v>
      </c>
      <c r="EG30" s="78">
        <v>100</v>
      </c>
      <c r="EH30" s="78">
        <v>100</v>
      </c>
      <c r="EI30" s="78">
        <v>100</v>
      </c>
      <c r="EJ30" s="78">
        <v>100</v>
      </c>
      <c r="EK30" s="78">
        <v>100</v>
      </c>
      <c r="EL30" s="78">
        <v>100</v>
      </c>
      <c r="EM30" s="78">
        <v>100</v>
      </c>
      <c r="EN30" s="78">
        <v>100</v>
      </c>
      <c r="EO30" s="78">
        <v>100</v>
      </c>
      <c r="EP30" s="78">
        <v>100</v>
      </c>
      <c r="EQ30" s="78">
        <v>100</v>
      </c>
      <c r="ER30" s="78">
        <v>100</v>
      </c>
      <c r="ES30" s="78">
        <v>100</v>
      </c>
      <c r="ET30" s="78">
        <v>100</v>
      </c>
      <c r="EU30" s="78">
        <v>100</v>
      </c>
      <c r="EV30" s="78">
        <v>100</v>
      </c>
      <c r="EW30" s="66">
        <v>100</v>
      </c>
      <c r="EX30" s="66">
        <v>100</v>
      </c>
      <c r="EY30" s="88">
        <v>100</v>
      </c>
      <c r="EZ30" s="88">
        <v>100</v>
      </c>
      <c r="FA30" s="88">
        <v>100</v>
      </c>
      <c r="FB30" s="88">
        <v>100</v>
      </c>
      <c r="FC30" s="66">
        <v>100</v>
      </c>
      <c r="FD30" s="66">
        <v>100</v>
      </c>
      <c r="FE30" s="66">
        <v>100</v>
      </c>
      <c r="FF30" s="66">
        <v>100</v>
      </c>
      <c r="FG30" s="66">
        <v>100</v>
      </c>
      <c r="FH30" s="66">
        <v>100</v>
      </c>
      <c r="FI30" s="66">
        <v>100</v>
      </c>
      <c r="FJ30" s="66">
        <v>100</v>
      </c>
      <c r="FK30" s="66">
        <v>100</v>
      </c>
      <c r="FL30" s="66">
        <v>100</v>
      </c>
      <c r="FM30" s="66">
        <v>100</v>
      </c>
      <c r="FN30" s="66">
        <v>100</v>
      </c>
      <c r="FO30" s="66">
        <v>100</v>
      </c>
      <c r="FP30" s="66">
        <v>100</v>
      </c>
      <c r="FQ30" s="66">
        <v>100</v>
      </c>
      <c r="FR30" s="66">
        <v>100</v>
      </c>
      <c r="FS30" s="66">
        <v>100</v>
      </c>
      <c r="FT30" s="66">
        <v>100</v>
      </c>
      <c r="FU30" s="66">
        <v>100</v>
      </c>
      <c r="FV30" s="66">
        <v>100</v>
      </c>
      <c r="FW30" s="66">
        <v>100</v>
      </c>
      <c r="FX30" s="67">
        <v>100</v>
      </c>
      <c r="FY30" s="67">
        <v>100</v>
      </c>
      <c r="FZ30" s="67">
        <v>100</v>
      </c>
      <c r="GA30" s="67">
        <v>100</v>
      </c>
      <c r="GB30" s="67">
        <v>100</v>
      </c>
      <c r="GC30" s="67">
        <v>100</v>
      </c>
      <c r="GD30" s="67">
        <v>100</v>
      </c>
      <c r="GE30" s="67">
        <v>100</v>
      </c>
      <c r="GF30" s="67">
        <v>100</v>
      </c>
      <c r="GG30" s="67">
        <v>100</v>
      </c>
      <c r="GH30" s="67">
        <v>100</v>
      </c>
      <c r="GI30" s="67">
        <v>100</v>
      </c>
      <c r="GJ30" s="67">
        <v>100</v>
      </c>
      <c r="GK30" s="67">
        <v>100</v>
      </c>
      <c r="GL30" s="67">
        <v>100</v>
      </c>
      <c r="GM30" s="67">
        <v>100</v>
      </c>
      <c r="GN30" s="67">
        <v>100</v>
      </c>
      <c r="GO30" s="67">
        <v>100</v>
      </c>
      <c r="GP30" s="67">
        <v>100</v>
      </c>
      <c r="GQ30" s="67">
        <v>100</v>
      </c>
      <c r="GR30" s="67">
        <v>100</v>
      </c>
      <c r="GS30" s="67">
        <v>100</v>
      </c>
      <c r="GT30" s="67">
        <v>100</v>
      </c>
      <c r="GU30" s="67">
        <v>100</v>
      </c>
      <c r="GV30" s="67">
        <v>100</v>
      </c>
      <c r="GW30" s="67">
        <v>100</v>
      </c>
      <c r="GX30" s="67">
        <v>100</v>
      </c>
      <c r="GY30" s="67">
        <v>100</v>
      </c>
      <c r="GZ30" s="67">
        <v>100</v>
      </c>
      <c r="HA30" s="67">
        <v>100</v>
      </c>
      <c r="HB30" s="67">
        <v>100</v>
      </c>
      <c r="HC30" s="67">
        <v>100</v>
      </c>
      <c r="HD30" s="67">
        <v>100</v>
      </c>
      <c r="HE30" s="67">
        <v>100</v>
      </c>
      <c r="HF30" s="67">
        <v>100</v>
      </c>
      <c r="HG30" s="67">
        <v>100</v>
      </c>
      <c r="HH30" s="67">
        <v>100</v>
      </c>
      <c r="HI30" s="67">
        <v>100</v>
      </c>
      <c r="HJ30" s="67">
        <v>100</v>
      </c>
      <c r="HK30" s="67">
        <v>100</v>
      </c>
      <c r="HL30" s="67">
        <v>100</v>
      </c>
      <c r="HM30" s="67">
        <v>100</v>
      </c>
      <c r="HN30" s="67">
        <v>100</v>
      </c>
      <c r="HO30" s="67">
        <v>100</v>
      </c>
      <c r="HP30" s="67">
        <v>100</v>
      </c>
      <c r="HQ30" s="68">
        <v>100</v>
      </c>
      <c r="HR30" s="68">
        <v>100</v>
      </c>
      <c r="HS30" s="68">
        <v>100</v>
      </c>
      <c r="HT30" s="67">
        <v>100</v>
      </c>
      <c r="HU30" s="67">
        <v>100</v>
      </c>
      <c r="HV30" s="67">
        <v>100</v>
      </c>
      <c r="HW30" s="67">
        <v>100</v>
      </c>
      <c r="HX30" s="67">
        <v>100</v>
      </c>
      <c r="HY30" s="67">
        <v>100</v>
      </c>
      <c r="HZ30" s="67">
        <v>100</v>
      </c>
      <c r="IA30" s="67">
        <v>100</v>
      </c>
      <c r="IB30" s="67">
        <v>100</v>
      </c>
      <c r="IC30" s="68">
        <v>100</v>
      </c>
      <c r="ID30" s="68">
        <v>100</v>
      </c>
      <c r="IE30" s="68">
        <v>100</v>
      </c>
      <c r="IF30" s="67">
        <v>100</v>
      </c>
      <c r="IG30" s="67">
        <v>100</v>
      </c>
      <c r="IH30" s="67">
        <v>100</v>
      </c>
      <c r="II30" s="67">
        <v>100</v>
      </c>
      <c r="IJ30" s="67">
        <v>100</v>
      </c>
      <c r="IK30" s="67">
        <v>100</v>
      </c>
      <c r="IL30" s="16" t="s">
        <v>126</v>
      </c>
      <c r="IM30" s="16" t="s">
        <v>126</v>
      </c>
      <c r="IN30" s="16" t="s">
        <v>126</v>
      </c>
      <c r="IO30" s="16" t="s">
        <v>126</v>
      </c>
      <c r="IP30" s="16" t="s">
        <v>126</v>
      </c>
      <c r="IQ30" s="16" t="s">
        <v>126</v>
      </c>
      <c r="IR30" s="16" t="s">
        <v>126</v>
      </c>
      <c r="IS30" s="59">
        <f t="shared" si="1"/>
        <v>0</v>
      </c>
      <c r="IT30" s="186"/>
      <c r="IU30" s="18"/>
      <c r="IV30" s="21"/>
      <c r="IW30" s="21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</row>
    <row r="31" spans="1:273" ht="13.5" customHeight="1">
      <c r="A31" s="97">
        <v>27</v>
      </c>
      <c r="B31" s="77" t="s">
        <v>176</v>
      </c>
      <c r="C31" s="6">
        <v>10</v>
      </c>
      <c r="D31" s="6">
        <v>20</v>
      </c>
      <c r="E31" s="6">
        <v>20</v>
      </c>
      <c r="F31" s="31" t="s">
        <v>126</v>
      </c>
      <c r="G31" s="31" t="s">
        <v>126</v>
      </c>
      <c r="H31" s="31" t="s">
        <v>126</v>
      </c>
      <c r="I31" s="78">
        <v>100</v>
      </c>
      <c r="J31" s="78">
        <v>100</v>
      </c>
      <c r="K31" s="78">
        <v>100</v>
      </c>
      <c r="L31" s="78">
        <v>100</v>
      </c>
      <c r="M31" s="78">
        <v>100</v>
      </c>
      <c r="N31" s="78">
        <v>100</v>
      </c>
      <c r="O31" s="78">
        <v>100</v>
      </c>
      <c r="P31" s="78">
        <v>100</v>
      </c>
      <c r="Q31" s="78">
        <v>100</v>
      </c>
      <c r="R31" s="78">
        <v>100</v>
      </c>
      <c r="S31" s="78">
        <v>100</v>
      </c>
      <c r="T31" s="78">
        <v>100</v>
      </c>
      <c r="U31" s="31">
        <v>28</v>
      </c>
      <c r="V31" s="78">
        <v>100</v>
      </c>
      <c r="W31" s="78">
        <v>100</v>
      </c>
      <c r="X31" s="78">
        <v>100</v>
      </c>
      <c r="Y31" s="78">
        <v>100</v>
      </c>
      <c r="Z31" s="78">
        <v>100</v>
      </c>
      <c r="AA31" s="78">
        <v>100</v>
      </c>
      <c r="AB31" s="78">
        <v>100</v>
      </c>
      <c r="AC31" s="78">
        <v>100</v>
      </c>
      <c r="AD31" s="78">
        <v>100</v>
      </c>
      <c r="AE31" s="78">
        <v>100</v>
      </c>
      <c r="AF31" s="78">
        <v>100</v>
      </c>
      <c r="AG31" s="78">
        <v>100</v>
      </c>
      <c r="AH31" s="78">
        <v>100</v>
      </c>
      <c r="AI31" s="78">
        <v>100</v>
      </c>
      <c r="AJ31" s="31">
        <v>54</v>
      </c>
      <c r="AK31" s="78">
        <v>100</v>
      </c>
      <c r="AL31" s="78">
        <v>100</v>
      </c>
      <c r="AM31" s="31">
        <v>78</v>
      </c>
      <c r="AN31" s="78">
        <v>100</v>
      </c>
      <c r="AO31" s="78">
        <v>100</v>
      </c>
      <c r="AP31" s="31">
        <v>71</v>
      </c>
      <c r="AQ31" s="78">
        <v>100</v>
      </c>
      <c r="AR31" s="78">
        <v>100</v>
      </c>
      <c r="AS31" s="31">
        <v>68</v>
      </c>
      <c r="AT31" s="78">
        <v>100</v>
      </c>
      <c r="AU31" s="31">
        <v>83</v>
      </c>
      <c r="AV31" s="31">
        <v>72</v>
      </c>
      <c r="AW31" s="31">
        <v>92</v>
      </c>
      <c r="AX31" s="31">
        <v>80</v>
      </c>
      <c r="AY31" s="78">
        <v>100</v>
      </c>
      <c r="AZ31" s="78">
        <v>100</v>
      </c>
      <c r="BA31" s="78">
        <v>100</v>
      </c>
      <c r="BB31" s="78">
        <v>100</v>
      </c>
      <c r="BC31" s="78">
        <v>100</v>
      </c>
      <c r="BD31" s="31">
        <v>78</v>
      </c>
      <c r="BE31" s="78">
        <v>100</v>
      </c>
      <c r="BF31" s="31">
        <v>96</v>
      </c>
      <c r="BG31" s="31">
        <v>74</v>
      </c>
      <c r="BH31" s="78">
        <v>100</v>
      </c>
      <c r="BI31" s="31">
        <v>94</v>
      </c>
      <c r="BJ31" s="31">
        <v>86</v>
      </c>
      <c r="BK31" s="78">
        <v>100</v>
      </c>
      <c r="BL31" s="31">
        <v>85</v>
      </c>
      <c r="BM31" s="31">
        <v>78</v>
      </c>
      <c r="BN31" s="78">
        <v>100</v>
      </c>
      <c r="BO31" s="31">
        <v>89</v>
      </c>
      <c r="BP31" s="31">
        <v>72</v>
      </c>
      <c r="BQ31" s="78">
        <v>100</v>
      </c>
      <c r="BR31" s="31">
        <v>82</v>
      </c>
      <c r="BS31" s="31">
        <v>68</v>
      </c>
      <c r="BT31" s="78">
        <v>100</v>
      </c>
      <c r="BU31" s="78">
        <v>100</v>
      </c>
      <c r="BV31" s="78">
        <v>100</v>
      </c>
      <c r="BW31" s="78">
        <v>100</v>
      </c>
      <c r="BX31" s="31">
        <v>77</v>
      </c>
      <c r="BY31" s="31">
        <v>82</v>
      </c>
      <c r="BZ31" s="78">
        <v>100</v>
      </c>
      <c r="CA31" s="31">
        <v>66</v>
      </c>
      <c r="CB31" s="31">
        <v>74</v>
      </c>
      <c r="CC31" s="31">
        <v>97</v>
      </c>
      <c r="CD31" s="31">
        <v>58</v>
      </c>
      <c r="CE31" s="31">
        <v>66</v>
      </c>
      <c r="CF31" s="31">
        <v>85</v>
      </c>
      <c r="CG31" s="31">
        <v>57</v>
      </c>
      <c r="CH31" s="31">
        <v>52</v>
      </c>
      <c r="CI31" s="31">
        <v>78</v>
      </c>
      <c r="CJ31" s="31">
        <v>55</v>
      </c>
      <c r="CK31" s="31">
        <v>57</v>
      </c>
      <c r="CL31" s="31">
        <v>76</v>
      </c>
      <c r="CM31" s="31">
        <v>55</v>
      </c>
      <c r="CN31" s="31">
        <v>60</v>
      </c>
      <c r="CO31" s="31">
        <v>71</v>
      </c>
      <c r="CP31" s="31">
        <v>58</v>
      </c>
      <c r="CQ31" s="31">
        <v>52</v>
      </c>
      <c r="CR31" s="31">
        <v>67</v>
      </c>
      <c r="CS31" s="31">
        <v>59</v>
      </c>
      <c r="CT31" s="31">
        <v>48</v>
      </c>
      <c r="CU31" s="31">
        <v>65</v>
      </c>
      <c r="CV31" s="31">
        <v>57</v>
      </c>
      <c r="CW31" s="31">
        <v>36</v>
      </c>
      <c r="CX31" s="31">
        <v>55</v>
      </c>
      <c r="CY31" s="31">
        <v>54</v>
      </c>
      <c r="CZ31" s="31">
        <v>31</v>
      </c>
      <c r="DA31" s="31">
        <v>67</v>
      </c>
      <c r="DB31" s="31">
        <v>52</v>
      </c>
      <c r="DC31" s="31">
        <v>43</v>
      </c>
      <c r="DD31" s="31">
        <v>75</v>
      </c>
      <c r="DE31" s="31">
        <v>47</v>
      </c>
      <c r="DF31" s="31">
        <v>43</v>
      </c>
      <c r="DG31" s="31">
        <v>73</v>
      </c>
      <c r="DH31" s="31">
        <v>42</v>
      </c>
      <c r="DI31" s="31">
        <v>40</v>
      </c>
      <c r="DJ31" s="31">
        <v>69</v>
      </c>
      <c r="DK31" s="31">
        <v>40</v>
      </c>
      <c r="DL31" s="31">
        <v>38</v>
      </c>
      <c r="DM31" s="31">
        <v>69</v>
      </c>
      <c r="DN31" s="31">
        <v>40</v>
      </c>
      <c r="DO31" s="31">
        <v>38</v>
      </c>
      <c r="DP31" s="31">
        <v>63</v>
      </c>
      <c r="DQ31" s="31">
        <v>33</v>
      </c>
      <c r="DR31" s="31">
        <v>36</v>
      </c>
      <c r="DS31" s="31">
        <v>59</v>
      </c>
      <c r="DT31" s="31">
        <v>38</v>
      </c>
      <c r="DU31" s="31">
        <v>34</v>
      </c>
      <c r="DV31" s="31">
        <v>52</v>
      </c>
      <c r="DW31" s="31">
        <v>35</v>
      </c>
      <c r="DX31" s="31">
        <v>35</v>
      </c>
      <c r="DY31" s="31">
        <v>48</v>
      </c>
      <c r="DZ31" s="31">
        <v>32</v>
      </c>
      <c r="EA31" s="31">
        <v>46</v>
      </c>
      <c r="EB31" s="31">
        <v>54</v>
      </c>
      <c r="EC31" s="31">
        <v>38</v>
      </c>
      <c r="ED31" s="31">
        <v>44</v>
      </c>
      <c r="EE31" s="31">
        <v>52</v>
      </c>
      <c r="EF31" s="31">
        <v>36</v>
      </c>
      <c r="EG31" s="31">
        <v>48</v>
      </c>
      <c r="EH31" s="31">
        <v>57</v>
      </c>
      <c r="EI31" s="31">
        <v>37</v>
      </c>
      <c r="EJ31" s="31">
        <v>43</v>
      </c>
      <c r="EK31" s="31">
        <v>52</v>
      </c>
      <c r="EL31" s="31">
        <v>36</v>
      </c>
      <c r="EM31" s="31">
        <v>47</v>
      </c>
      <c r="EN31" s="31">
        <v>51</v>
      </c>
      <c r="EO31" s="31">
        <v>32</v>
      </c>
      <c r="EP31" s="31">
        <v>44</v>
      </c>
      <c r="EQ31" s="31">
        <v>58</v>
      </c>
      <c r="ER31" s="31">
        <v>46</v>
      </c>
      <c r="ES31" s="31">
        <v>43</v>
      </c>
      <c r="ET31" s="31">
        <v>63</v>
      </c>
      <c r="EU31" s="31">
        <v>42</v>
      </c>
      <c r="EV31" s="31">
        <v>48</v>
      </c>
      <c r="EW31" s="31">
        <v>68</v>
      </c>
      <c r="EX31" s="31">
        <v>45</v>
      </c>
      <c r="EY31" s="31">
        <v>43</v>
      </c>
      <c r="EZ31" s="31">
        <v>65</v>
      </c>
      <c r="FA31" s="31">
        <v>48</v>
      </c>
      <c r="FB31" s="31">
        <v>52</v>
      </c>
      <c r="FC31" s="31">
        <v>62</v>
      </c>
      <c r="FD31" s="31">
        <v>44</v>
      </c>
      <c r="FE31" s="31">
        <v>53</v>
      </c>
      <c r="FF31" s="64">
        <v>88</v>
      </c>
      <c r="FG31" s="66">
        <v>100</v>
      </c>
      <c r="FH31" s="64">
        <v>50</v>
      </c>
      <c r="FI31" s="64">
        <v>76</v>
      </c>
      <c r="FJ31" s="66">
        <v>100</v>
      </c>
      <c r="FK31" s="64">
        <v>48</v>
      </c>
      <c r="FL31" s="64">
        <v>74</v>
      </c>
      <c r="FM31" s="66">
        <v>100</v>
      </c>
      <c r="FN31" s="64">
        <v>43</v>
      </c>
      <c r="FO31" s="64">
        <v>68</v>
      </c>
      <c r="FP31" s="66">
        <v>100</v>
      </c>
      <c r="FQ31" s="64">
        <v>62</v>
      </c>
      <c r="FR31" s="64">
        <v>63</v>
      </c>
      <c r="FS31" s="66">
        <v>100</v>
      </c>
      <c r="FT31" s="64">
        <v>58</v>
      </c>
      <c r="FU31" s="64">
        <v>58</v>
      </c>
      <c r="FV31" s="66">
        <v>100</v>
      </c>
      <c r="FW31" s="64">
        <v>54</v>
      </c>
      <c r="FX31" s="62">
        <v>55</v>
      </c>
      <c r="FY31" s="67">
        <v>100</v>
      </c>
      <c r="FZ31" s="62">
        <v>52</v>
      </c>
      <c r="GA31" s="62">
        <v>58</v>
      </c>
      <c r="GB31" s="67">
        <v>100</v>
      </c>
      <c r="GC31" s="62">
        <v>63</v>
      </c>
      <c r="GD31" s="62">
        <v>76</v>
      </c>
      <c r="GE31" s="62">
        <v>89</v>
      </c>
      <c r="GF31" s="62">
        <v>72</v>
      </c>
      <c r="GG31" s="62">
        <v>72</v>
      </c>
      <c r="GH31" s="62">
        <v>84</v>
      </c>
      <c r="GI31" s="62">
        <v>67</v>
      </c>
      <c r="GJ31" s="62">
        <v>69</v>
      </c>
      <c r="GK31" s="62">
        <v>81</v>
      </c>
      <c r="GL31" s="62">
        <v>63</v>
      </c>
      <c r="GM31" s="62">
        <v>82</v>
      </c>
      <c r="GN31" s="62">
        <v>87</v>
      </c>
      <c r="GO31" s="62">
        <v>74</v>
      </c>
      <c r="GP31" s="62">
        <v>80</v>
      </c>
      <c r="GQ31" s="62">
        <v>83</v>
      </c>
      <c r="GR31" s="62">
        <v>65</v>
      </c>
      <c r="GS31" s="62">
        <v>74</v>
      </c>
      <c r="GT31" s="62">
        <v>89</v>
      </c>
      <c r="GU31" s="62">
        <v>67</v>
      </c>
      <c r="GV31" s="62">
        <v>85</v>
      </c>
      <c r="GW31" s="62">
        <v>83</v>
      </c>
      <c r="GX31" s="62">
        <v>70</v>
      </c>
      <c r="GY31" s="62">
        <v>82</v>
      </c>
      <c r="GZ31" s="62">
        <v>76</v>
      </c>
      <c r="HA31" s="62">
        <v>75</v>
      </c>
      <c r="HB31" s="62">
        <v>78</v>
      </c>
      <c r="HC31" s="62">
        <v>74</v>
      </c>
      <c r="HD31" s="62">
        <v>70</v>
      </c>
      <c r="HE31" s="62">
        <v>72</v>
      </c>
      <c r="HF31" s="62">
        <v>67</v>
      </c>
      <c r="HG31" s="62">
        <v>75</v>
      </c>
      <c r="HH31" s="62">
        <v>69</v>
      </c>
      <c r="HI31" s="62">
        <v>65</v>
      </c>
      <c r="HJ31" s="62">
        <v>71</v>
      </c>
      <c r="HK31" s="62">
        <v>78</v>
      </c>
      <c r="HL31" s="62">
        <v>63</v>
      </c>
      <c r="HM31" s="62">
        <v>65</v>
      </c>
      <c r="HN31" s="62">
        <v>75</v>
      </c>
      <c r="HO31" s="62">
        <v>68</v>
      </c>
      <c r="HP31" s="62">
        <v>79</v>
      </c>
      <c r="HQ31" s="63">
        <v>71</v>
      </c>
      <c r="HR31" s="63">
        <v>77</v>
      </c>
      <c r="HS31" s="63">
        <v>82</v>
      </c>
      <c r="HT31" s="67">
        <v>100</v>
      </c>
      <c r="HU31" s="62">
        <v>78</v>
      </c>
      <c r="HV31" s="62">
        <v>83</v>
      </c>
      <c r="HW31" s="67">
        <v>100</v>
      </c>
      <c r="HX31" s="62">
        <v>77</v>
      </c>
      <c r="HY31" s="62">
        <v>89</v>
      </c>
      <c r="HZ31" s="67">
        <v>100</v>
      </c>
      <c r="IA31" s="62">
        <v>73</v>
      </c>
      <c r="IB31" s="62">
        <v>92</v>
      </c>
      <c r="IC31" s="68">
        <v>100</v>
      </c>
      <c r="ID31" s="63">
        <v>75</v>
      </c>
      <c r="IE31" s="63">
        <v>91</v>
      </c>
      <c r="IF31" s="67">
        <v>100</v>
      </c>
      <c r="IG31" s="67">
        <v>100</v>
      </c>
      <c r="IH31" s="67">
        <v>100</v>
      </c>
      <c r="II31" s="67">
        <v>100</v>
      </c>
      <c r="IJ31" s="67">
        <v>100</v>
      </c>
      <c r="IK31" s="67">
        <v>100</v>
      </c>
      <c r="IL31" s="16" t="s">
        <v>126</v>
      </c>
      <c r="IM31" s="16" t="s">
        <v>126</v>
      </c>
      <c r="IN31" s="16" t="s">
        <v>126</v>
      </c>
      <c r="IO31" s="16" t="s">
        <v>126</v>
      </c>
      <c r="IP31" s="16" t="s">
        <v>126</v>
      </c>
      <c r="IQ31" s="16" t="s">
        <v>126</v>
      </c>
      <c r="IR31" s="16" t="s">
        <v>126</v>
      </c>
      <c r="IS31" s="59">
        <f t="shared" si="1"/>
        <v>0</v>
      </c>
      <c r="IT31" s="186"/>
      <c r="IU31" s="18"/>
      <c r="IV31" s="21"/>
      <c r="IW31" s="21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</row>
    <row r="32" spans="1:273" ht="13.5" customHeight="1">
      <c r="A32" s="97">
        <v>28</v>
      </c>
      <c r="B32" s="77" t="s">
        <v>177</v>
      </c>
      <c r="C32" s="6">
        <v>20</v>
      </c>
      <c r="D32" s="6">
        <v>10</v>
      </c>
      <c r="E32" s="6">
        <v>10</v>
      </c>
      <c r="F32" s="31" t="s">
        <v>126</v>
      </c>
      <c r="G32" s="31" t="s">
        <v>126</v>
      </c>
      <c r="H32" s="31" t="s">
        <v>126</v>
      </c>
      <c r="I32" s="78">
        <v>100</v>
      </c>
      <c r="J32" s="78">
        <v>100</v>
      </c>
      <c r="K32" s="78">
        <v>100</v>
      </c>
      <c r="L32" s="78">
        <v>100</v>
      </c>
      <c r="M32" s="78">
        <v>100</v>
      </c>
      <c r="N32" s="78">
        <v>100</v>
      </c>
      <c r="O32" s="78">
        <v>100</v>
      </c>
      <c r="P32" s="78">
        <v>100</v>
      </c>
      <c r="Q32" s="78">
        <v>100</v>
      </c>
      <c r="R32" s="78">
        <v>100</v>
      </c>
      <c r="S32" s="78">
        <v>100</v>
      </c>
      <c r="T32" s="78">
        <v>100</v>
      </c>
      <c r="U32" s="78">
        <v>100</v>
      </c>
      <c r="V32" s="78">
        <v>100</v>
      </c>
      <c r="W32" s="78">
        <v>100</v>
      </c>
      <c r="X32" s="78">
        <v>100</v>
      </c>
      <c r="Y32" s="78">
        <v>100</v>
      </c>
      <c r="Z32" s="78">
        <v>100</v>
      </c>
      <c r="AA32" s="31">
        <v>18</v>
      </c>
      <c r="AB32" s="78">
        <v>100</v>
      </c>
      <c r="AC32" s="78">
        <v>100</v>
      </c>
      <c r="AD32" s="31">
        <v>16</v>
      </c>
      <c r="AE32" s="78">
        <v>100</v>
      </c>
      <c r="AF32" s="78">
        <v>100</v>
      </c>
      <c r="AG32" s="31">
        <v>15</v>
      </c>
      <c r="AH32" s="78">
        <v>100</v>
      </c>
      <c r="AI32" s="78">
        <v>100</v>
      </c>
      <c r="AJ32" s="31">
        <v>8</v>
      </c>
      <c r="AK32" s="31">
        <v>11</v>
      </c>
      <c r="AL32" s="31">
        <v>15</v>
      </c>
      <c r="AM32" s="31">
        <v>7</v>
      </c>
      <c r="AN32" s="31">
        <v>16</v>
      </c>
      <c r="AO32" s="31">
        <v>14</v>
      </c>
      <c r="AP32" s="31">
        <v>6</v>
      </c>
      <c r="AQ32" s="31">
        <v>15</v>
      </c>
      <c r="AR32" s="31">
        <v>12</v>
      </c>
      <c r="AS32" s="31">
        <v>5</v>
      </c>
      <c r="AT32" s="31">
        <v>10</v>
      </c>
      <c r="AU32" s="31">
        <v>11</v>
      </c>
      <c r="AV32" s="31">
        <v>4</v>
      </c>
      <c r="AW32" s="31">
        <v>9</v>
      </c>
      <c r="AX32" s="31">
        <v>10</v>
      </c>
      <c r="AY32" s="31">
        <v>4</v>
      </c>
      <c r="AZ32" s="31">
        <v>7</v>
      </c>
      <c r="BA32" s="31">
        <v>10</v>
      </c>
      <c r="BB32" s="31">
        <v>4</v>
      </c>
      <c r="BC32" s="31">
        <v>12</v>
      </c>
      <c r="BD32" s="31">
        <v>9</v>
      </c>
      <c r="BE32" s="31">
        <v>4</v>
      </c>
      <c r="BF32" s="31">
        <v>25</v>
      </c>
      <c r="BG32" s="31">
        <v>19</v>
      </c>
      <c r="BH32" s="31">
        <v>4</v>
      </c>
      <c r="BI32" s="31">
        <v>22</v>
      </c>
      <c r="BJ32" s="31">
        <v>38</v>
      </c>
      <c r="BK32" s="31">
        <v>8</v>
      </c>
      <c r="BL32" s="31">
        <v>16</v>
      </c>
      <c r="BM32" s="31">
        <v>19</v>
      </c>
      <c r="BN32" s="31">
        <v>7</v>
      </c>
      <c r="BO32" s="31">
        <v>16</v>
      </c>
      <c r="BP32" s="31">
        <v>15</v>
      </c>
      <c r="BQ32" s="31">
        <v>4</v>
      </c>
      <c r="BR32" s="31">
        <v>8</v>
      </c>
      <c r="BS32" s="31">
        <v>12</v>
      </c>
      <c r="BT32" s="31">
        <v>3</v>
      </c>
      <c r="BU32" s="31">
        <v>7</v>
      </c>
      <c r="BV32" s="31">
        <v>15</v>
      </c>
      <c r="BW32" s="31">
        <v>2</v>
      </c>
      <c r="BX32" s="31">
        <v>6</v>
      </c>
      <c r="BY32" s="31">
        <v>13</v>
      </c>
      <c r="BZ32" s="31">
        <v>2</v>
      </c>
      <c r="CA32" s="31">
        <v>5</v>
      </c>
      <c r="CB32" s="31">
        <v>17</v>
      </c>
      <c r="CC32" s="31">
        <v>4</v>
      </c>
      <c r="CD32" s="31">
        <v>6</v>
      </c>
      <c r="CE32" s="31">
        <v>12</v>
      </c>
      <c r="CF32" s="31">
        <v>3</v>
      </c>
      <c r="CG32" s="31">
        <v>5</v>
      </c>
      <c r="CH32" s="31">
        <v>11</v>
      </c>
      <c r="CI32" s="31">
        <v>3</v>
      </c>
      <c r="CJ32" s="31">
        <v>3</v>
      </c>
      <c r="CK32" s="31">
        <v>9</v>
      </c>
      <c r="CL32" s="31">
        <v>3</v>
      </c>
      <c r="CM32" s="31">
        <v>2</v>
      </c>
      <c r="CN32" s="31">
        <v>5</v>
      </c>
      <c r="CO32" s="31">
        <v>3</v>
      </c>
      <c r="CP32" s="31">
        <v>5</v>
      </c>
      <c r="CQ32" s="31">
        <v>4</v>
      </c>
      <c r="CR32" s="31">
        <v>3</v>
      </c>
      <c r="CS32" s="31">
        <v>4</v>
      </c>
      <c r="CT32" s="31">
        <v>3</v>
      </c>
      <c r="CU32" s="31">
        <v>2</v>
      </c>
      <c r="CV32" s="31">
        <v>3</v>
      </c>
      <c r="CW32" s="31">
        <v>3</v>
      </c>
      <c r="CX32" s="31">
        <v>2</v>
      </c>
      <c r="CY32" s="31">
        <v>3</v>
      </c>
      <c r="CZ32" s="31">
        <v>2</v>
      </c>
      <c r="DA32" s="31">
        <v>2</v>
      </c>
      <c r="DB32" s="31">
        <v>2</v>
      </c>
      <c r="DC32" s="31">
        <v>2</v>
      </c>
      <c r="DD32" s="31">
        <v>5</v>
      </c>
      <c r="DE32" s="31">
        <v>4</v>
      </c>
      <c r="DF32" s="31">
        <v>2</v>
      </c>
      <c r="DG32" s="31">
        <v>4</v>
      </c>
      <c r="DH32" s="31">
        <v>4</v>
      </c>
      <c r="DI32" s="31">
        <v>6</v>
      </c>
      <c r="DJ32" s="31">
        <v>3</v>
      </c>
      <c r="DK32" s="31">
        <v>4</v>
      </c>
      <c r="DL32" s="31">
        <v>5</v>
      </c>
      <c r="DM32" s="31">
        <v>2</v>
      </c>
      <c r="DN32" s="31">
        <v>3</v>
      </c>
      <c r="DO32" s="31">
        <v>3</v>
      </c>
      <c r="DP32" s="31">
        <v>5</v>
      </c>
      <c r="DQ32" s="31">
        <v>3</v>
      </c>
      <c r="DR32" s="31">
        <v>4</v>
      </c>
      <c r="DS32" s="31">
        <v>4</v>
      </c>
      <c r="DT32" s="31">
        <v>5</v>
      </c>
      <c r="DU32" s="31">
        <v>3</v>
      </c>
      <c r="DV32" s="31">
        <v>8</v>
      </c>
      <c r="DW32" s="31">
        <v>3</v>
      </c>
      <c r="DX32" s="31">
        <v>6</v>
      </c>
      <c r="DY32" s="31">
        <v>7</v>
      </c>
      <c r="DZ32" s="31">
        <v>9</v>
      </c>
      <c r="EA32" s="31">
        <v>5</v>
      </c>
      <c r="EB32" s="31">
        <v>9</v>
      </c>
      <c r="EC32" s="31">
        <v>6</v>
      </c>
      <c r="ED32" s="31">
        <v>4</v>
      </c>
      <c r="EE32" s="31">
        <v>10</v>
      </c>
      <c r="EF32" s="31">
        <v>8</v>
      </c>
      <c r="EG32" s="31">
        <v>5</v>
      </c>
      <c r="EH32" s="31">
        <v>10</v>
      </c>
      <c r="EI32" s="31">
        <v>6</v>
      </c>
      <c r="EJ32" s="31">
        <v>4</v>
      </c>
      <c r="EK32" s="31">
        <v>15</v>
      </c>
      <c r="EL32" s="31">
        <v>5</v>
      </c>
      <c r="EM32" s="31">
        <v>4</v>
      </c>
      <c r="EN32" s="31">
        <v>13</v>
      </c>
      <c r="EO32" s="31">
        <v>4</v>
      </c>
      <c r="EP32" s="31">
        <v>4</v>
      </c>
      <c r="EQ32" s="31">
        <v>19</v>
      </c>
      <c r="ER32" s="31">
        <v>3</v>
      </c>
      <c r="ES32" s="31">
        <v>5</v>
      </c>
      <c r="ET32" s="31">
        <v>25</v>
      </c>
      <c r="EU32" s="31">
        <v>5</v>
      </c>
      <c r="EV32" s="31">
        <v>7</v>
      </c>
      <c r="EW32" s="31">
        <v>18</v>
      </c>
      <c r="EX32" s="31">
        <v>4</v>
      </c>
      <c r="EY32" s="31">
        <v>6</v>
      </c>
      <c r="EZ32" s="31">
        <v>23</v>
      </c>
      <c r="FA32" s="31">
        <v>5</v>
      </c>
      <c r="FB32" s="31">
        <v>4</v>
      </c>
      <c r="FC32" s="31">
        <v>19</v>
      </c>
      <c r="FD32" s="31">
        <v>3</v>
      </c>
      <c r="FE32" s="31">
        <v>4</v>
      </c>
      <c r="FF32" s="64">
        <v>23</v>
      </c>
      <c r="FG32" s="64">
        <v>6</v>
      </c>
      <c r="FH32" s="64">
        <v>9</v>
      </c>
      <c r="FI32" s="64">
        <v>29</v>
      </c>
      <c r="FJ32" s="64">
        <v>5</v>
      </c>
      <c r="FK32" s="64">
        <v>8</v>
      </c>
      <c r="FL32" s="64">
        <v>23</v>
      </c>
      <c r="FM32" s="64">
        <v>6</v>
      </c>
      <c r="FN32" s="64">
        <v>7</v>
      </c>
      <c r="FO32" s="64">
        <v>28</v>
      </c>
      <c r="FP32" s="64">
        <v>5</v>
      </c>
      <c r="FQ32" s="64">
        <v>5</v>
      </c>
      <c r="FR32" s="64">
        <v>22</v>
      </c>
      <c r="FS32" s="64">
        <v>4</v>
      </c>
      <c r="FT32" s="64">
        <v>8</v>
      </c>
      <c r="FU32" s="64">
        <v>29</v>
      </c>
      <c r="FV32" s="64">
        <v>5</v>
      </c>
      <c r="FW32" s="64">
        <v>6</v>
      </c>
      <c r="FX32" s="62">
        <v>25</v>
      </c>
      <c r="FY32" s="62">
        <v>4</v>
      </c>
      <c r="FZ32" s="62">
        <v>5</v>
      </c>
      <c r="GA32" s="62">
        <v>22</v>
      </c>
      <c r="GB32" s="62">
        <v>3</v>
      </c>
      <c r="GC32" s="62">
        <v>4</v>
      </c>
      <c r="GD32" s="62">
        <v>20</v>
      </c>
      <c r="GE32" s="62">
        <v>8</v>
      </c>
      <c r="GF32" s="62">
        <v>4</v>
      </c>
      <c r="GG32" s="62">
        <v>25</v>
      </c>
      <c r="GH32" s="62">
        <v>6</v>
      </c>
      <c r="GI32" s="62">
        <v>5</v>
      </c>
      <c r="GJ32" s="62">
        <v>19</v>
      </c>
      <c r="GK32" s="62">
        <v>5</v>
      </c>
      <c r="GL32" s="62">
        <v>4</v>
      </c>
      <c r="GM32" s="62">
        <v>16</v>
      </c>
      <c r="GN32" s="62">
        <v>4</v>
      </c>
      <c r="GO32" s="62">
        <v>4</v>
      </c>
      <c r="GP32" s="62">
        <v>19</v>
      </c>
      <c r="GQ32" s="62">
        <v>8</v>
      </c>
      <c r="GR32" s="62">
        <v>7</v>
      </c>
      <c r="GS32" s="62">
        <v>13</v>
      </c>
      <c r="GT32" s="62">
        <v>5</v>
      </c>
      <c r="GU32" s="62">
        <v>6</v>
      </c>
      <c r="GV32" s="62">
        <v>18</v>
      </c>
      <c r="GW32" s="62">
        <v>8</v>
      </c>
      <c r="GX32" s="62">
        <v>9</v>
      </c>
      <c r="GY32" s="62">
        <v>21</v>
      </c>
      <c r="GZ32" s="62">
        <v>10</v>
      </c>
      <c r="HA32" s="62">
        <v>8</v>
      </c>
      <c r="HB32" s="62">
        <v>19</v>
      </c>
      <c r="HC32" s="62">
        <v>7</v>
      </c>
      <c r="HD32" s="62">
        <v>10</v>
      </c>
      <c r="HE32" s="62">
        <v>23</v>
      </c>
      <c r="HF32" s="62">
        <v>10</v>
      </c>
      <c r="HG32" s="62">
        <v>10</v>
      </c>
      <c r="HH32" s="62">
        <v>21</v>
      </c>
      <c r="HI32" s="62">
        <v>9</v>
      </c>
      <c r="HJ32" s="62">
        <v>9</v>
      </c>
      <c r="HK32" s="62">
        <v>38</v>
      </c>
      <c r="HL32" s="62">
        <v>10</v>
      </c>
      <c r="HM32" s="62">
        <v>7</v>
      </c>
      <c r="HN32" s="62">
        <v>45</v>
      </c>
      <c r="HO32" s="62">
        <v>8</v>
      </c>
      <c r="HP32" s="62">
        <v>10</v>
      </c>
      <c r="HQ32" s="63">
        <v>52</v>
      </c>
      <c r="HR32" s="63">
        <v>6</v>
      </c>
      <c r="HS32" s="63">
        <v>10</v>
      </c>
      <c r="HT32" s="67">
        <v>100</v>
      </c>
      <c r="HU32" s="62">
        <v>8</v>
      </c>
      <c r="HV32" s="62">
        <v>11</v>
      </c>
      <c r="HW32" s="67">
        <v>100</v>
      </c>
      <c r="HX32" s="62">
        <v>8</v>
      </c>
      <c r="HY32" s="62">
        <v>12</v>
      </c>
      <c r="HZ32" s="67">
        <v>100</v>
      </c>
      <c r="IA32" s="62">
        <v>5</v>
      </c>
      <c r="IB32" s="62">
        <v>13</v>
      </c>
      <c r="IC32" s="68">
        <v>100</v>
      </c>
      <c r="ID32" s="63">
        <v>5</v>
      </c>
      <c r="IE32" s="63">
        <v>16</v>
      </c>
      <c r="IF32" s="67">
        <v>100</v>
      </c>
      <c r="IG32" s="67">
        <v>100</v>
      </c>
      <c r="IH32" s="67">
        <v>100</v>
      </c>
      <c r="II32" s="67">
        <v>100</v>
      </c>
      <c r="IJ32" s="67">
        <v>100</v>
      </c>
      <c r="IK32" s="67">
        <v>100</v>
      </c>
      <c r="IL32" s="16" t="s">
        <v>126</v>
      </c>
      <c r="IM32" s="16" t="s">
        <v>126</v>
      </c>
      <c r="IN32" s="16" t="s">
        <v>126</v>
      </c>
      <c r="IO32" s="16" t="s">
        <v>126</v>
      </c>
      <c r="IP32" s="16" t="s">
        <v>126</v>
      </c>
      <c r="IQ32" s="16" t="s">
        <v>126</v>
      </c>
      <c r="IR32" s="16" t="s">
        <v>126</v>
      </c>
      <c r="IS32" s="59">
        <f t="shared" si="1"/>
        <v>0</v>
      </c>
      <c r="IT32" s="186"/>
      <c r="IU32" s="18"/>
      <c r="IV32" s="21"/>
      <c r="IW32" s="21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</row>
    <row r="33" spans="1:273" ht="13.5" customHeight="1">
      <c r="A33" s="97">
        <v>29</v>
      </c>
      <c r="B33" s="77" t="s">
        <v>178</v>
      </c>
      <c r="C33" s="31" t="s">
        <v>126</v>
      </c>
      <c r="D33" s="20" t="s">
        <v>126</v>
      </c>
      <c r="E33" s="20" t="s">
        <v>126</v>
      </c>
      <c r="F33" s="31" t="s">
        <v>126</v>
      </c>
      <c r="G33" s="31" t="s">
        <v>126</v>
      </c>
      <c r="H33" s="31" t="s">
        <v>126</v>
      </c>
      <c r="I33" s="78">
        <v>100</v>
      </c>
      <c r="J33" s="78">
        <v>100</v>
      </c>
      <c r="K33" s="78">
        <v>100</v>
      </c>
      <c r="L33" s="64">
        <v>26</v>
      </c>
      <c r="M33" s="78">
        <v>100</v>
      </c>
      <c r="N33" s="78">
        <v>100</v>
      </c>
      <c r="O33" s="64">
        <v>24</v>
      </c>
      <c r="P33" s="78">
        <v>100</v>
      </c>
      <c r="Q33" s="78">
        <v>100</v>
      </c>
      <c r="R33" s="64">
        <v>24</v>
      </c>
      <c r="S33" s="78">
        <v>100</v>
      </c>
      <c r="T33" s="78">
        <v>100</v>
      </c>
      <c r="U33" s="64">
        <v>10</v>
      </c>
      <c r="V33" s="78">
        <v>100</v>
      </c>
      <c r="W33" s="78">
        <v>100</v>
      </c>
      <c r="X33" s="64">
        <v>12</v>
      </c>
      <c r="Y33" s="78">
        <v>100</v>
      </c>
      <c r="Z33" s="78">
        <v>100</v>
      </c>
      <c r="AA33" s="64">
        <v>8</v>
      </c>
      <c r="AB33" s="78">
        <v>100</v>
      </c>
      <c r="AC33" s="78">
        <v>100</v>
      </c>
      <c r="AD33" s="64">
        <v>7</v>
      </c>
      <c r="AE33" s="78">
        <v>100</v>
      </c>
      <c r="AF33" s="78">
        <v>100</v>
      </c>
      <c r="AG33" s="64">
        <v>6</v>
      </c>
      <c r="AH33" s="31">
        <v>5</v>
      </c>
      <c r="AI33" s="31">
        <v>5</v>
      </c>
      <c r="AJ33" s="64">
        <v>5</v>
      </c>
      <c r="AK33" s="31">
        <v>1</v>
      </c>
      <c r="AL33" s="31">
        <v>1</v>
      </c>
      <c r="AM33" s="64">
        <v>8</v>
      </c>
      <c r="AN33" s="31">
        <v>1</v>
      </c>
      <c r="AO33" s="31">
        <v>1</v>
      </c>
      <c r="AP33" s="64">
        <v>7</v>
      </c>
      <c r="AQ33" s="31">
        <v>1</v>
      </c>
      <c r="AR33" s="31">
        <v>1</v>
      </c>
      <c r="AS33" s="64">
        <v>6</v>
      </c>
      <c r="AT33" s="31">
        <v>1</v>
      </c>
      <c r="AU33" s="31">
        <v>1</v>
      </c>
      <c r="AV33" s="64">
        <v>11</v>
      </c>
      <c r="AW33" s="31">
        <v>1</v>
      </c>
      <c r="AX33" s="31">
        <v>1</v>
      </c>
      <c r="AY33" s="64">
        <v>15</v>
      </c>
      <c r="AZ33" s="31">
        <v>1</v>
      </c>
      <c r="BA33" s="31">
        <v>1</v>
      </c>
      <c r="BB33" s="64">
        <v>9</v>
      </c>
      <c r="BC33" s="31">
        <v>1</v>
      </c>
      <c r="BD33" s="31">
        <v>1</v>
      </c>
      <c r="BE33" s="64">
        <v>8</v>
      </c>
      <c r="BF33" s="31">
        <v>1</v>
      </c>
      <c r="BG33" s="31">
        <v>1</v>
      </c>
      <c r="BH33" s="64">
        <v>12</v>
      </c>
      <c r="BI33" s="31">
        <v>3</v>
      </c>
      <c r="BJ33" s="31">
        <v>3</v>
      </c>
      <c r="BK33" s="64">
        <v>8</v>
      </c>
      <c r="BL33" s="31">
        <v>3</v>
      </c>
      <c r="BM33" s="31">
        <v>3</v>
      </c>
      <c r="BN33" s="64">
        <v>9</v>
      </c>
      <c r="BO33" s="31">
        <v>3</v>
      </c>
      <c r="BP33" s="31">
        <v>3</v>
      </c>
      <c r="BQ33" s="64">
        <v>10</v>
      </c>
      <c r="BR33" s="31">
        <v>3</v>
      </c>
      <c r="BS33" s="31">
        <v>2</v>
      </c>
      <c r="BT33" s="64">
        <v>10</v>
      </c>
      <c r="BU33" s="31">
        <v>3</v>
      </c>
      <c r="BV33" s="31">
        <v>2</v>
      </c>
      <c r="BW33" s="64">
        <v>12</v>
      </c>
      <c r="BX33" s="31">
        <v>11</v>
      </c>
      <c r="BY33" s="31">
        <v>9</v>
      </c>
      <c r="BZ33" s="64">
        <v>10</v>
      </c>
      <c r="CA33" s="31">
        <v>5</v>
      </c>
      <c r="CB33" s="31">
        <v>4</v>
      </c>
      <c r="CC33" s="64">
        <v>9</v>
      </c>
      <c r="CD33" s="31">
        <v>9</v>
      </c>
      <c r="CE33" s="31">
        <v>8</v>
      </c>
      <c r="CF33" s="64">
        <v>10</v>
      </c>
      <c r="CG33" s="31">
        <v>8</v>
      </c>
      <c r="CH33" s="31">
        <v>15</v>
      </c>
      <c r="CI33" s="64">
        <v>13</v>
      </c>
      <c r="CJ33" s="31">
        <v>7</v>
      </c>
      <c r="CK33" s="31">
        <v>12</v>
      </c>
      <c r="CL33" s="64">
        <v>16</v>
      </c>
      <c r="CM33" s="31">
        <v>6</v>
      </c>
      <c r="CN33" s="31">
        <v>10</v>
      </c>
      <c r="CO33" s="64">
        <v>15</v>
      </c>
      <c r="CP33" s="31">
        <v>10</v>
      </c>
      <c r="CQ33" s="31">
        <v>7</v>
      </c>
      <c r="CR33" s="64">
        <v>13</v>
      </c>
      <c r="CS33" s="31">
        <v>8</v>
      </c>
      <c r="CT33" s="31">
        <v>5</v>
      </c>
      <c r="CU33" s="64">
        <v>12</v>
      </c>
      <c r="CV33" s="31">
        <v>6</v>
      </c>
      <c r="CW33" s="31">
        <v>4</v>
      </c>
      <c r="CX33" s="64">
        <v>16</v>
      </c>
      <c r="CY33" s="31">
        <v>5</v>
      </c>
      <c r="CZ33" s="31">
        <v>8</v>
      </c>
      <c r="DA33" s="64">
        <v>21</v>
      </c>
      <c r="DB33" s="31">
        <v>4</v>
      </c>
      <c r="DC33" s="31">
        <v>6</v>
      </c>
      <c r="DD33" s="64">
        <v>17</v>
      </c>
      <c r="DE33" s="31">
        <v>4</v>
      </c>
      <c r="DF33" s="31">
        <v>5</v>
      </c>
      <c r="DG33" s="64">
        <v>15</v>
      </c>
      <c r="DH33" s="31">
        <v>4</v>
      </c>
      <c r="DI33" s="31">
        <v>4</v>
      </c>
      <c r="DJ33" s="64">
        <v>13</v>
      </c>
      <c r="DK33" s="31">
        <v>3</v>
      </c>
      <c r="DL33" s="31">
        <v>6</v>
      </c>
      <c r="DM33" s="64">
        <v>18</v>
      </c>
      <c r="DN33" s="31">
        <v>3</v>
      </c>
      <c r="DO33" s="31">
        <v>5</v>
      </c>
      <c r="DP33" s="64">
        <v>15</v>
      </c>
      <c r="DQ33" s="31">
        <v>2</v>
      </c>
      <c r="DR33" s="31">
        <v>4</v>
      </c>
      <c r="DS33" s="64">
        <v>13</v>
      </c>
      <c r="DT33" s="31">
        <v>6</v>
      </c>
      <c r="DU33" s="31">
        <v>3</v>
      </c>
      <c r="DV33" s="64">
        <v>11</v>
      </c>
      <c r="DW33" s="31">
        <v>4</v>
      </c>
      <c r="DX33" s="31">
        <v>2</v>
      </c>
      <c r="DY33" s="64">
        <v>15</v>
      </c>
      <c r="DZ33" s="31">
        <v>9</v>
      </c>
      <c r="EA33" s="31">
        <v>5</v>
      </c>
      <c r="EB33" s="64">
        <v>13</v>
      </c>
      <c r="EC33" s="31">
        <v>6</v>
      </c>
      <c r="ED33" s="31">
        <v>7</v>
      </c>
      <c r="EE33" s="64">
        <v>11</v>
      </c>
      <c r="EF33" s="31">
        <v>5</v>
      </c>
      <c r="EG33" s="31">
        <v>6</v>
      </c>
      <c r="EH33" s="64">
        <v>16</v>
      </c>
      <c r="EI33" s="31">
        <v>5</v>
      </c>
      <c r="EJ33" s="31">
        <v>5</v>
      </c>
      <c r="EK33" s="64">
        <v>13</v>
      </c>
      <c r="EL33" s="31">
        <v>4</v>
      </c>
      <c r="EM33" s="31">
        <v>6</v>
      </c>
      <c r="EN33" s="64">
        <v>12</v>
      </c>
      <c r="EO33" s="31">
        <v>5</v>
      </c>
      <c r="EP33" s="31">
        <v>8</v>
      </c>
      <c r="EQ33" s="64">
        <v>15</v>
      </c>
      <c r="ER33" s="31">
        <v>8</v>
      </c>
      <c r="ES33" s="31">
        <v>6</v>
      </c>
      <c r="ET33" s="64">
        <v>13</v>
      </c>
      <c r="EU33" s="31">
        <v>6</v>
      </c>
      <c r="EV33" s="31">
        <v>9</v>
      </c>
      <c r="EW33" s="64">
        <v>12</v>
      </c>
      <c r="EX33" s="31">
        <v>5</v>
      </c>
      <c r="EY33" s="31">
        <v>7</v>
      </c>
      <c r="EZ33" s="64">
        <v>11</v>
      </c>
      <c r="FA33" s="31">
        <v>4</v>
      </c>
      <c r="FB33" s="31">
        <v>5</v>
      </c>
      <c r="FC33" s="31">
        <v>16</v>
      </c>
      <c r="FD33" s="31">
        <v>5</v>
      </c>
      <c r="FE33" s="31">
        <v>4</v>
      </c>
      <c r="FF33" s="64">
        <v>39</v>
      </c>
      <c r="FG33" s="64">
        <v>4</v>
      </c>
      <c r="FH33" s="64">
        <v>8</v>
      </c>
      <c r="FI33" s="64">
        <v>33</v>
      </c>
      <c r="FJ33" s="64">
        <v>6</v>
      </c>
      <c r="FK33" s="64">
        <v>6</v>
      </c>
      <c r="FL33" s="64">
        <v>28</v>
      </c>
      <c r="FM33" s="64">
        <v>5</v>
      </c>
      <c r="FN33" s="64">
        <v>4</v>
      </c>
      <c r="FO33" s="64">
        <v>23</v>
      </c>
      <c r="FP33" s="64">
        <v>3</v>
      </c>
      <c r="FQ33" s="64">
        <v>12</v>
      </c>
      <c r="FR33" s="64">
        <v>18</v>
      </c>
      <c r="FS33" s="64">
        <v>4</v>
      </c>
      <c r="FT33" s="64">
        <v>2</v>
      </c>
      <c r="FU33" s="64">
        <v>15</v>
      </c>
      <c r="FV33" s="64">
        <v>5</v>
      </c>
      <c r="FW33" s="64">
        <v>1</v>
      </c>
      <c r="FX33" s="62">
        <v>19</v>
      </c>
      <c r="FY33" s="62">
        <v>8</v>
      </c>
      <c r="FZ33" s="62">
        <v>5</v>
      </c>
      <c r="GA33" s="62">
        <v>25</v>
      </c>
      <c r="GB33" s="61">
        <v>7</v>
      </c>
      <c r="GC33" s="61">
        <v>6</v>
      </c>
      <c r="GD33" s="62">
        <v>18</v>
      </c>
      <c r="GE33" s="61">
        <v>5</v>
      </c>
      <c r="GF33" s="61">
        <v>5</v>
      </c>
      <c r="GG33" s="62">
        <v>14</v>
      </c>
      <c r="GH33" s="62">
        <v>4</v>
      </c>
      <c r="GI33" s="62">
        <v>7</v>
      </c>
      <c r="GJ33" s="62">
        <v>19</v>
      </c>
      <c r="GK33" s="62">
        <v>6</v>
      </c>
      <c r="GL33" s="62">
        <v>4</v>
      </c>
      <c r="GM33" s="62">
        <v>15</v>
      </c>
      <c r="GN33" s="62">
        <v>8</v>
      </c>
      <c r="GO33" s="62">
        <v>7</v>
      </c>
      <c r="GP33" s="62">
        <v>12</v>
      </c>
      <c r="GQ33" s="62">
        <v>6</v>
      </c>
      <c r="GR33" s="62">
        <v>8</v>
      </c>
      <c r="GS33" s="62">
        <v>19</v>
      </c>
      <c r="GT33" s="62">
        <v>4</v>
      </c>
      <c r="GU33" s="62">
        <v>6</v>
      </c>
      <c r="GV33" s="62">
        <v>20</v>
      </c>
      <c r="GW33" s="62">
        <v>8</v>
      </c>
      <c r="GX33" s="62">
        <v>7</v>
      </c>
      <c r="GY33" s="62">
        <v>25</v>
      </c>
      <c r="GZ33" s="62">
        <v>10</v>
      </c>
      <c r="HA33" s="62">
        <v>5</v>
      </c>
      <c r="HB33" s="62">
        <v>22</v>
      </c>
      <c r="HC33" s="62">
        <v>9</v>
      </c>
      <c r="HD33" s="62">
        <v>6</v>
      </c>
      <c r="HE33" s="62">
        <v>17</v>
      </c>
      <c r="HF33" s="62">
        <v>8</v>
      </c>
      <c r="HG33" s="62">
        <v>5</v>
      </c>
      <c r="HH33" s="62">
        <v>26</v>
      </c>
      <c r="HI33" s="62">
        <v>10</v>
      </c>
      <c r="HJ33" s="62">
        <v>8</v>
      </c>
      <c r="HK33" s="60">
        <v>62</v>
      </c>
      <c r="HL33" s="62">
        <v>9</v>
      </c>
      <c r="HM33" s="62">
        <v>10</v>
      </c>
      <c r="HN33" s="60">
        <v>58</v>
      </c>
      <c r="HO33" s="62">
        <v>7</v>
      </c>
      <c r="HP33" s="62">
        <v>8</v>
      </c>
      <c r="HQ33" s="63">
        <v>53</v>
      </c>
      <c r="HR33" s="63">
        <v>6</v>
      </c>
      <c r="HS33" s="63">
        <v>9</v>
      </c>
      <c r="HT33" s="67">
        <v>100</v>
      </c>
      <c r="HU33" s="62">
        <v>6</v>
      </c>
      <c r="HV33" s="62">
        <v>11</v>
      </c>
      <c r="HW33" s="67">
        <v>100</v>
      </c>
      <c r="HX33" s="62">
        <v>5</v>
      </c>
      <c r="HY33" s="62">
        <v>10</v>
      </c>
      <c r="HZ33" s="67">
        <v>100</v>
      </c>
      <c r="IA33" s="62">
        <v>6</v>
      </c>
      <c r="IB33" s="62">
        <v>10</v>
      </c>
      <c r="IC33" s="68">
        <v>100</v>
      </c>
      <c r="ID33" s="63">
        <v>6</v>
      </c>
      <c r="IE33" s="63">
        <v>10</v>
      </c>
      <c r="IF33" s="67">
        <v>100</v>
      </c>
      <c r="IG33" s="67">
        <v>100</v>
      </c>
      <c r="IH33" s="67">
        <v>100</v>
      </c>
      <c r="II33" s="67">
        <v>100</v>
      </c>
      <c r="IJ33" s="67">
        <v>100</v>
      </c>
      <c r="IK33" s="67">
        <v>100</v>
      </c>
      <c r="IL33" s="16" t="s">
        <v>126</v>
      </c>
      <c r="IM33" s="16" t="s">
        <v>126</v>
      </c>
      <c r="IN33" s="16" t="s">
        <v>126</v>
      </c>
      <c r="IO33" s="16" t="s">
        <v>126</v>
      </c>
      <c r="IP33" s="16" t="s">
        <v>126</v>
      </c>
      <c r="IQ33" s="16" t="s">
        <v>126</v>
      </c>
      <c r="IR33" s="16" t="s">
        <v>126</v>
      </c>
      <c r="IS33" s="59">
        <f t="shared" si="1"/>
        <v>0</v>
      </c>
      <c r="IT33" s="186"/>
      <c r="IU33" s="18"/>
      <c r="IV33" s="21"/>
      <c r="IW33" s="21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</row>
    <row r="34" spans="1:273" ht="13.5" customHeight="1">
      <c r="A34" s="97">
        <v>30</v>
      </c>
      <c r="B34" s="77" t="s">
        <v>179</v>
      </c>
      <c r="C34" s="6">
        <v>880</v>
      </c>
      <c r="D34" s="33">
        <v>320</v>
      </c>
      <c r="E34" s="33">
        <v>590</v>
      </c>
      <c r="F34" s="31" t="s">
        <v>126</v>
      </c>
      <c r="G34" s="31" t="s">
        <v>126</v>
      </c>
      <c r="H34" s="31" t="s">
        <v>126</v>
      </c>
      <c r="I34" s="78">
        <v>100</v>
      </c>
      <c r="J34" s="78">
        <v>100</v>
      </c>
      <c r="K34" s="78">
        <v>100</v>
      </c>
      <c r="L34" s="78">
        <v>100</v>
      </c>
      <c r="M34" s="78">
        <v>100</v>
      </c>
      <c r="N34" s="78">
        <v>100</v>
      </c>
      <c r="O34" s="78">
        <v>100</v>
      </c>
      <c r="P34" s="78">
        <v>100</v>
      </c>
      <c r="Q34" s="78">
        <v>100</v>
      </c>
      <c r="R34" s="78">
        <v>100</v>
      </c>
      <c r="S34" s="78">
        <v>100</v>
      </c>
      <c r="T34" s="78">
        <v>100</v>
      </c>
      <c r="U34" s="78">
        <v>100</v>
      </c>
      <c r="V34" s="78">
        <v>100</v>
      </c>
      <c r="W34" s="78">
        <v>100</v>
      </c>
      <c r="X34" s="78">
        <v>100</v>
      </c>
      <c r="Y34" s="78">
        <v>100</v>
      </c>
      <c r="Z34" s="78">
        <v>100</v>
      </c>
      <c r="AA34" s="78">
        <v>100</v>
      </c>
      <c r="AB34" s="78">
        <v>100</v>
      </c>
      <c r="AC34" s="78">
        <v>100</v>
      </c>
      <c r="AD34" s="78">
        <v>100</v>
      </c>
      <c r="AE34" s="78">
        <v>100</v>
      </c>
      <c r="AF34" s="78">
        <v>100</v>
      </c>
      <c r="AG34" s="78">
        <v>100</v>
      </c>
      <c r="AH34" s="78">
        <v>100</v>
      </c>
      <c r="AI34" s="78">
        <v>100</v>
      </c>
      <c r="AJ34" s="78">
        <v>100</v>
      </c>
      <c r="AK34" s="78">
        <v>100</v>
      </c>
      <c r="AL34" s="78">
        <v>100</v>
      </c>
      <c r="AM34" s="78">
        <v>100</v>
      </c>
      <c r="AN34" s="78">
        <v>100</v>
      </c>
      <c r="AO34" s="78">
        <v>100</v>
      </c>
      <c r="AP34" s="78">
        <v>100</v>
      </c>
      <c r="AQ34" s="78">
        <v>100</v>
      </c>
      <c r="AR34" s="78">
        <v>100</v>
      </c>
      <c r="AS34" s="78">
        <v>100</v>
      </c>
      <c r="AT34" s="78">
        <v>100</v>
      </c>
      <c r="AU34" s="78">
        <v>100</v>
      </c>
      <c r="AV34" s="78">
        <v>100</v>
      </c>
      <c r="AW34" s="78">
        <v>100</v>
      </c>
      <c r="AX34" s="78">
        <v>100</v>
      </c>
      <c r="AY34" s="78">
        <v>100</v>
      </c>
      <c r="AZ34" s="78">
        <v>100</v>
      </c>
      <c r="BA34" s="78">
        <v>100</v>
      </c>
      <c r="BB34" s="78">
        <v>100</v>
      </c>
      <c r="BC34" s="78">
        <v>100</v>
      </c>
      <c r="BD34" s="78">
        <v>100</v>
      </c>
      <c r="BE34" s="78">
        <v>100</v>
      </c>
      <c r="BF34" s="78">
        <v>100</v>
      </c>
      <c r="BG34" s="78">
        <v>100</v>
      </c>
      <c r="BH34" s="78">
        <v>100</v>
      </c>
      <c r="BI34" s="78">
        <v>100</v>
      </c>
      <c r="BJ34" s="78">
        <v>100</v>
      </c>
      <c r="BK34" s="78">
        <v>100</v>
      </c>
      <c r="BL34" s="78">
        <v>100</v>
      </c>
      <c r="BM34" s="78">
        <v>100</v>
      </c>
      <c r="BN34" s="78">
        <v>100</v>
      </c>
      <c r="BO34" s="78">
        <v>100</v>
      </c>
      <c r="BP34" s="78">
        <v>100</v>
      </c>
      <c r="BQ34" s="78">
        <v>100</v>
      </c>
      <c r="BR34" s="78">
        <v>100</v>
      </c>
      <c r="BS34" s="78">
        <v>100</v>
      </c>
      <c r="BT34" s="78">
        <v>100</v>
      </c>
      <c r="BU34" s="78">
        <v>100</v>
      </c>
      <c r="BV34" s="78">
        <v>100</v>
      </c>
      <c r="BW34" s="78">
        <v>100</v>
      </c>
      <c r="BX34" s="78">
        <v>100</v>
      </c>
      <c r="BY34" s="78">
        <v>100</v>
      </c>
      <c r="BZ34" s="78">
        <v>100</v>
      </c>
      <c r="CA34" s="78">
        <v>100</v>
      </c>
      <c r="CB34" s="78">
        <v>100</v>
      </c>
      <c r="CC34" s="78">
        <v>100</v>
      </c>
      <c r="CD34" s="78">
        <v>100</v>
      </c>
      <c r="CE34" s="78">
        <v>100</v>
      </c>
      <c r="CF34" s="78">
        <v>100</v>
      </c>
      <c r="CG34" s="78">
        <v>100</v>
      </c>
      <c r="CH34" s="78">
        <v>100</v>
      </c>
      <c r="CI34" s="78">
        <v>100</v>
      </c>
      <c r="CJ34" s="78">
        <v>100</v>
      </c>
      <c r="CK34" s="78">
        <v>100</v>
      </c>
      <c r="CL34" s="78">
        <v>100</v>
      </c>
      <c r="CM34" s="78">
        <v>100</v>
      </c>
      <c r="CN34" s="78">
        <v>100</v>
      </c>
      <c r="CO34" s="78">
        <v>100</v>
      </c>
      <c r="CP34" s="78">
        <v>100</v>
      </c>
      <c r="CQ34" s="78">
        <v>100</v>
      </c>
      <c r="CR34" s="78">
        <v>100</v>
      </c>
      <c r="CS34" s="78">
        <v>100</v>
      </c>
      <c r="CT34" s="78">
        <v>100</v>
      </c>
      <c r="CU34" s="78">
        <v>100</v>
      </c>
      <c r="CV34" s="78">
        <v>100</v>
      </c>
      <c r="CW34" s="78">
        <v>100</v>
      </c>
      <c r="CX34" s="79">
        <v>100</v>
      </c>
      <c r="CY34" s="79">
        <v>100</v>
      </c>
      <c r="CZ34" s="79">
        <v>100</v>
      </c>
      <c r="DA34" s="79">
        <v>100</v>
      </c>
      <c r="DB34" s="79">
        <v>100</v>
      </c>
      <c r="DC34" s="79">
        <v>100</v>
      </c>
      <c r="DD34" s="78">
        <v>100</v>
      </c>
      <c r="DE34" s="78">
        <v>100</v>
      </c>
      <c r="DF34" s="78">
        <v>100</v>
      </c>
      <c r="DG34" s="78">
        <v>100</v>
      </c>
      <c r="DH34" s="78">
        <v>100</v>
      </c>
      <c r="DI34" s="78">
        <v>100</v>
      </c>
      <c r="DJ34" s="78">
        <v>100</v>
      </c>
      <c r="DK34" s="78">
        <v>100</v>
      </c>
      <c r="DL34" s="78">
        <v>100</v>
      </c>
      <c r="DM34" s="78">
        <v>100</v>
      </c>
      <c r="DN34" s="78">
        <v>100</v>
      </c>
      <c r="DO34" s="78">
        <v>100</v>
      </c>
      <c r="DP34" s="78">
        <v>100</v>
      </c>
      <c r="DQ34" s="78">
        <v>100</v>
      </c>
      <c r="DR34" s="78">
        <v>100</v>
      </c>
      <c r="DS34" s="78">
        <v>100</v>
      </c>
      <c r="DT34" s="78">
        <v>100</v>
      </c>
      <c r="DU34" s="78">
        <v>100</v>
      </c>
      <c r="DV34" s="78">
        <v>100</v>
      </c>
      <c r="DW34" s="78">
        <v>100</v>
      </c>
      <c r="DX34" s="78">
        <v>100</v>
      </c>
      <c r="DY34" s="78">
        <v>100</v>
      </c>
      <c r="DZ34" s="78">
        <v>100</v>
      </c>
      <c r="EA34" s="78">
        <v>100</v>
      </c>
      <c r="EB34" s="78">
        <v>100</v>
      </c>
      <c r="EC34" s="78">
        <v>100</v>
      </c>
      <c r="ED34" s="78">
        <v>100</v>
      </c>
      <c r="EE34" s="78">
        <v>100</v>
      </c>
      <c r="EF34" s="78">
        <v>100</v>
      </c>
      <c r="EG34" s="78">
        <v>100</v>
      </c>
      <c r="EH34" s="78">
        <v>100</v>
      </c>
      <c r="EI34" s="78">
        <v>100</v>
      </c>
      <c r="EJ34" s="78">
        <v>100</v>
      </c>
      <c r="EK34" s="78">
        <v>100</v>
      </c>
      <c r="EL34" s="78">
        <v>100</v>
      </c>
      <c r="EM34" s="78">
        <v>100</v>
      </c>
      <c r="EN34" s="78">
        <v>100</v>
      </c>
      <c r="EO34" s="78">
        <v>100</v>
      </c>
      <c r="EP34" s="78">
        <v>100</v>
      </c>
      <c r="EQ34" s="78">
        <v>100</v>
      </c>
      <c r="ER34" s="78">
        <v>100</v>
      </c>
      <c r="ES34" s="78">
        <v>100</v>
      </c>
      <c r="ET34" s="78">
        <v>100</v>
      </c>
      <c r="EU34" s="78">
        <v>100</v>
      </c>
      <c r="EV34" s="78">
        <v>100</v>
      </c>
      <c r="EW34" s="66">
        <v>100</v>
      </c>
      <c r="EX34" s="66">
        <v>100</v>
      </c>
      <c r="EY34" s="88">
        <v>100</v>
      </c>
      <c r="EZ34" s="88">
        <v>100</v>
      </c>
      <c r="FA34" s="88">
        <v>100</v>
      </c>
      <c r="FB34" s="88">
        <v>100</v>
      </c>
      <c r="FC34" s="66">
        <v>100</v>
      </c>
      <c r="FD34" s="66">
        <v>100</v>
      </c>
      <c r="FE34" s="66">
        <v>100</v>
      </c>
      <c r="FF34" s="66">
        <v>100</v>
      </c>
      <c r="FG34" s="66">
        <v>100</v>
      </c>
      <c r="FH34" s="66">
        <v>100</v>
      </c>
      <c r="FI34" s="66">
        <v>100</v>
      </c>
      <c r="FJ34" s="66">
        <v>100</v>
      </c>
      <c r="FK34" s="66">
        <v>100</v>
      </c>
      <c r="FL34" s="66">
        <v>100</v>
      </c>
      <c r="FM34" s="66">
        <v>100</v>
      </c>
      <c r="FN34" s="66">
        <v>100</v>
      </c>
      <c r="FO34" s="66">
        <v>100</v>
      </c>
      <c r="FP34" s="66">
        <v>100</v>
      </c>
      <c r="FQ34" s="66">
        <v>100</v>
      </c>
      <c r="FR34" s="66">
        <v>100</v>
      </c>
      <c r="FS34" s="66">
        <v>100</v>
      </c>
      <c r="FT34" s="66">
        <v>100</v>
      </c>
      <c r="FU34" s="66">
        <v>100</v>
      </c>
      <c r="FV34" s="66">
        <v>100</v>
      </c>
      <c r="FW34" s="66">
        <v>100</v>
      </c>
      <c r="FX34" s="67">
        <v>100</v>
      </c>
      <c r="FY34" s="67">
        <v>100</v>
      </c>
      <c r="FZ34" s="67">
        <v>100</v>
      </c>
      <c r="GA34" s="67">
        <v>100</v>
      </c>
      <c r="GB34" s="67">
        <v>100</v>
      </c>
      <c r="GC34" s="67">
        <v>100</v>
      </c>
      <c r="GD34" s="67">
        <v>100</v>
      </c>
      <c r="GE34" s="67">
        <v>100</v>
      </c>
      <c r="GF34" s="67">
        <v>100</v>
      </c>
      <c r="GG34" s="67">
        <v>100</v>
      </c>
      <c r="GH34" s="67">
        <v>100</v>
      </c>
      <c r="GI34" s="67">
        <v>100</v>
      </c>
      <c r="GJ34" s="67">
        <v>100</v>
      </c>
      <c r="GK34" s="67">
        <v>100</v>
      </c>
      <c r="GL34" s="67">
        <v>100</v>
      </c>
      <c r="GM34" s="67">
        <v>100</v>
      </c>
      <c r="GN34" s="67">
        <v>100</v>
      </c>
      <c r="GO34" s="67">
        <v>100</v>
      </c>
      <c r="GP34" s="67">
        <v>100</v>
      </c>
      <c r="GQ34" s="67">
        <v>100</v>
      </c>
      <c r="GR34" s="67">
        <v>100</v>
      </c>
      <c r="GS34" s="67">
        <v>100</v>
      </c>
      <c r="GT34" s="67">
        <v>100</v>
      </c>
      <c r="GU34" s="67">
        <v>100</v>
      </c>
      <c r="GV34" s="67">
        <v>100</v>
      </c>
      <c r="GW34" s="67">
        <v>100</v>
      </c>
      <c r="GX34" s="67">
        <v>100</v>
      </c>
      <c r="GY34" s="67">
        <v>100</v>
      </c>
      <c r="GZ34" s="67">
        <v>100</v>
      </c>
      <c r="HA34" s="67">
        <v>100</v>
      </c>
      <c r="HB34" s="67">
        <v>100</v>
      </c>
      <c r="HC34" s="67">
        <v>100</v>
      </c>
      <c r="HD34" s="67">
        <v>100</v>
      </c>
      <c r="HE34" s="67">
        <v>100</v>
      </c>
      <c r="HF34" s="67">
        <v>100</v>
      </c>
      <c r="HG34" s="67">
        <v>100</v>
      </c>
      <c r="HH34" s="67">
        <v>100</v>
      </c>
      <c r="HI34" s="67">
        <v>100</v>
      </c>
      <c r="HJ34" s="67">
        <v>100</v>
      </c>
      <c r="HK34" s="67">
        <v>100</v>
      </c>
      <c r="HL34" s="67">
        <v>100</v>
      </c>
      <c r="HM34" s="67">
        <v>100</v>
      </c>
      <c r="HN34" s="67">
        <v>100</v>
      </c>
      <c r="HO34" s="67">
        <v>100</v>
      </c>
      <c r="HP34" s="67">
        <v>100</v>
      </c>
      <c r="HQ34" s="68">
        <v>100</v>
      </c>
      <c r="HR34" s="68">
        <v>100</v>
      </c>
      <c r="HS34" s="68">
        <v>100</v>
      </c>
      <c r="HT34" s="67">
        <v>100</v>
      </c>
      <c r="HU34" s="67">
        <v>100</v>
      </c>
      <c r="HV34" s="67">
        <v>100</v>
      </c>
      <c r="HW34" s="67">
        <v>100</v>
      </c>
      <c r="HX34" s="67">
        <v>100</v>
      </c>
      <c r="HY34" s="67">
        <v>100</v>
      </c>
      <c r="HZ34" s="67">
        <v>100</v>
      </c>
      <c r="IA34" s="67">
        <v>100</v>
      </c>
      <c r="IB34" s="67">
        <v>100</v>
      </c>
      <c r="IC34" s="68">
        <v>100</v>
      </c>
      <c r="ID34" s="68">
        <v>100</v>
      </c>
      <c r="IE34" s="68">
        <v>100</v>
      </c>
      <c r="IF34" s="67">
        <v>100</v>
      </c>
      <c r="IG34" s="67">
        <v>100</v>
      </c>
      <c r="IH34" s="67">
        <v>100</v>
      </c>
      <c r="II34" s="67">
        <v>100</v>
      </c>
      <c r="IJ34" s="67">
        <v>100</v>
      </c>
      <c r="IK34" s="67">
        <v>100</v>
      </c>
      <c r="IL34" s="16" t="s">
        <v>126</v>
      </c>
      <c r="IM34" s="16" t="s">
        <v>126</v>
      </c>
      <c r="IN34" s="16" t="s">
        <v>126</v>
      </c>
      <c r="IO34" s="16" t="s">
        <v>126</v>
      </c>
      <c r="IP34" s="16" t="s">
        <v>126</v>
      </c>
      <c r="IQ34" s="16" t="s">
        <v>126</v>
      </c>
      <c r="IR34" s="16" t="s">
        <v>126</v>
      </c>
      <c r="IS34" s="59">
        <f t="shared" si="1"/>
        <v>0</v>
      </c>
      <c r="IT34" s="186"/>
      <c r="IU34" s="18"/>
      <c r="IV34" s="21"/>
      <c r="IW34" s="21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</row>
    <row r="35" spans="1:273" ht="13.5" customHeight="1">
      <c r="A35" s="97">
        <v>31</v>
      </c>
      <c r="B35" s="77" t="s">
        <v>180</v>
      </c>
      <c r="C35" s="8">
        <v>40</v>
      </c>
      <c r="D35" s="33">
        <v>30</v>
      </c>
      <c r="E35" s="33">
        <v>70</v>
      </c>
      <c r="F35" s="31" t="s">
        <v>126</v>
      </c>
      <c r="G35" s="31" t="s">
        <v>126</v>
      </c>
      <c r="H35" s="31" t="s">
        <v>126</v>
      </c>
      <c r="I35" s="78">
        <v>100</v>
      </c>
      <c r="J35" s="78">
        <v>100</v>
      </c>
      <c r="K35" s="78">
        <v>100</v>
      </c>
      <c r="L35" s="78">
        <v>100</v>
      </c>
      <c r="M35" s="78">
        <v>100</v>
      </c>
      <c r="N35" s="78">
        <v>100</v>
      </c>
      <c r="O35" s="78">
        <v>100</v>
      </c>
      <c r="P35" s="78">
        <v>100</v>
      </c>
      <c r="Q35" s="78">
        <v>100</v>
      </c>
      <c r="R35" s="78">
        <v>100</v>
      </c>
      <c r="S35" s="78">
        <v>100</v>
      </c>
      <c r="T35" s="78">
        <v>100</v>
      </c>
      <c r="U35" s="78">
        <v>100</v>
      </c>
      <c r="V35" s="78">
        <v>100</v>
      </c>
      <c r="W35" s="78">
        <v>100</v>
      </c>
      <c r="X35" s="78">
        <v>100</v>
      </c>
      <c r="Y35" s="78">
        <v>100</v>
      </c>
      <c r="Z35" s="78">
        <v>100</v>
      </c>
      <c r="AA35" s="78">
        <v>100</v>
      </c>
      <c r="AB35" s="78">
        <v>100</v>
      </c>
      <c r="AC35" s="78">
        <v>100</v>
      </c>
      <c r="AD35" s="78">
        <v>100</v>
      </c>
      <c r="AE35" s="78">
        <v>100</v>
      </c>
      <c r="AF35" s="78">
        <v>100</v>
      </c>
      <c r="AG35" s="78">
        <v>100</v>
      </c>
      <c r="AH35" s="78">
        <v>100</v>
      </c>
      <c r="AI35" s="78">
        <v>100</v>
      </c>
      <c r="AJ35" s="78">
        <v>100</v>
      </c>
      <c r="AK35" s="78">
        <v>100</v>
      </c>
      <c r="AL35" s="78">
        <v>100</v>
      </c>
      <c r="AM35" s="78">
        <v>100</v>
      </c>
      <c r="AN35" s="78">
        <v>100</v>
      </c>
      <c r="AO35" s="78">
        <v>100</v>
      </c>
      <c r="AP35" s="78">
        <v>100</v>
      </c>
      <c r="AQ35" s="78">
        <v>100</v>
      </c>
      <c r="AR35" s="78">
        <v>100</v>
      </c>
      <c r="AS35" s="78">
        <v>100</v>
      </c>
      <c r="AT35" s="78">
        <v>100</v>
      </c>
      <c r="AU35" s="78">
        <v>100</v>
      </c>
      <c r="AV35" s="78">
        <v>100</v>
      </c>
      <c r="AW35" s="78">
        <v>100</v>
      </c>
      <c r="AX35" s="78">
        <v>100</v>
      </c>
      <c r="AY35" s="78">
        <v>100</v>
      </c>
      <c r="AZ35" s="78">
        <v>100</v>
      </c>
      <c r="BA35" s="78">
        <v>100</v>
      </c>
      <c r="BB35" s="78">
        <v>100</v>
      </c>
      <c r="BC35" s="78">
        <v>100</v>
      </c>
      <c r="BD35" s="78">
        <v>100</v>
      </c>
      <c r="BE35" s="78">
        <v>100</v>
      </c>
      <c r="BF35" s="78">
        <v>100</v>
      </c>
      <c r="BG35" s="78">
        <v>100</v>
      </c>
      <c r="BH35" s="78">
        <v>100</v>
      </c>
      <c r="BI35" s="78">
        <v>100</v>
      </c>
      <c r="BJ35" s="78">
        <v>100</v>
      </c>
      <c r="BK35" s="78">
        <v>100</v>
      </c>
      <c r="BL35" s="78">
        <v>100</v>
      </c>
      <c r="BM35" s="78">
        <v>100</v>
      </c>
      <c r="BN35" s="78">
        <v>100</v>
      </c>
      <c r="BO35" s="78">
        <v>100</v>
      </c>
      <c r="BP35" s="78">
        <v>100</v>
      </c>
      <c r="BQ35" s="78">
        <v>100</v>
      </c>
      <c r="BR35" s="78">
        <v>100</v>
      </c>
      <c r="BS35" s="78">
        <v>100</v>
      </c>
      <c r="BT35" s="78">
        <v>100</v>
      </c>
      <c r="BU35" s="78">
        <v>100</v>
      </c>
      <c r="BV35" s="78">
        <v>100</v>
      </c>
      <c r="BW35" s="78">
        <v>100</v>
      </c>
      <c r="BX35" s="78">
        <v>100</v>
      </c>
      <c r="BY35" s="78">
        <v>100</v>
      </c>
      <c r="BZ35" s="78">
        <v>100</v>
      </c>
      <c r="CA35" s="78">
        <v>100</v>
      </c>
      <c r="CB35" s="78">
        <v>100</v>
      </c>
      <c r="CC35" s="78">
        <v>100</v>
      </c>
      <c r="CD35" s="78">
        <v>100</v>
      </c>
      <c r="CE35" s="78">
        <v>100</v>
      </c>
      <c r="CF35" s="78">
        <v>100</v>
      </c>
      <c r="CG35" s="78">
        <v>100</v>
      </c>
      <c r="CH35" s="78">
        <v>100</v>
      </c>
      <c r="CI35" s="78">
        <v>100</v>
      </c>
      <c r="CJ35" s="78">
        <v>100</v>
      </c>
      <c r="CK35" s="78">
        <v>100</v>
      </c>
      <c r="CL35" s="78">
        <v>100</v>
      </c>
      <c r="CM35" s="78">
        <v>100</v>
      </c>
      <c r="CN35" s="78">
        <v>100</v>
      </c>
      <c r="CO35" s="78">
        <v>100</v>
      </c>
      <c r="CP35" s="78">
        <v>100</v>
      </c>
      <c r="CQ35" s="78">
        <v>100</v>
      </c>
      <c r="CR35" s="78">
        <v>100</v>
      </c>
      <c r="CS35" s="78">
        <v>100</v>
      </c>
      <c r="CT35" s="78">
        <v>100</v>
      </c>
      <c r="CU35" s="78">
        <v>100</v>
      </c>
      <c r="CV35" s="78">
        <v>100</v>
      </c>
      <c r="CW35" s="78">
        <v>100</v>
      </c>
      <c r="CX35" s="79">
        <v>100</v>
      </c>
      <c r="CY35" s="79">
        <v>100</v>
      </c>
      <c r="CZ35" s="79">
        <v>100</v>
      </c>
      <c r="DA35" s="79">
        <v>100</v>
      </c>
      <c r="DB35" s="79">
        <v>100</v>
      </c>
      <c r="DC35" s="79">
        <v>100</v>
      </c>
      <c r="DD35" s="78">
        <v>100</v>
      </c>
      <c r="DE35" s="78">
        <v>100</v>
      </c>
      <c r="DF35" s="78">
        <v>100</v>
      </c>
      <c r="DG35" s="78">
        <v>100</v>
      </c>
      <c r="DH35" s="78">
        <v>100</v>
      </c>
      <c r="DI35" s="78">
        <v>100</v>
      </c>
      <c r="DJ35" s="78">
        <v>100</v>
      </c>
      <c r="DK35" s="78">
        <v>100</v>
      </c>
      <c r="DL35" s="78">
        <v>100</v>
      </c>
      <c r="DM35" s="78">
        <v>100</v>
      </c>
      <c r="DN35" s="78">
        <v>100</v>
      </c>
      <c r="DO35" s="78">
        <v>100</v>
      </c>
      <c r="DP35" s="78">
        <v>100</v>
      </c>
      <c r="DQ35" s="78">
        <v>100</v>
      </c>
      <c r="DR35" s="78">
        <v>100</v>
      </c>
      <c r="DS35" s="78">
        <v>100</v>
      </c>
      <c r="DT35" s="78">
        <v>100</v>
      </c>
      <c r="DU35" s="78">
        <v>100</v>
      </c>
      <c r="DV35" s="78">
        <v>100</v>
      </c>
      <c r="DW35" s="78">
        <v>100</v>
      </c>
      <c r="DX35" s="78">
        <v>100</v>
      </c>
      <c r="DY35" s="78">
        <v>100</v>
      </c>
      <c r="DZ35" s="78">
        <v>100</v>
      </c>
      <c r="EA35" s="78">
        <v>100</v>
      </c>
      <c r="EB35" s="78">
        <v>100</v>
      </c>
      <c r="EC35" s="78">
        <v>100</v>
      </c>
      <c r="ED35" s="78">
        <v>100</v>
      </c>
      <c r="EE35" s="78">
        <v>100</v>
      </c>
      <c r="EF35" s="78">
        <v>100</v>
      </c>
      <c r="EG35" s="78">
        <v>100</v>
      </c>
      <c r="EH35" s="78">
        <v>100</v>
      </c>
      <c r="EI35" s="78">
        <v>100</v>
      </c>
      <c r="EJ35" s="78">
        <v>100</v>
      </c>
      <c r="EK35" s="78">
        <v>100</v>
      </c>
      <c r="EL35" s="78">
        <v>100</v>
      </c>
      <c r="EM35" s="78">
        <v>100</v>
      </c>
      <c r="EN35" s="78">
        <v>100</v>
      </c>
      <c r="EO35" s="78">
        <v>100</v>
      </c>
      <c r="EP35" s="78">
        <v>100</v>
      </c>
      <c r="EQ35" s="78">
        <v>100</v>
      </c>
      <c r="ER35" s="78">
        <v>100</v>
      </c>
      <c r="ES35" s="78">
        <v>100</v>
      </c>
      <c r="ET35" s="78">
        <v>100</v>
      </c>
      <c r="EU35" s="78">
        <v>100</v>
      </c>
      <c r="EV35" s="78">
        <v>100</v>
      </c>
      <c r="EW35" s="66">
        <v>100</v>
      </c>
      <c r="EX35" s="66">
        <v>100</v>
      </c>
      <c r="EY35" s="88">
        <v>100</v>
      </c>
      <c r="EZ35" s="88">
        <v>100</v>
      </c>
      <c r="FA35" s="88">
        <v>100</v>
      </c>
      <c r="FB35" s="88">
        <v>100</v>
      </c>
      <c r="FC35" s="66">
        <v>100</v>
      </c>
      <c r="FD35" s="66">
        <v>100</v>
      </c>
      <c r="FE35" s="66">
        <v>100</v>
      </c>
      <c r="FF35" s="66">
        <v>100</v>
      </c>
      <c r="FG35" s="66">
        <v>100</v>
      </c>
      <c r="FH35" s="66">
        <v>100</v>
      </c>
      <c r="FI35" s="66">
        <v>100</v>
      </c>
      <c r="FJ35" s="66">
        <v>100</v>
      </c>
      <c r="FK35" s="66">
        <v>100</v>
      </c>
      <c r="FL35" s="66">
        <v>100</v>
      </c>
      <c r="FM35" s="66">
        <v>100</v>
      </c>
      <c r="FN35" s="66">
        <v>100</v>
      </c>
      <c r="FO35" s="66">
        <v>100</v>
      </c>
      <c r="FP35" s="66">
        <v>100</v>
      </c>
      <c r="FQ35" s="66">
        <v>100</v>
      </c>
      <c r="FR35" s="66">
        <v>100</v>
      </c>
      <c r="FS35" s="66">
        <v>100</v>
      </c>
      <c r="FT35" s="66">
        <v>100</v>
      </c>
      <c r="FU35" s="66">
        <v>100</v>
      </c>
      <c r="FV35" s="66">
        <v>100</v>
      </c>
      <c r="FW35" s="66">
        <v>100</v>
      </c>
      <c r="FX35" s="67">
        <v>100</v>
      </c>
      <c r="FY35" s="67">
        <v>100</v>
      </c>
      <c r="FZ35" s="67">
        <v>100</v>
      </c>
      <c r="GA35" s="67">
        <v>100</v>
      </c>
      <c r="GB35" s="67">
        <v>100</v>
      </c>
      <c r="GC35" s="67">
        <v>100</v>
      </c>
      <c r="GD35" s="67">
        <v>100</v>
      </c>
      <c r="GE35" s="67">
        <v>100</v>
      </c>
      <c r="GF35" s="67">
        <v>100</v>
      </c>
      <c r="GG35" s="67">
        <v>100</v>
      </c>
      <c r="GH35" s="67">
        <v>100</v>
      </c>
      <c r="GI35" s="67">
        <v>100</v>
      </c>
      <c r="GJ35" s="67">
        <v>100</v>
      </c>
      <c r="GK35" s="67">
        <v>100</v>
      </c>
      <c r="GL35" s="67">
        <v>100</v>
      </c>
      <c r="GM35" s="67">
        <v>100</v>
      </c>
      <c r="GN35" s="67">
        <v>100</v>
      </c>
      <c r="GO35" s="67">
        <v>100</v>
      </c>
      <c r="GP35" s="67">
        <v>100</v>
      </c>
      <c r="GQ35" s="67">
        <v>100</v>
      </c>
      <c r="GR35" s="67">
        <v>100</v>
      </c>
      <c r="GS35" s="67">
        <v>100</v>
      </c>
      <c r="GT35" s="67">
        <v>100</v>
      </c>
      <c r="GU35" s="67">
        <v>100</v>
      </c>
      <c r="GV35" s="67">
        <v>100</v>
      </c>
      <c r="GW35" s="67">
        <v>100</v>
      </c>
      <c r="GX35" s="67">
        <v>100</v>
      </c>
      <c r="GY35" s="67">
        <v>100</v>
      </c>
      <c r="GZ35" s="67">
        <v>100</v>
      </c>
      <c r="HA35" s="67">
        <v>100</v>
      </c>
      <c r="HB35" s="67">
        <v>100</v>
      </c>
      <c r="HC35" s="67">
        <v>100</v>
      </c>
      <c r="HD35" s="67">
        <v>100</v>
      </c>
      <c r="HE35" s="67">
        <v>100</v>
      </c>
      <c r="HF35" s="67">
        <v>100</v>
      </c>
      <c r="HG35" s="67">
        <v>100</v>
      </c>
      <c r="HH35" s="67">
        <v>100</v>
      </c>
      <c r="HI35" s="67">
        <v>100</v>
      </c>
      <c r="HJ35" s="67">
        <v>100</v>
      </c>
      <c r="HK35" s="67">
        <v>100</v>
      </c>
      <c r="HL35" s="67">
        <v>100</v>
      </c>
      <c r="HM35" s="67">
        <v>100</v>
      </c>
      <c r="HN35" s="67">
        <v>100</v>
      </c>
      <c r="HO35" s="67">
        <v>100</v>
      </c>
      <c r="HP35" s="67">
        <v>100</v>
      </c>
      <c r="HQ35" s="68">
        <v>100</v>
      </c>
      <c r="HR35" s="68">
        <v>100</v>
      </c>
      <c r="HS35" s="68">
        <v>100</v>
      </c>
      <c r="HT35" s="67">
        <v>100</v>
      </c>
      <c r="HU35" s="67">
        <v>100</v>
      </c>
      <c r="HV35" s="67">
        <v>100</v>
      </c>
      <c r="HW35" s="67">
        <v>100</v>
      </c>
      <c r="HX35" s="67">
        <v>100</v>
      </c>
      <c r="HY35" s="67">
        <v>100</v>
      </c>
      <c r="HZ35" s="67">
        <v>100</v>
      </c>
      <c r="IA35" s="67">
        <v>100</v>
      </c>
      <c r="IB35" s="67">
        <v>100</v>
      </c>
      <c r="IC35" s="68">
        <v>100</v>
      </c>
      <c r="ID35" s="68">
        <v>100</v>
      </c>
      <c r="IE35" s="68">
        <v>100</v>
      </c>
      <c r="IF35" s="67">
        <v>100</v>
      </c>
      <c r="IG35" s="67">
        <v>100</v>
      </c>
      <c r="IH35" s="67">
        <v>100</v>
      </c>
      <c r="II35" s="67">
        <v>100</v>
      </c>
      <c r="IJ35" s="67">
        <v>100</v>
      </c>
      <c r="IK35" s="67">
        <v>100</v>
      </c>
      <c r="IL35" s="16" t="s">
        <v>126</v>
      </c>
      <c r="IM35" s="16" t="s">
        <v>126</v>
      </c>
      <c r="IN35" s="16" t="s">
        <v>126</v>
      </c>
      <c r="IO35" s="16" t="s">
        <v>126</v>
      </c>
      <c r="IP35" s="16" t="s">
        <v>126</v>
      </c>
      <c r="IQ35" s="16" t="s">
        <v>126</v>
      </c>
      <c r="IR35" s="16" t="s">
        <v>126</v>
      </c>
      <c r="IS35" s="59">
        <f t="shared" si="1"/>
        <v>0</v>
      </c>
      <c r="IT35" s="186"/>
      <c r="IU35" s="18"/>
      <c r="IV35" s="21"/>
      <c r="IW35" s="21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</row>
    <row r="36" spans="1:273" ht="13.5" customHeight="1">
      <c r="A36" s="97">
        <v>32</v>
      </c>
      <c r="B36" s="77" t="s">
        <v>181</v>
      </c>
      <c r="C36" s="6">
        <v>170</v>
      </c>
      <c r="D36" s="6">
        <v>210</v>
      </c>
      <c r="E36" s="6">
        <v>170</v>
      </c>
      <c r="F36" s="31" t="s">
        <v>126</v>
      </c>
      <c r="G36" s="31" t="s">
        <v>126</v>
      </c>
      <c r="H36" s="31" t="s">
        <v>126</v>
      </c>
      <c r="I36" s="78">
        <v>100</v>
      </c>
      <c r="J36" s="78">
        <v>100</v>
      </c>
      <c r="K36" s="78">
        <v>100</v>
      </c>
      <c r="L36" s="78">
        <v>100</v>
      </c>
      <c r="M36" s="78">
        <v>100</v>
      </c>
      <c r="N36" s="78">
        <v>100</v>
      </c>
      <c r="O36" s="78">
        <v>100</v>
      </c>
      <c r="P36" s="78">
        <v>100</v>
      </c>
      <c r="Q36" s="78">
        <v>100</v>
      </c>
      <c r="R36" s="78">
        <v>100</v>
      </c>
      <c r="S36" s="78">
        <v>100</v>
      </c>
      <c r="T36" s="78">
        <v>100</v>
      </c>
      <c r="U36" s="78">
        <v>100</v>
      </c>
      <c r="V36" s="78">
        <v>100</v>
      </c>
      <c r="W36" s="78">
        <v>100</v>
      </c>
      <c r="X36" s="78">
        <v>100</v>
      </c>
      <c r="Y36" s="78">
        <v>100</v>
      </c>
      <c r="Z36" s="78">
        <v>100</v>
      </c>
      <c r="AA36" s="78">
        <v>100</v>
      </c>
      <c r="AB36" s="78">
        <v>100</v>
      </c>
      <c r="AC36" s="78">
        <v>100</v>
      </c>
      <c r="AD36" s="78">
        <v>100</v>
      </c>
      <c r="AE36" s="78">
        <v>100</v>
      </c>
      <c r="AF36" s="78">
        <v>100</v>
      </c>
      <c r="AG36" s="78">
        <v>100</v>
      </c>
      <c r="AH36" s="78">
        <v>100</v>
      </c>
      <c r="AI36" s="78">
        <v>100</v>
      </c>
      <c r="AJ36" s="78">
        <v>100</v>
      </c>
      <c r="AK36" s="78">
        <v>100</v>
      </c>
      <c r="AL36" s="78">
        <v>100</v>
      </c>
      <c r="AM36" s="78">
        <v>100</v>
      </c>
      <c r="AN36" s="78">
        <v>100</v>
      </c>
      <c r="AO36" s="78">
        <v>100</v>
      </c>
      <c r="AP36" s="78">
        <v>100</v>
      </c>
      <c r="AQ36" s="78">
        <v>100</v>
      </c>
      <c r="AR36" s="78">
        <v>100</v>
      </c>
      <c r="AS36" s="78">
        <v>100</v>
      </c>
      <c r="AT36" s="78">
        <v>100</v>
      </c>
      <c r="AU36" s="78">
        <v>100</v>
      </c>
      <c r="AV36" s="78">
        <v>100</v>
      </c>
      <c r="AW36" s="78">
        <v>100</v>
      </c>
      <c r="AX36" s="78">
        <v>100</v>
      </c>
      <c r="AY36" s="78">
        <v>100</v>
      </c>
      <c r="AZ36" s="78">
        <v>100</v>
      </c>
      <c r="BA36" s="78">
        <v>100</v>
      </c>
      <c r="BB36" s="78">
        <v>100</v>
      </c>
      <c r="BC36" s="78">
        <v>100</v>
      </c>
      <c r="BD36" s="78">
        <v>100</v>
      </c>
      <c r="BE36" s="78">
        <v>100</v>
      </c>
      <c r="BF36" s="78">
        <v>100</v>
      </c>
      <c r="BG36" s="78">
        <v>100</v>
      </c>
      <c r="BH36" s="78">
        <v>100</v>
      </c>
      <c r="BI36" s="78">
        <v>100</v>
      </c>
      <c r="BJ36" s="78">
        <v>100</v>
      </c>
      <c r="BK36" s="78">
        <v>100</v>
      </c>
      <c r="BL36" s="78">
        <v>100</v>
      </c>
      <c r="BM36" s="78">
        <v>100</v>
      </c>
      <c r="BN36" s="78">
        <v>100</v>
      </c>
      <c r="BO36" s="78">
        <v>100</v>
      </c>
      <c r="BP36" s="78">
        <v>100</v>
      </c>
      <c r="BQ36" s="78">
        <v>100</v>
      </c>
      <c r="BR36" s="78">
        <v>100</v>
      </c>
      <c r="BS36" s="78">
        <v>100</v>
      </c>
      <c r="BT36" s="78">
        <v>100</v>
      </c>
      <c r="BU36" s="78">
        <v>100</v>
      </c>
      <c r="BV36" s="78">
        <v>100</v>
      </c>
      <c r="BW36" s="78">
        <v>100</v>
      </c>
      <c r="BX36" s="78">
        <v>100</v>
      </c>
      <c r="BY36" s="78">
        <v>100</v>
      </c>
      <c r="BZ36" s="78">
        <v>100</v>
      </c>
      <c r="CA36" s="78">
        <v>100</v>
      </c>
      <c r="CB36" s="78">
        <v>100</v>
      </c>
      <c r="CC36" s="78">
        <v>100</v>
      </c>
      <c r="CD36" s="78">
        <v>100</v>
      </c>
      <c r="CE36" s="78">
        <v>100</v>
      </c>
      <c r="CF36" s="78">
        <v>100</v>
      </c>
      <c r="CG36" s="78">
        <v>100</v>
      </c>
      <c r="CH36" s="78">
        <v>100</v>
      </c>
      <c r="CI36" s="78">
        <v>100</v>
      </c>
      <c r="CJ36" s="78">
        <v>100</v>
      </c>
      <c r="CK36" s="78">
        <v>100</v>
      </c>
      <c r="CL36" s="78">
        <v>100</v>
      </c>
      <c r="CM36" s="78">
        <v>100</v>
      </c>
      <c r="CN36" s="78">
        <v>100</v>
      </c>
      <c r="CO36" s="78">
        <v>100</v>
      </c>
      <c r="CP36" s="78">
        <v>100</v>
      </c>
      <c r="CQ36" s="78">
        <v>100</v>
      </c>
      <c r="CR36" s="78">
        <v>100</v>
      </c>
      <c r="CS36" s="78">
        <v>100</v>
      </c>
      <c r="CT36" s="78">
        <v>100</v>
      </c>
      <c r="CU36" s="78">
        <v>100</v>
      </c>
      <c r="CV36" s="78">
        <v>100</v>
      </c>
      <c r="CW36" s="78">
        <v>100</v>
      </c>
      <c r="CX36" s="79">
        <v>100</v>
      </c>
      <c r="CY36" s="79">
        <v>100</v>
      </c>
      <c r="CZ36" s="79">
        <v>100</v>
      </c>
      <c r="DA36" s="79">
        <v>100</v>
      </c>
      <c r="DB36" s="79">
        <v>100</v>
      </c>
      <c r="DC36" s="79">
        <v>100</v>
      </c>
      <c r="DD36" s="78">
        <v>100</v>
      </c>
      <c r="DE36" s="78">
        <v>100</v>
      </c>
      <c r="DF36" s="78">
        <v>100</v>
      </c>
      <c r="DG36" s="78">
        <v>100</v>
      </c>
      <c r="DH36" s="78">
        <v>100</v>
      </c>
      <c r="DI36" s="78">
        <v>100</v>
      </c>
      <c r="DJ36" s="78">
        <v>100</v>
      </c>
      <c r="DK36" s="78">
        <v>100</v>
      </c>
      <c r="DL36" s="78">
        <v>100</v>
      </c>
      <c r="DM36" s="78">
        <v>100</v>
      </c>
      <c r="DN36" s="78">
        <v>100</v>
      </c>
      <c r="DO36" s="78">
        <v>100</v>
      </c>
      <c r="DP36" s="78">
        <v>100</v>
      </c>
      <c r="DQ36" s="78">
        <v>100</v>
      </c>
      <c r="DR36" s="78">
        <v>100</v>
      </c>
      <c r="DS36" s="78">
        <v>100</v>
      </c>
      <c r="DT36" s="78">
        <v>100</v>
      </c>
      <c r="DU36" s="78">
        <v>100</v>
      </c>
      <c r="DV36" s="78">
        <v>100</v>
      </c>
      <c r="DW36" s="78">
        <v>100</v>
      </c>
      <c r="DX36" s="78">
        <v>100</v>
      </c>
      <c r="DY36" s="78">
        <v>100</v>
      </c>
      <c r="DZ36" s="78">
        <v>100</v>
      </c>
      <c r="EA36" s="78">
        <v>100</v>
      </c>
      <c r="EB36" s="78">
        <v>100</v>
      </c>
      <c r="EC36" s="78">
        <v>100</v>
      </c>
      <c r="ED36" s="78">
        <v>100</v>
      </c>
      <c r="EE36" s="78">
        <v>100</v>
      </c>
      <c r="EF36" s="78">
        <v>100</v>
      </c>
      <c r="EG36" s="78">
        <v>100</v>
      </c>
      <c r="EH36" s="78">
        <v>100</v>
      </c>
      <c r="EI36" s="78">
        <v>100</v>
      </c>
      <c r="EJ36" s="78">
        <v>100</v>
      </c>
      <c r="EK36" s="78">
        <v>100</v>
      </c>
      <c r="EL36" s="78">
        <v>100</v>
      </c>
      <c r="EM36" s="78">
        <v>100</v>
      </c>
      <c r="EN36" s="78">
        <v>100</v>
      </c>
      <c r="EO36" s="78">
        <v>100</v>
      </c>
      <c r="EP36" s="78">
        <v>100</v>
      </c>
      <c r="EQ36" s="78">
        <v>100</v>
      </c>
      <c r="ER36" s="78">
        <v>100</v>
      </c>
      <c r="ES36" s="78">
        <v>100</v>
      </c>
      <c r="ET36" s="78">
        <v>100</v>
      </c>
      <c r="EU36" s="78">
        <v>100</v>
      </c>
      <c r="EV36" s="78">
        <v>100</v>
      </c>
      <c r="EW36" s="66">
        <v>100</v>
      </c>
      <c r="EX36" s="66">
        <v>100</v>
      </c>
      <c r="EY36" s="88">
        <v>100</v>
      </c>
      <c r="EZ36" s="88">
        <v>100</v>
      </c>
      <c r="FA36" s="88">
        <v>100</v>
      </c>
      <c r="FB36" s="88">
        <v>100</v>
      </c>
      <c r="FC36" s="66">
        <v>100</v>
      </c>
      <c r="FD36" s="66">
        <v>100</v>
      </c>
      <c r="FE36" s="66">
        <v>100</v>
      </c>
      <c r="FF36" s="66">
        <v>100</v>
      </c>
      <c r="FG36" s="66">
        <v>100</v>
      </c>
      <c r="FH36" s="66">
        <v>100</v>
      </c>
      <c r="FI36" s="66">
        <v>100</v>
      </c>
      <c r="FJ36" s="66">
        <v>100</v>
      </c>
      <c r="FK36" s="66">
        <v>100</v>
      </c>
      <c r="FL36" s="66">
        <v>100</v>
      </c>
      <c r="FM36" s="66">
        <v>100</v>
      </c>
      <c r="FN36" s="66">
        <v>100</v>
      </c>
      <c r="FO36" s="66">
        <v>100</v>
      </c>
      <c r="FP36" s="66">
        <v>100</v>
      </c>
      <c r="FQ36" s="66">
        <v>100</v>
      </c>
      <c r="FR36" s="66">
        <v>100</v>
      </c>
      <c r="FS36" s="66">
        <v>100</v>
      </c>
      <c r="FT36" s="66">
        <v>100</v>
      </c>
      <c r="FU36" s="66">
        <v>100</v>
      </c>
      <c r="FV36" s="66">
        <v>100</v>
      </c>
      <c r="FW36" s="66">
        <v>100</v>
      </c>
      <c r="FX36" s="67">
        <v>100</v>
      </c>
      <c r="FY36" s="67">
        <v>100</v>
      </c>
      <c r="FZ36" s="67">
        <v>100</v>
      </c>
      <c r="GA36" s="67">
        <v>100</v>
      </c>
      <c r="GB36" s="67">
        <v>100</v>
      </c>
      <c r="GC36" s="67">
        <v>100</v>
      </c>
      <c r="GD36" s="67">
        <v>100</v>
      </c>
      <c r="GE36" s="67">
        <v>100</v>
      </c>
      <c r="GF36" s="67">
        <v>100</v>
      </c>
      <c r="GG36" s="67">
        <v>100</v>
      </c>
      <c r="GH36" s="67">
        <v>100</v>
      </c>
      <c r="GI36" s="67">
        <v>100</v>
      </c>
      <c r="GJ36" s="67">
        <v>100</v>
      </c>
      <c r="GK36" s="67">
        <v>100</v>
      </c>
      <c r="GL36" s="67">
        <v>100</v>
      </c>
      <c r="GM36" s="67">
        <v>100</v>
      </c>
      <c r="GN36" s="67">
        <v>100</v>
      </c>
      <c r="GO36" s="67">
        <v>100</v>
      </c>
      <c r="GP36" s="67">
        <v>100</v>
      </c>
      <c r="GQ36" s="67">
        <v>100</v>
      </c>
      <c r="GR36" s="67">
        <v>100</v>
      </c>
      <c r="GS36" s="67">
        <v>100</v>
      </c>
      <c r="GT36" s="67">
        <v>100</v>
      </c>
      <c r="GU36" s="67">
        <v>100</v>
      </c>
      <c r="GV36" s="67">
        <v>100</v>
      </c>
      <c r="GW36" s="67">
        <v>100</v>
      </c>
      <c r="GX36" s="67">
        <v>100</v>
      </c>
      <c r="GY36" s="67">
        <v>100</v>
      </c>
      <c r="GZ36" s="67">
        <v>100</v>
      </c>
      <c r="HA36" s="67">
        <v>100</v>
      </c>
      <c r="HB36" s="67">
        <v>100</v>
      </c>
      <c r="HC36" s="67">
        <v>100</v>
      </c>
      <c r="HD36" s="67">
        <v>100</v>
      </c>
      <c r="HE36" s="67">
        <v>100</v>
      </c>
      <c r="HF36" s="67">
        <v>100</v>
      </c>
      <c r="HG36" s="67">
        <v>100</v>
      </c>
      <c r="HH36" s="67">
        <v>100</v>
      </c>
      <c r="HI36" s="67">
        <v>100</v>
      </c>
      <c r="HJ36" s="67">
        <v>100</v>
      </c>
      <c r="HK36" s="67">
        <v>100</v>
      </c>
      <c r="HL36" s="67">
        <v>100</v>
      </c>
      <c r="HM36" s="67">
        <v>100</v>
      </c>
      <c r="HN36" s="67">
        <v>100</v>
      </c>
      <c r="HO36" s="67">
        <v>100</v>
      </c>
      <c r="HP36" s="67">
        <v>100</v>
      </c>
      <c r="HQ36" s="68">
        <v>100</v>
      </c>
      <c r="HR36" s="68">
        <v>100</v>
      </c>
      <c r="HS36" s="68">
        <v>100</v>
      </c>
      <c r="HT36" s="67">
        <v>100</v>
      </c>
      <c r="HU36" s="67">
        <v>100</v>
      </c>
      <c r="HV36" s="67">
        <v>100</v>
      </c>
      <c r="HW36" s="67">
        <v>100</v>
      </c>
      <c r="HX36" s="67">
        <v>100</v>
      </c>
      <c r="HY36" s="67">
        <v>100</v>
      </c>
      <c r="HZ36" s="67">
        <v>100</v>
      </c>
      <c r="IA36" s="67">
        <v>100</v>
      </c>
      <c r="IB36" s="67">
        <v>100</v>
      </c>
      <c r="IC36" s="68">
        <v>100</v>
      </c>
      <c r="ID36" s="68">
        <v>100</v>
      </c>
      <c r="IE36" s="68">
        <v>100</v>
      </c>
      <c r="IF36" s="67">
        <v>100</v>
      </c>
      <c r="IG36" s="67">
        <v>100</v>
      </c>
      <c r="IH36" s="67">
        <v>100</v>
      </c>
      <c r="II36" s="67">
        <v>100</v>
      </c>
      <c r="IJ36" s="67">
        <v>100</v>
      </c>
      <c r="IK36" s="67">
        <v>100</v>
      </c>
      <c r="IL36" s="16" t="s">
        <v>126</v>
      </c>
      <c r="IM36" s="16" t="s">
        <v>126</v>
      </c>
      <c r="IN36" s="16" t="s">
        <v>126</v>
      </c>
      <c r="IO36" s="16" t="s">
        <v>126</v>
      </c>
      <c r="IP36" s="16" t="s">
        <v>126</v>
      </c>
      <c r="IQ36" s="16" t="s">
        <v>126</v>
      </c>
      <c r="IR36" s="16" t="s">
        <v>126</v>
      </c>
      <c r="IS36" s="59">
        <f t="shared" si="1"/>
        <v>0</v>
      </c>
      <c r="IT36" s="186"/>
      <c r="IU36" s="18"/>
      <c r="IV36" s="21"/>
      <c r="IW36" s="21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</row>
    <row r="37" spans="1:273" ht="13.5" customHeight="1">
      <c r="A37" s="97">
        <v>33</v>
      </c>
      <c r="B37" s="77" t="s">
        <v>182</v>
      </c>
      <c r="C37" s="8">
        <v>20</v>
      </c>
      <c r="D37" s="8" t="s">
        <v>126</v>
      </c>
      <c r="E37" s="8" t="s">
        <v>126</v>
      </c>
      <c r="F37" s="31" t="s">
        <v>126</v>
      </c>
      <c r="G37" s="31" t="s">
        <v>126</v>
      </c>
      <c r="H37" s="31" t="s">
        <v>126</v>
      </c>
      <c r="I37" s="78">
        <v>100</v>
      </c>
      <c r="J37" s="78">
        <v>100</v>
      </c>
      <c r="K37" s="78">
        <v>100</v>
      </c>
      <c r="L37" s="78">
        <v>100</v>
      </c>
      <c r="M37" s="78">
        <v>100</v>
      </c>
      <c r="N37" s="78">
        <v>100</v>
      </c>
      <c r="O37" s="78">
        <v>100</v>
      </c>
      <c r="P37" s="78">
        <v>100</v>
      </c>
      <c r="Q37" s="78">
        <v>100</v>
      </c>
      <c r="R37" s="78">
        <v>100</v>
      </c>
      <c r="S37" s="78">
        <v>100</v>
      </c>
      <c r="T37" s="78">
        <v>100</v>
      </c>
      <c r="U37" s="78">
        <v>100</v>
      </c>
      <c r="V37" s="78">
        <v>100</v>
      </c>
      <c r="W37" s="78">
        <v>100</v>
      </c>
      <c r="X37" s="78">
        <v>100</v>
      </c>
      <c r="Y37" s="78">
        <v>100</v>
      </c>
      <c r="Z37" s="78">
        <v>100</v>
      </c>
      <c r="AA37" s="78">
        <v>100</v>
      </c>
      <c r="AB37" s="78">
        <v>100</v>
      </c>
      <c r="AC37" s="78">
        <v>100</v>
      </c>
      <c r="AD37" s="78">
        <v>100</v>
      </c>
      <c r="AE37" s="78">
        <v>100</v>
      </c>
      <c r="AF37" s="78">
        <v>100</v>
      </c>
      <c r="AG37" s="78">
        <v>100</v>
      </c>
      <c r="AH37" s="78">
        <v>100</v>
      </c>
      <c r="AI37" s="78">
        <v>100</v>
      </c>
      <c r="AJ37" s="78">
        <v>100</v>
      </c>
      <c r="AK37" s="78">
        <v>100</v>
      </c>
      <c r="AL37" s="78">
        <v>100</v>
      </c>
      <c r="AM37" s="78">
        <v>100</v>
      </c>
      <c r="AN37" s="78">
        <v>100</v>
      </c>
      <c r="AO37" s="78">
        <v>100</v>
      </c>
      <c r="AP37" s="78">
        <v>100</v>
      </c>
      <c r="AQ37" s="78">
        <v>100</v>
      </c>
      <c r="AR37" s="78">
        <v>100</v>
      </c>
      <c r="AS37" s="78">
        <v>100</v>
      </c>
      <c r="AT37" s="78">
        <v>100</v>
      </c>
      <c r="AU37" s="78">
        <v>100</v>
      </c>
      <c r="AV37" s="78">
        <v>100</v>
      </c>
      <c r="AW37" s="78">
        <v>100</v>
      </c>
      <c r="AX37" s="78">
        <v>100</v>
      </c>
      <c r="AY37" s="78">
        <v>100</v>
      </c>
      <c r="AZ37" s="78">
        <v>100</v>
      </c>
      <c r="BA37" s="78">
        <v>100</v>
      </c>
      <c r="BB37" s="78">
        <v>100</v>
      </c>
      <c r="BC37" s="78">
        <v>100</v>
      </c>
      <c r="BD37" s="78">
        <v>100</v>
      </c>
      <c r="BE37" s="78">
        <v>100</v>
      </c>
      <c r="BF37" s="78">
        <v>100</v>
      </c>
      <c r="BG37" s="78">
        <v>100</v>
      </c>
      <c r="BH37" s="31">
        <v>88</v>
      </c>
      <c r="BI37" s="78">
        <v>100</v>
      </c>
      <c r="BJ37" s="78">
        <v>100</v>
      </c>
      <c r="BK37" s="31">
        <v>75</v>
      </c>
      <c r="BL37" s="78">
        <v>100</v>
      </c>
      <c r="BM37" s="78">
        <v>100</v>
      </c>
      <c r="BN37" s="31">
        <v>68</v>
      </c>
      <c r="BO37" s="78">
        <v>100</v>
      </c>
      <c r="BP37" s="31">
        <v>82</v>
      </c>
      <c r="BQ37" s="31">
        <v>73</v>
      </c>
      <c r="BR37" s="31">
        <v>85</v>
      </c>
      <c r="BS37" s="31">
        <v>77</v>
      </c>
      <c r="BT37" s="31">
        <v>70</v>
      </c>
      <c r="BU37" s="31">
        <v>72</v>
      </c>
      <c r="BV37" s="31">
        <v>66</v>
      </c>
      <c r="BW37" s="31">
        <v>65</v>
      </c>
      <c r="BX37" s="31">
        <v>68</v>
      </c>
      <c r="BY37" s="31">
        <v>54</v>
      </c>
      <c r="BZ37" s="31">
        <v>58</v>
      </c>
      <c r="CA37" s="31">
        <v>62</v>
      </c>
      <c r="CB37" s="31">
        <v>59</v>
      </c>
      <c r="CC37" s="31">
        <v>53</v>
      </c>
      <c r="CD37" s="31">
        <v>52</v>
      </c>
      <c r="CE37" s="31">
        <v>45</v>
      </c>
      <c r="CF37" s="31">
        <v>50</v>
      </c>
      <c r="CG37" s="31">
        <v>34</v>
      </c>
      <c r="CH37" s="31">
        <v>47</v>
      </c>
      <c r="CI37" s="31">
        <v>46</v>
      </c>
      <c r="CJ37" s="31">
        <v>39</v>
      </c>
      <c r="CK37" s="31">
        <v>42</v>
      </c>
      <c r="CL37" s="31">
        <v>42</v>
      </c>
      <c r="CM37" s="31">
        <v>35</v>
      </c>
      <c r="CN37" s="31">
        <v>40</v>
      </c>
      <c r="CO37" s="31">
        <v>45</v>
      </c>
      <c r="CP37" s="31">
        <v>32</v>
      </c>
      <c r="CQ37" s="31">
        <v>38</v>
      </c>
      <c r="CR37" s="31">
        <v>59</v>
      </c>
      <c r="CS37" s="31">
        <v>30</v>
      </c>
      <c r="CT37" s="31">
        <v>36</v>
      </c>
      <c r="CU37" s="31">
        <v>53</v>
      </c>
      <c r="CV37" s="31">
        <v>24</v>
      </c>
      <c r="CW37" s="31">
        <v>35</v>
      </c>
      <c r="CX37" s="31">
        <v>58</v>
      </c>
      <c r="CY37" s="31">
        <v>23</v>
      </c>
      <c r="CZ37" s="31">
        <v>26</v>
      </c>
      <c r="DA37" s="31">
        <v>42</v>
      </c>
      <c r="DB37" s="31">
        <v>18</v>
      </c>
      <c r="DC37" s="31">
        <v>22</v>
      </c>
      <c r="DD37" s="31">
        <v>34</v>
      </c>
      <c r="DE37" s="31">
        <v>28</v>
      </c>
      <c r="DF37" s="31">
        <v>25</v>
      </c>
      <c r="DG37" s="31">
        <v>31</v>
      </c>
      <c r="DH37" s="31">
        <v>25</v>
      </c>
      <c r="DI37" s="31">
        <v>22</v>
      </c>
      <c r="DJ37" s="31">
        <v>30</v>
      </c>
      <c r="DK37" s="31">
        <v>32</v>
      </c>
      <c r="DL37" s="31">
        <v>28</v>
      </c>
      <c r="DM37" s="31">
        <v>39</v>
      </c>
      <c r="DN37" s="31">
        <v>30</v>
      </c>
      <c r="DO37" s="31">
        <v>34</v>
      </c>
      <c r="DP37" s="31">
        <v>46</v>
      </c>
      <c r="DQ37" s="31">
        <v>28</v>
      </c>
      <c r="DR37" s="31">
        <v>33</v>
      </c>
      <c r="DS37" s="31">
        <v>52</v>
      </c>
      <c r="DT37" s="31">
        <v>37</v>
      </c>
      <c r="DU37" s="31">
        <v>31</v>
      </c>
      <c r="DV37" s="31">
        <v>43</v>
      </c>
      <c r="DW37" s="31">
        <v>32</v>
      </c>
      <c r="DX37" s="31">
        <v>29</v>
      </c>
      <c r="DY37" s="31">
        <v>37</v>
      </c>
      <c r="DZ37" s="31">
        <v>31</v>
      </c>
      <c r="EA37" s="31">
        <v>27</v>
      </c>
      <c r="EB37" s="31">
        <v>35</v>
      </c>
      <c r="EC37" s="31">
        <v>27</v>
      </c>
      <c r="ED37" s="31">
        <v>26</v>
      </c>
      <c r="EE37" s="31">
        <v>26</v>
      </c>
      <c r="EF37" s="31">
        <v>22</v>
      </c>
      <c r="EG37" s="31">
        <v>25</v>
      </c>
      <c r="EH37" s="31">
        <v>21</v>
      </c>
      <c r="EI37" s="31">
        <v>18</v>
      </c>
      <c r="EJ37" s="31">
        <v>24</v>
      </c>
      <c r="EK37" s="31">
        <v>29</v>
      </c>
      <c r="EL37" s="31">
        <v>16</v>
      </c>
      <c r="EM37" s="31">
        <v>23</v>
      </c>
      <c r="EN37" s="31">
        <v>25</v>
      </c>
      <c r="EO37" s="31">
        <v>17</v>
      </c>
      <c r="EP37" s="31">
        <v>19</v>
      </c>
      <c r="EQ37" s="31">
        <v>23</v>
      </c>
      <c r="ER37" s="31">
        <v>15</v>
      </c>
      <c r="ES37" s="31">
        <v>13</v>
      </c>
      <c r="ET37" s="31">
        <v>32</v>
      </c>
      <c r="EU37" s="31">
        <v>13</v>
      </c>
      <c r="EV37" s="31">
        <v>16</v>
      </c>
      <c r="EW37" s="31">
        <v>38</v>
      </c>
      <c r="EX37" s="31">
        <v>16</v>
      </c>
      <c r="EY37" s="31">
        <v>17</v>
      </c>
      <c r="EZ37" s="31">
        <v>9</v>
      </c>
      <c r="FA37" s="31">
        <v>12</v>
      </c>
      <c r="FB37" s="31">
        <v>15</v>
      </c>
      <c r="FC37" s="31">
        <v>8</v>
      </c>
      <c r="FD37" s="31">
        <v>16</v>
      </c>
      <c r="FE37" s="31">
        <v>13</v>
      </c>
      <c r="FF37" s="31">
        <v>9</v>
      </c>
      <c r="FG37" s="31">
        <v>12</v>
      </c>
      <c r="FH37" s="31">
        <v>11</v>
      </c>
      <c r="FI37" s="31">
        <v>8</v>
      </c>
      <c r="FJ37" s="31">
        <v>15</v>
      </c>
      <c r="FK37" s="31">
        <v>18</v>
      </c>
      <c r="FL37" s="31">
        <v>7</v>
      </c>
      <c r="FM37" s="31">
        <v>13</v>
      </c>
      <c r="FN37" s="31">
        <v>16</v>
      </c>
      <c r="FO37" s="31">
        <v>8</v>
      </c>
      <c r="FP37" s="31">
        <v>16</v>
      </c>
      <c r="FQ37" s="31">
        <v>19</v>
      </c>
      <c r="FR37" s="31">
        <v>6</v>
      </c>
      <c r="FS37" s="31">
        <v>15</v>
      </c>
      <c r="FT37" s="31">
        <v>17</v>
      </c>
      <c r="FU37" s="31">
        <v>8</v>
      </c>
      <c r="FV37" s="31">
        <v>14</v>
      </c>
      <c r="FW37" s="31">
        <v>12</v>
      </c>
      <c r="FX37" s="60">
        <v>9</v>
      </c>
      <c r="FY37" s="60">
        <v>10</v>
      </c>
      <c r="FZ37" s="60">
        <v>13</v>
      </c>
      <c r="GA37" s="61">
        <v>8</v>
      </c>
      <c r="GB37" s="62">
        <v>7</v>
      </c>
      <c r="GC37" s="61">
        <v>20</v>
      </c>
      <c r="GD37" s="61">
        <v>6</v>
      </c>
      <c r="GE37" s="62">
        <v>5</v>
      </c>
      <c r="GF37" s="61">
        <v>18</v>
      </c>
      <c r="GG37" s="62">
        <v>10</v>
      </c>
      <c r="GH37" s="61">
        <v>8</v>
      </c>
      <c r="GI37" s="61">
        <v>7</v>
      </c>
      <c r="GJ37" s="62">
        <v>8</v>
      </c>
      <c r="GK37" s="61">
        <v>10</v>
      </c>
      <c r="GL37" s="61">
        <v>6</v>
      </c>
      <c r="GM37" s="62">
        <v>9</v>
      </c>
      <c r="GN37" s="61">
        <v>7</v>
      </c>
      <c r="GO37" s="61">
        <v>5</v>
      </c>
      <c r="GP37" s="62">
        <v>7</v>
      </c>
      <c r="GQ37" s="62">
        <v>10</v>
      </c>
      <c r="GR37" s="62">
        <v>6</v>
      </c>
      <c r="GS37" s="62">
        <v>5</v>
      </c>
      <c r="GT37" s="62">
        <v>8</v>
      </c>
      <c r="GU37" s="62">
        <v>4</v>
      </c>
      <c r="GV37" s="62">
        <v>8</v>
      </c>
      <c r="GW37" s="62">
        <v>9</v>
      </c>
      <c r="GX37" s="62">
        <v>7</v>
      </c>
      <c r="GY37" s="62">
        <v>10</v>
      </c>
      <c r="GZ37" s="62">
        <v>8</v>
      </c>
      <c r="HA37" s="62">
        <v>9</v>
      </c>
      <c r="HB37" s="62">
        <v>16</v>
      </c>
      <c r="HC37" s="62">
        <v>10</v>
      </c>
      <c r="HD37" s="62">
        <v>12</v>
      </c>
      <c r="HE37" s="62">
        <v>12</v>
      </c>
      <c r="HF37" s="62">
        <v>8</v>
      </c>
      <c r="HG37" s="62">
        <v>10</v>
      </c>
      <c r="HH37" s="62">
        <v>19</v>
      </c>
      <c r="HI37" s="62">
        <v>10</v>
      </c>
      <c r="HJ37" s="62">
        <v>10</v>
      </c>
      <c r="HK37" s="62">
        <v>16</v>
      </c>
      <c r="HL37" s="62">
        <v>8</v>
      </c>
      <c r="HM37" s="62">
        <v>7</v>
      </c>
      <c r="HN37" s="62">
        <v>13</v>
      </c>
      <c r="HO37" s="62">
        <v>6</v>
      </c>
      <c r="HP37" s="62">
        <v>8</v>
      </c>
      <c r="HQ37" s="63">
        <v>15</v>
      </c>
      <c r="HR37" s="63">
        <v>5</v>
      </c>
      <c r="HS37" s="63">
        <v>8</v>
      </c>
      <c r="HT37" s="67">
        <v>100</v>
      </c>
      <c r="HU37" s="62">
        <v>7</v>
      </c>
      <c r="HV37" s="62">
        <v>8</v>
      </c>
      <c r="HW37" s="67">
        <v>100</v>
      </c>
      <c r="HX37" s="62">
        <v>7</v>
      </c>
      <c r="HY37" s="62">
        <v>7</v>
      </c>
      <c r="HZ37" s="67">
        <v>100</v>
      </c>
      <c r="IA37" s="62">
        <v>8</v>
      </c>
      <c r="IB37" s="62">
        <v>8</v>
      </c>
      <c r="IC37" s="68">
        <v>100</v>
      </c>
      <c r="ID37" s="63">
        <v>8</v>
      </c>
      <c r="IE37" s="63">
        <v>8</v>
      </c>
      <c r="IF37" s="67">
        <v>100</v>
      </c>
      <c r="IG37" s="67">
        <v>100</v>
      </c>
      <c r="IH37" s="67">
        <v>100</v>
      </c>
      <c r="II37" s="67">
        <v>100</v>
      </c>
      <c r="IJ37" s="67">
        <v>100</v>
      </c>
      <c r="IK37" s="67">
        <v>100</v>
      </c>
      <c r="IL37" s="16" t="s">
        <v>126</v>
      </c>
      <c r="IM37" s="16" t="s">
        <v>126</v>
      </c>
      <c r="IN37" s="16" t="s">
        <v>126</v>
      </c>
      <c r="IO37" s="16" t="s">
        <v>126</v>
      </c>
      <c r="IP37" s="16" t="s">
        <v>126</v>
      </c>
      <c r="IQ37" s="16" t="s">
        <v>126</v>
      </c>
      <c r="IR37" s="16" t="s">
        <v>126</v>
      </c>
      <c r="IS37" s="59">
        <f t="shared" si="1"/>
        <v>0</v>
      </c>
      <c r="IT37" s="186"/>
      <c r="IU37" s="18"/>
      <c r="IV37" s="21"/>
      <c r="IW37" s="21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</row>
    <row r="38" spans="1:273" ht="13.5" customHeight="1">
      <c r="A38" s="97">
        <v>34</v>
      </c>
      <c r="B38" s="77" t="s">
        <v>183</v>
      </c>
      <c r="C38" s="6">
        <v>40</v>
      </c>
      <c r="D38" s="6">
        <v>40</v>
      </c>
      <c r="E38" s="6">
        <v>40</v>
      </c>
      <c r="F38" s="31" t="s">
        <v>126</v>
      </c>
      <c r="G38" s="31" t="s">
        <v>126</v>
      </c>
      <c r="H38" s="31" t="s">
        <v>126</v>
      </c>
      <c r="I38" s="78">
        <v>100</v>
      </c>
      <c r="J38" s="78">
        <v>100</v>
      </c>
      <c r="K38" s="78">
        <v>100</v>
      </c>
      <c r="L38" s="78">
        <v>100</v>
      </c>
      <c r="M38" s="78">
        <v>100</v>
      </c>
      <c r="N38" s="78">
        <v>100</v>
      </c>
      <c r="O38" s="78">
        <v>100</v>
      </c>
      <c r="P38" s="78">
        <v>100</v>
      </c>
      <c r="Q38" s="78">
        <v>100</v>
      </c>
      <c r="R38" s="78">
        <v>100</v>
      </c>
      <c r="S38" s="78">
        <v>100</v>
      </c>
      <c r="T38" s="78">
        <v>100</v>
      </c>
      <c r="U38" s="78">
        <v>100</v>
      </c>
      <c r="V38" s="78">
        <v>100</v>
      </c>
      <c r="W38" s="78">
        <v>100</v>
      </c>
      <c r="X38" s="78">
        <v>100</v>
      </c>
      <c r="Y38" s="78">
        <v>100</v>
      </c>
      <c r="Z38" s="78">
        <v>100</v>
      </c>
      <c r="AA38" s="78">
        <v>100</v>
      </c>
      <c r="AB38" s="78">
        <v>100</v>
      </c>
      <c r="AC38" s="78">
        <v>100</v>
      </c>
      <c r="AD38" s="78">
        <v>100</v>
      </c>
      <c r="AE38" s="78">
        <v>100</v>
      </c>
      <c r="AF38" s="78">
        <v>100</v>
      </c>
      <c r="AG38" s="78">
        <v>100</v>
      </c>
      <c r="AH38" s="78">
        <v>100</v>
      </c>
      <c r="AI38" s="78">
        <v>100</v>
      </c>
      <c r="AJ38" s="78">
        <v>100</v>
      </c>
      <c r="AK38" s="78">
        <v>100</v>
      </c>
      <c r="AL38" s="78">
        <v>100</v>
      </c>
      <c r="AM38" s="78">
        <v>100</v>
      </c>
      <c r="AN38" s="78">
        <v>100</v>
      </c>
      <c r="AO38" s="78">
        <v>100</v>
      </c>
      <c r="AP38" s="78">
        <v>100</v>
      </c>
      <c r="AQ38" s="78">
        <v>100</v>
      </c>
      <c r="AR38" s="78">
        <v>100</v>
      </c>
      <c r="AS38" s="78">
        <v>100</v>
      </c>
      <c r="AT38" s="78">
        <v>100</v>
      </c>
      <c r="AU38" s="78">
        <v>100</v>
      </c>
      <c r="AV38" s="78">
        <v>100</v>
      </c>
      <c r="AW38" s="78">
        <v>100</v>
      </c>
      <c r="AX38" s="78">
        <v>100</v>
      </c>
      <c r="AY38" s="78">
        <v>100</v>
      </c>
      <c r="AZ38" s="78">
        <v>100</v>
      </c>
      <c r="BA38" s="78">
        <v>100</v>
      </c>
      <c r="BB38" s="78">
        <v>100</v>
      </c>
      <c r="BC38" s="78">
        <v>100</v>
      </c>
      <c r="BD38" s="78">
        <v>100</v>
      </c>
      <c r="BE38" s="78">
        <v>100</v>
      </c>
      <c r="BF38" s="78">
        <v>100</v>
      </c>
      <c r="BG38" s="78">
        <v>100</v>
      </c>
      <c r="BH38" s="78">
        <v>100</v>
      </c>
      <c r="BI38" s="78">
        <v>100</v>
      </c>
      <c r="BJ38" s="78">
        <v>100</v>
      </c>
      <c r="BK38" s="78">
        <v>100</v>
      </c>
      <c r="BL38" s="78">
        <v>100</v>
      </c>
      <c r="BM38" s="78">
        <v>100</v>
      </c>
      <c r="BN38" s="78">
        <v>100</v>
      </c>
      <c r="BO38" s="78">
        <v>100</v>
      </c>
      <c r="BP38" s="78">
        <v>100</v>
      </c>
      <c r="BQ38" s="78">
        <v>100</v>
      </c>
      <c r="BR38" s="78">
        <v>100</v>
      </c>
      <c r="BS38" s="78">
        <v>100</v>
      </c>
      <c r="BT38" s="78">
        <v>100</v>
      </c>
      <c r="BU38" s="78">
        <v>100</v>
      </c>
      <c r="BV38" s="78">
        <v>100</v>
      </c>
      <c r="BW38" s="78">
        <v>100</v>
      </c>
      <c r="BX38" s="78">
        <v>100</v>
      </c>
      <c r="BY38" s="78">
        <v>100</v>
      </c>
      <c r="BZ38" s="78">
        <v>100</v>
      </c>
      <c r="CA38" s="78">
        <v>100</v>
      </c>
      <c r="CB38" s="78">
        <v>100</v>
      </c>
      <c r="CC38" s="78">
        <v>100</v>
      </c>
      <c r="CD38" s="78">
        <v>100</v>
      </c>
      <c r="CE38" s="78">
        <v>100</v>
      </c>
      <c r="CF38" s="78">
        <v>100</v>
      </c>
      <c r="CG38" s="78">
        <v>100</v>
      </c>
      <c r="CH38" s="78">
        <v>100</v>
      </c>
      <c r="CI38" s="78">
        <v>100</v>
      </c>
      <c r="CJ38" s="78">
        <v>100</v>
      </c>
      <c r="CK38" s="78">
        <v>100</v>
      </c>
      <c r="CL38" s="78">
        <v>100</v>
      </c>
      <c r="CM38" s="78">
        <v>100</v>
      </c>
      <c r="CN38" s="78">
        <v>100</v>
      </c>
      <c r="CO38" s="78">
        <v>100</v>
      </c>
      <c r="CP38" s="78">
        <v>100</v>
      </c>
      <c r="CQ38" s="78">
        <v>100</v>
      </c>
      <c r="CR38" s="78">
        <v>100</v>
      </c>
      <c r="CS38" s="78">
        <v>100</v>
      </c>
      <c r="CT38" s="78">
        <v>100</v>
      </c>
      <c r="CU38" s="78">
        <v>100</v>
      </c>
      <c r="CV38" s="78">
        <v>100</v>
      </c>
      <c r="CW38" s="78">
        <v>100</v>
      </c>
      <c r="CX38" s="79">
        <v>100</v>
      </c>
      <c r="CY38" s="79">
        <v>100</v>
      </c>
      <c r="CZ38" s="79">
        <v>100</v>
      </c>
      <c r="DA38" s="79">
        <v>100</v>
      </c>
      <c r="DB38" s="79">
        <v>100</v>
      </c>
      <c r="DC38" s="79">
        <v>100</v>
      </c>
      <c r="DD38" s="78">
        <v>100</v>
      </c>
      <c r="DE38" s="78">
        <v>100</v>
      </c>
      <c r="DF38" s="78">
        <v>100</v>
      </c>
      <c r="DG38" s="78">
        <v>100</v>
      </c>
      <c r="DH38" s="78">
        <v>100</v>
      </c>
      <c r="DI38" s="78">
        <v>100</v>
      </c>
      <c r="DJ38" s="78">
        <v>100</v>
      </c>
      <c r="DK38" s="78">
        <v>100</v>
      </c>
      <c r="DL38" s="78">
        <v>100</v>
      </c>
      <c r="DM38" s="78">
        <v>100</v>
      </c>
      <c r="DN38" s="78">
        <v>100</v>
      </c>
      <c r="DO38" s="78">
        <v>100</v>
      </c>
      <c r="DP38" s="78">
        <v>100</v>
      </c>
      <c r="DQ38" s="78">
        <v>100</v>
      </c>
      <c r="DR38" s="78">
        <v>100</v>
      </c>
      <c r="DS38" s="78">
        <v>100</v>
      </c>
      <c r="DT38" s="78">
        <v>100</v>
      </c>
      <c r="DU38" s="78">
        <v>100</v>
      </c>
      <c r="DV38" s="78">
        <v>100</v>
      </c>
      <c r="DW38" s="78">
        <v>100</v>
      </c>
      <c r="DX38" s="78">
        <v>100</v>
      </c>
      <c r="DY38" s="78">
        <v>100</v>
      </c>
      <c r="DZ38" s="78">
        <v>100</v>
      </c>
      <c r="EA38" s="78">
        <v>100</v>
      </c>
      <c r="EB38" s="78">
        <v>100</v>
      </c>
      <c r="EC38" s="78">
        <v>100</v>
      </c>
      <c r="ED38" s="78">
        <v>100</v>
      </c>
      <c r="EE38" s="78">
        <v>100</v>
      </c>
      <c r="EF38" s="78">
        <v>100</v>
      </c>
      <c r="EG38" s="78">
        <v>100</v>
      </c>
      <c r="EH38" s="78">
        <v>100</v>
      </c>
      <c r="EI38" s="78">
        <v>100</v>
      </c>
      <c r="EJ38" s="78">
        <v>100</v>
      </c>
      <c r="EK38" s="78">
        <v>100</v>
      </c>
      <c r="EL38" s="78">
        <v>100</v>
      </c>
      <c r="EM38" s="78">
        <v>100</v>
      </c>
      <c r="EN38" s="78">
        <v>100</v>
      </c>
      <c r="EO38" s="78">
        <v>100</v>
      </c>
      <c r="EP38" s="78">
        <v>100</v>
      </c>
      <c r="EQ38" s="78">
        <v>100</v>
      </c>
      <c r="ER38" s="78">
        <v>100</v>
      </c>
      <c r="ES38" s="78">
        <v>100</v>
      </c>
      <c r="ET38" s="78">
        <v>100</v>
      </c>
      <c r="EU38" s="78">
        <v>100</v>
      </c>
      <c r="EV38" s="78">
        <v>100</v>
      </c>
      <c r="EW38" s="66">
        <v>100</v>
      </c>
      <c r="EX38" s="66">
        <v>100</v>
      </c>
      <c r="EY38" s="88">
        <v>100</v>
      </c>
      <c r="EZ38" s="88">
        <v>100</v>
      </c>
      <c r="FA38" s="88">
        <v>100</v>
      </c>
      <c r="FB38" s="88">
        <v>100</v>
      </c>
      <c r="FC38" s="66">
        <v>100</v>
      </c>
      <c r="FD38" s="66">
        <v>100</v>
      </c>
      <c r="FE38" s="66">
        <v>100</v>
      </c>
      <c r="FF38" s="66">
        <v>100</v>
      </c>
      <c r="FG38" s="66">
        <v>100</v>
      </c>
      <c r="FH38" s="66">
        <v>100</v>
      </c>
      <c r="FI38" s="66">
        <v>100</v>
      </c>
      <c r="FJ38" s="66">
        <v>100</v>
      </c>
      <c r="FK38" s="66">
        <v>100</v>
      </c>
      <c r="FL38" s="66">
        <v>100</v>
      </c>
      <c r="FM38" s="66">
        <v>100</v>
      </c>
      <c r="FN38" s="66">
        <v>100</v>
      </c>
      <c r="FO38" s="66">
        <v>100</v>
      </c>
      <c r="FP38" s="66">
        <v>100</v>
      </c>
      <c r="FQ38" s="66">
        <v>100</v>
      </c>
      <c r="FR38" s="66">
        <v>100</v>
      </c>
      <c r="FS38" s="66">
        <v>100</v>
      </c>
      <c r="FT38" s="66">
        <v>100</v>
      </c>
      <c r="FU38" s="66">
        <v>100</v>
      </c>
      <c r="FV38" s="66">
        <v>100</v>
      </c>
      <c r="FW38" s="66">
        <v>100</v>
      </c>
      <c r="FX38" s="67">
        <v>100</v>
      </c>
      <c r="FY38" s="67">
        <v>100</v>
      </c>
      <c r="FZ38" s="67">
        <v>100</v>
      </c>
      <c r="GA38" s="67">
        <v>100</v>
      </c>
      <c r="GB38" s="67">
        <v>100</v>
      </c>
      <c r="GC38" s="67">
        <v>100</v>
      </c>
      <c r="GD38" s="67">
        <v>100</v>
      </c>
      <c r="GE38" s="67">
        <v>100</v>
      </c>
      <c r="GF38" s="67">
        <v>100</v>
      </c>
      <c r="GG38" s="67">
        <v>100</v>
      </c>
      <c r="GH38" s="67">
        <v>100</v>
      </c>
      <c r="GI38" s="67">
        <v>100</v>
      </c>
      <c r="GJ38" s="67">
        <v>100</v>
      </c>
      <c r="GK38" s="67">
        <v>100</v>
      </c>
      <c r="GL38" s="67">
        <v>100</v>
      </c>
      <c r="GM38" s="67">
        <v>100</v>
      </c>
      <c r="GN38" s="67">
        <v>100</v>
      </c>
      <c r="GO38" s="67">
        <v>100</v>
      </c>
      <c r="GP38" s="67">
        <v>100</v>
      </c>
      <c r="GQ38" s="67">
        <v>100</v>
      </c>
      <c r="GR38" s="67">
        <v>100</v>
      </c>
      <c r="GS38" s="67">
        <v>100</v>
      </c>
      <c r="GT38" s="67">
        <v>100</v>
      </c>
      <c r="GU38" s="67">
        <v>100</v>
      </c>
      <c r="GV38" s="67">
        <v>100</v>
      </c>
      <c r="GW38" s="67">
        <v>100</v>
      </c>
      <c r="GX38" s="67">
        <v>100</v>
      </c>
      <c r="GY38" s="67">
        <v>100</v>
      </c>
      <c r="GZ38" s="67">
        <v>100</v>
      </c>
      <c r="HA38" s="67">
        <v>100</v>
      </c>
      <c r="HB38" s="67">
        <v>100</v>
      </c>
      <c r="HC38" s="67">
        <v>100</v>
      </c>
      <c r="HD38" s="67">
        <v>100</v>
      </c>
      <c r="HE38" s="67">
        <v>100</v>
      </c>
      <c r="HF38" s="67">
        <v>100</v>
      </c>
      <c r="HG38" s="67">
        <v>100</v>
      </c>
      <c r="HH38" s="67">
        <v>100</v>
      </c>
      <c r="HI38" s="67">
        <v>100</v>
      </c>
      <c r="HJ38" s="67">
        <v>100</v>
      </c>
      <c r="HK38" s="67">
        <v>100</v>
      </c>
      <c r="HL38" s="67">
        <v>100</v>
      </c>
      <c r="HM38" s="67">
        <v>100</v>
      </c>
      <c r="HN38" s="67">
        <v>100</v>
      </c>
      <c r="HO38" s="67">
        <v>100</v>
      </c>
      <c r="HP38" s="62">
        <v>100</v>
      </c>
      <c r="HQ38" s="68">
        <v>100</v>
      </c>
      <c r="HR38" s="68">
        <v>100</v>
      </c>
      <c r="HS38" s="68">
        <v>100</v>
      </c>
      <c r="HT38" s="67">
        <v>100</v>
      </c>
      <c r="HU38" s="67">
        <v>100</v>
      </c>
      <c r="HV38" s="67">
        <v>100</v>
      </c>
      <c r="HW38" s="67">
        <v>100</v>
      </c>
      <c r="HX38" s="67">
        <v>100</v>
      </c>
      <c r="HY38" s="67">
        <v>100</v>
      </c>
      <c r="HZ38" s="67">
        <v>100</v>
      </c>
      <c r="IA38" s="67">
        <v>100</v>
      </c>
      <c r="IB38" s="67">
        <v>100</v>
      </c>
      <c r="IC38" s="68">
        <v>100</v>
      </c>
      <c r="ID38" s="68">
        <v>100</v>
      </c>
      <c r="IE38" s="68">
        <v>100</v>
      </c>
      <c r="IF38" s="67">
        <v>100</v>
      </c>
      <c r="IG38" s="67">
        <v>100</v>
      </c>
      <c r="IH38" s="67">
        <v>100</v>
      </c>
      <c r="II38" s="67">
        <v>100</v>
      </c>
      <c r="IJ38" s="67">
        <v>100</v>
      </c>
      <c r="IK38" s="67">
        <v>100</v>
      </c>
      <c r="IL38" s="16" t="s">
        <v>126</v>
      </c>
      <c r="IM38" s="16" t="s">
        <v>126</v>
      </c>
      <c r="IN38" s="16" t="s">
        <v>126</v>
      </c>
      <c r="IO38" s="16" t="s">
        <v>126</v>
      </c>
      <c r="IP38" s="16" t="s">
        <v>126</v>
      </c>
      <c r="IQ38" s="16" t="s">
        <v>126</v>
      </c>
      <c r="IR38" s="16" t="s">
        <v>126</v>
      </c>
      <c r="IS38" s="59">
        <f t="shared" si="1"/>
        <v>0</v>
      </c>
      <c r="IT38" s="186"/>
      <c r="IU38" s="18"/>
      <c r="IV38" s="21"/>
      <c r="IW38" s="21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</row>
    <row r="39" spans="1:273" ht="13.5" customHeight="1">
      <c r="A39" s="97">
        <v>35</v>
      </c>
      <c r="B39" s="77" t="s">
        <v>184</v>
      </c>
      <c r="C39" s="6">
        <v>50</v>
      </c>
      <c r="D39" s="6">
        <v>30</v>
      </c>
      <c r="E39" s="6">
        <v>20</v>
      </c>
      <c r="F39" s="31" t="s">
        <v>126</v>
      </c>
      <c r="G39" s="31" t="s">
        <v>126</v>
      </c>
      <c r="H39" s="31" t="s">
        <v>126</v>
      </c>
      <c r="I39" s="78">
        <v>100</v>
      </c>
      <c r="J39" s="78">
        <v>100</v>
      </c>
      <c r="K39" s="78">
        <v>100</v>
      </c>
      <c r="L39" s="78">
        <v>100</v>
      </c>
      <c r="M39" s="78">
        <v>100</v>
      </c>
      <c r="N39" s="78">
        <v>100</v>
      </c>
      <c r="O39" s="78">
        <v>100</v>
      </c>
      <c r="P39" s="78">
        <v>100</v>
      </c>
      <c r="Q39" s="78">
        <v>100</v>
      </c>
      <c r="R39" s="78">
        <v>100</v>
      </c>
      <c r="S39" s="78">
        <v>100</v>
      </c>
      <c r="T39" s="78">
        <v>100</v>
      </c>
      <c r="U39" s="78">
        <v>100</v>
      </c>
      <c r="V39" s="78">
        <v>100</v>
      </c>
      <c r="W39" s="78">
        <v>100</v>
      </c>
      <c r="X39" s="78">
        <v>100</v>
      </c>
      <c r="Y39" s="78">
        <v>100</v>
      </c>
      <c r="Z39" s="78">
        <v>100</v>
      </c>
      <c r="AA39" s="78">
        <v>100</v>
      </c>
      <c r="AB39" s="78">
        <v>100</v>
      </c>
      <c r="AC39" s="78">
        <v>100</v>
      </c>
      <c r="AD39" s="78">
        <v>100</v>
      </c>
      <c r="AE39" s="78">
        <v>100</v>
      </c>
      <c r="AF39" s="78">
        <v>100</v>
      </c>
      <c r="AG39" s="78">
        <v>100</v>
      </c>
      <c r="AH39" s="78">
        <v>100</v>
      </c>
      <c r="AI39" s="78">
        <v>100</v>
      </c>
      <c r="AJ39" s="78">
        <v>100</v>
      </c>
      <c r="AK39" s="78">
        <v>100</v>
      </c>
      <c r="AL39" s="78">
        <v>100</v>
      </c>
      <c r="AM39" s="78">
        <v>100</v>
      </c>
      <c r="AN39" s="78">
        <v>100</v>
      </c>
      <c r="AO39" s="78">
        <v>100</v>
      </c>
      <c r="AP39" s="78">
        <v>100</v>
      </c>
      <c r="AQ39" s="78">
        <v>100</v>
      </c>
      <c r="AR39" s="78">
        <v>100</v>
      </c>
      <c r="AS39" s="78">
        <v>100</v>
      </c>
      <c r="AT39" s="78">
        <v>100</v>
      </c>
      <c r="AU39" s="78">
        <v>100</v>
      </c>
      <c r="AV39" s="78">
        <v>100</v>
      </c>
      <c r="AW39" s="78">
        <v>100</v>
      </c>
      <c r="AX39" s="78">
        <v>100</v>
      </c>
      <c r="AY39" s="78">
        <v>100</v>
      </c>
      <c r="AZ39" s="78">
        <v>100</v>
      </c>
      <c r="BA39" s="78">
        <v>100</v>
      </c>
      <c r="BB39" s="78">
        <v>100</v>
      </c>
      <c r="BC39" s="78">
        <v>100</v>
      </c>
      <c r="BD39" s="78">
        <v>100</v>
      </c>
      <c r="BE39" s="78">
        <v>100</v>
      </c>
      <c r="BF39" s="78">
        <v>100</v>
      </c>
      <c r="BG39" s="78">
        <v>100</v>
      </c>
      <c r="BH39" s="78">
        <v>100</v>
      </c>
      <c r="BI39" s="78">
        <v>100</v>
      </c>
      <c r="BJ39" s="78">
        <v>100</v>
      </c>
      <c r="BK39" s="78">
        <v>100</v>
      </c>
      <c r="BL39" s="78">
        <v>100</v>
      </c>
      <c r="BM39" s="78">
        <v>100</v>
      </c>
      <c r="BN39" s="78">
        <v>100</v>
      </c>
      <c r="BO39" s="78">
        <v>100</v>
      </c>
      <c r="BP39" s="78">
        <v>100</v>
      </c>
      <c r="BQ39" s="78">
        <v>100</v>
      </c>
      <c r="BR39" s="78">
        <v>100</v>
      </c>
      <c r="BS39" s="78">
        <v>100</v>
      </c>
      <c r="BT39" s="78">
        <v>100</v>
      </c>
      <c r="BU39" s="78">
        <v>100</v>
      </c>
      <c r="BV39" s="78">
        <v>100</v>
      </c>
      <c r="BW39" s="78">
        <v>100</v>
      </c>
      <c r="BX39" s="78">
        <v>100</v>
      </c>
      <c r="BY39" s="78">
        <v>100</v>
      </c>
      <c r="BZ39" s="78">
        <v>100</v>
      </c>
      <c r="CA39" s="78">
        <v>100</v>
      </c>
      <c r="CB39" s="78">
        <v>100</v>
      </c>
      <c r="CC39" s="78">
        <v>100</v>
      </c>
      <c r="CD39" s="78">
        <v>100</v>
      </c>
      <c r="CE39" s="78">
        <v>100</v>
      </c>
      <c r="CF39" s="31">
        <v>82</v>
      </c>
      <c r="CG39" s="78">
        <v>100</v>
      </c>
      <c r="CH39" s="78">
        <v>100</v>
      </c>
      <c r="CI39" s="31">
        <v>72</v>
      </c>
      <c r="CJ39" s="78">
        <v>100</v>
      </c>
      <c r="CK39" s="31">
        <v>83</v>
      </c>
      <c r="CL39" s="31">
        <v>69</v>
      </c>
      <c r="CM39" s="31">
        <v>91</v>
      </c>
      <c r="CN39" s="31">
        <v>75</v>
      </c>
      <c r="CO39" s="31">
        <v>65</v>
      </c>
      <c r="CP39" s="31">
        <v>82</v>
      </c>
      <c r="CQ39" s="31">
        <v>70</v>
      </c>
      <c r="CR39" s="31">
        <v>64</v>
      </c>
      <c r="CS39" s="31">
        <v>73</v>
      </c>
      <c r="CT39" s="31">
        <v>79</v>
      </c>
      <c r="CU39" s="31">
        <v>59</v>
      </c>
      <c r="CV39" s="31">
        <v>66</v>
      </c>
      <c r="CW39" s="31">
        <v>75</v>
      </c>
      <c r="CX39" s="31">
        <v>52</v>
      </c>
      <c r="CY39" s="31">
        <v>63</v>
      </c>
      <c r="CZ39" s="31">
        <v>64</v>
      </c>
      <c r="DA39" s="31">
        <v>54</v>
      </c>
      <c r="DB39" s="31">
        <v>59</v>
      </c>
      <c r="DC39" s="31">
        <v>63</v>
      </c>
      <c r="DD39" s="31">
        <v>52</v>
      </c>
      <c r="DE39" s="31">
        <v>55</v>
      </c>
      <c r="DF39" s="31">
        <v>61</v>
      </c>
      <c r="DG39" s="31">
        <v>43</v>
      </c>
      <c r="DH39" s="31">
        <v>58</v>
      </c>
      <c r="DI39" s="31">
        <v>58</v>
      </c>
      <c r="DJ39" s="31">
        <v>40</v>
      </c>
      <c r="DK39" s="31">
        <v>53</v>
      </c>
      <c r="DL39" s="31">
        <v>56</v>
      </c>
      <c r="DM39" s="31">
        <v>36</v>
      </c>
      <c r="DN39" s="31">
        <v>46</v>
      </c>
      <c r="DO39" s="31">
        <v>52</v>
      </c>
      <c r="DP39" s="31">
        <v>39</v>
      </c>
      <c r="DQ39" s="31">
        <v>42</v>
      </c>
      <c r="DR39" s="31">
        <v>47</v>
      </c>
      <c r="DS39" s="31">
        <v>36</v>
      </c>
      <c r="DT39" s="31">
        <v>37</v>
      </c>
      <c r="DU39" s="31">
        <v>42</v>
      </c>
      <c r="DV39" s="31">
        <v>31</v>
      </c>
      <c r="DW39" s="31">
        <v>33</v>
      </c>
      <c r="DX39" s="31">
        <v>46</v>
      </c>
      <c r="DY39" s="31">
        <v>28</v>
      </c>
      <c r="DZ39" s="31">
        <v>30</v>
      </c>
      <c r="EA39" s="31">
        <v>42</v>
      </c>
      <c r="EB39" s="31">
        <v>23</v>
      </c>
      <c r="EC39" s="31">
        <v>21</v>
      </c>
      <c r="ED39" s="31">
        <v>38</v>
      </c>
      <c r="EE39" s="31">
        <v>29</v>
      </c>
      <c r="EF39" s="31">
        <v>27</v>
      </c>
      <c r="EG39" s="31">
        <v>46</v>
      </c>
      <c r="EH39" s="31">
        <v>27</v>
      </c>
      <c r="EI39" s="31">
        <v>22</v>
      </c>
      <c r="EJ39" s="31">
        <v>45</v>
      </c>
      <c r="EK39" s="31">
        <v>23</v>
      </c>
      <c r="EL39" s="31">
        <v>26</v>
      </c>
      <c r="EM39" s="31">
        <v>40</v>
      </c>
      <c r="EN39" s="31">
        <v>28</v>
      </c>
      <c r="EO39" s="31">
        <v>35</v>
      </c>
      <c r="EP39" s="31">
        <v>38</v>
      </c>
      <c r="EQ39" s="31">
        <v>36</v>
      </c>
      <c r="ER39" s="31">
        <v>29</v>
      </c>
      <c r="ES39" s="31">
        <v>33</v>
      </c>
      <c r="ET39" s="31">
        <v>31</v>
      </c>
      <c r="EU39" s="31">
        <v>26</v>
      </c>
      <c r="EV39" s="31">
        <v>29</v>
      </c>
      <c r="EW39" s="31">
        <v>36</v>
      </c>
      <c r="EX39" s="31">
        <v>28</v>
      </c>
      <c r="EY39" s="31">
        <v>25</v>
      </c>
      <c r="EZ39" s="31">
        <v>39</v>
      </c>
      <c r="FA39" s="31">
        <v>24</v>
      </c>
      <c r="FB39" s="31">
        <v>23</v>
      </c>
      <c r="FC39" s="31">
        <v>33</v>
      </c>
      <c r="FD39" s="31">
        <v>28</v>
      </c>
      <c r="FE39" s="31">
        <v>24</v>
      </c>
      <c r="FF39" s="66">
        <v>100</v>
      </c>
      <c r="FG39" s="31">
        <v>35</v>
      </c>
      <c r="FH39" s="31">
        <v>26</v>
      </c>
      <c r="FI39" s="66">
        <v>100</v>
      </c>
      <c r="FJ39" s="64">
        <v>31</v>
      </c>
      <c r="FK39" s="64">
        <v>23</v>
      </c>
      <c r="FL39" s="66">
        <v>100</v>
      </c>
      <c r="FM39" s="31">
        <v>29</v>
      </c>
      <c r="FN39" s="31">
        <v>22</v>
      </c>
      <c r="FO39" s="66">
        <v>100</v>
      </c>
      <c r="FP39" s="31">
        <v>23</v>
      </c>
      <c r="FQ39" s="31">
        <v>28</v>
      </c>
      <c r="FR39" s="66">
        <v>100</v>
      </c>
      <c r="FS39" s="64">
        <v>25</v>
      </c>
      <c r="FT39" s="64">
        <v>29</v>
      </c>
      <c r="FU39" s="66">
        <v>100</v>
      </c>
      <c r="FV39" s="64">
        <v>28</v>
      </c>
      <c r="FW39" s="64">
        <v>23</v>
      </c>
      <c r="FX39" s="67">
        <v>100</v>
      </c>
      <c r="FY39" s="62">
        <v>25</v>
      </c>
      <c r="FZ39" s="62">
        <v>28</v>
      </c>
      <c r="GA39" s="67">
        <v>100</v>
      </c>
      <c r="GB39" s="62">
        <v>29</v>
      </c>
      <c r="GC39" s="62">
        <v>36</v>
      </c>
      <c r="GD39" s="67">
        <v>100</v>
      </c>
      <c r="GE39" s="62">
        <v>22</v>
      </c>
      <c r="GF39" s="62">
        <v>34</v>
      </c>
      <c r="GG39" s="67">
        <v>100</v>
      </c>
      <c r="GH39" s="62">
        <v>19</v>
      </c>
      <c r="GI39" s="62">
        <v>33</v>
      </c>
      <c r="GJ39" s="67">
        <v>100</v>
      </c>
      <c r="GK39" s="62">
        <v>16</v>
      </c>
      <c r="GL39" s="62">
        <v>28</v>
      </c>
      <c r="GM39" s="67">
        <v>100</v>
      </c>
      <c r="GN39" s="62">
        <v>19</v>
      </c>
      <c r="GO39" s="62">
        <v>32</v>
      </c>
      <c r="GP39" s="67">
        <v>100</v>
      </c>
      <c r="GQ39" s="62">
        <v>17</v>
      </c>
      <c r="GR39" s="62">
        <v>28</v>
      </c>
      <c r="GS39" s="67">
        <v>100</v>
      </c>
      <c r="GT39" s="62">
        <v>14</v>
      </c>
      <c r="GU39" s="62">
        <v>23</v>
      </c>
      <c r="GV39" s="67">
        <v>100</v>
      </c>
      <c r="GW39" s="62">
        <v>12</v>
      </c>
      <c r="GX39" s="62">
        <v>18</v>
      </c>
      <c r="GY39" s="67">
        <v>100</v>
      </c>
      <c r="GZ39" s="62">
        <v>18</v>
      </c>
      <c r="HA39" s="62">
        <v>21</v>
      </c>
      <c r="HB39" s="67">
        <v>100</v>
      </c>
      <c r="HC39" s="62">
        <v>20</v>
      </c>
      <c r="HD39" s="62">
        <v>26</v>
      </c>
      <c r="HE39" s="67">
        <v>100</v>
      </c>
      <c r="HF39" s="62">
        <v>28</v>
      </c>
      <c r="HG39" s="62">
        <v>29</v>
      </c>
      <c r="HH39" s="67">
        <v>100</v>
      </c>
      <c r="HI39" s="62">
        <v>23</v>
      </c>
      <c r="HJ39" s="62">
        <v>22</v>
      </c>
      <c r="HK39" s="67">
        <v>100</v>
      </c>
      <c r="HL39" s="62">
        <v>28</v>
      </c>
      <c r="HM39" s="62">
        <v>20</v>
      </c>
      <c r="HN39" s="67">
        <v>100</v>
      </c>
      <c r="HO39" s="62">
        <v>31</v>
      </c>
      <c r="HP39" s="62">
        <v>11</v>
      </c>
      <c r="HQ39" s="68">
        <v>100</v>
      </c>
      <c r="HR39" s="63">
        <v>33</v>
      </c>
      <c r="HS39" s="63">
        <v>16</v>
      </c>
      <c r="HT39" s="67">
        <v>100</v>
      </c>
      <c r="HU39" s="62">
        <v>33</v>
      </c>
      <c r="HV39" s="62">
        <v>17</v>
      </c>
      <c r="HW39" s="67">
        <v>100</v>
      </c>
      <c r="HX39" s="62">
        <v>35</v>
      </c>
      <c r="HY39" s="62">
        <v>14</v>
      </c>
      <c r="HZ39" s="67">
        <v>100</v>
      </c>
      <c r="IA39" s="62">
        <v>37</v>
      </c>
      <c r="IB39" s="62">
        <v>14</v>
      </c>
      <c r="IC39" s="68">
        <v>100</v>
      </c>
      <c r="ID39" s="63">
        <v>38</v>
      </c>
      <c r="IE39" s="63">
        <v>12</v>
      </c>
      <c r="IF39" s="67">
        <v>100</v>
      </c>
      <c r="IG39" s="67">
        <v>100</v>
      </c>
      <c r="IH39" s="67">
        <v>100</v>
      </c>
      <c r="II39" s="67">
        <v>100</v>
      </c>
      <c r="IJ39" s="67">
        <v>100</v>
      </c>
      <c r="IK39" s="67">
        <v>100</v>
      </c>
      <c r="IL39" s="16" t="s">
        <v>126</v>
      </c>
      <c r="IM39" s="16" t="s">
        <v>126</v>
      </c>
      <c r="IN39" s="16" t="s">
        <v>126</v>
      </c>
      <c r="IO39" s="16" t="s">
        <v>126</v>
      </c>
      <c r="IP39" s="16" t="s">
        <v>126</v>
      </c>
      <c r="IQ39" s="16" t="s">
        <v>126</v>
      </c>
      <c r="IR39" s="16" t="s">
        <v>126</v>
      </c>
      <c r="IS39" s="59">
        <f t="shared" si="1"/>
        <v>0</v>
      </c>
      <c r="IT39" s="186"/>
      <c r="IU39" s="18"/>
      <c r="IV39" s="21"/>
      <c r="IW39" s="21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</row>
    <row r="40" spans="1:273" ht="13.5" customHeight="1">
      <c r="A40" s="97">
        <v>36</v>
      </c>
      <c r="B40" s="77" t="s">
        <v>185</v>
      </c>
      <c r="C40" s="6">
        <v>50</v>
      </c>
      <c r="D40" s="6">
        <v>70</v>
      </c>
      <c r="E40" s="6">
        <v>70</v>
      </c>
      <c r="F40" s="31" t="s">
        <v>126</v>
      </c>
      <c r="G40" s="31" t="s">
        <v>126</v>
      </c>
      <c r="H40" s="31" t="s">
        <v>126</v>
      </c>
      <c r="I40" s="78">
        <v>100</v>
      </c>
      <c r="J40" s="78">
        <v>100</v>
      </c>
      <c r="K40" s="78">
        <v>100</v>
      </c>
      <c r="L40" s="78">
        <v>100</v>
      </c>
      <c r="M40" s="78">
        <v>100</v>
      </c>
      <c r="N40" s="78">
        <v>100</v>
      </c>
      <c r="O40" s="78">
        <v>100</v>
      </c>
      <c r="P40" s="78">
        <v>100</v>
      </c>
      <c r="Q40" s="78">
        <v>100</v>
      </c>
      <c r="R40" s="78">
        <v>100</v>
      </c>
      <c r="S40" s="78">
        <v>100</v>
      </c>
      <c r="T40" s="78">
        <v>100</v>
      </c>
      <c r="U40" s="78">
        <v>100</v>
      </c>
      <c r="V40" s="78">
        <v>100</v>
      </c>
      <c r="W40" s="78">
        <v>100</v>
      </c>
      <c r="X40" s="78">
        <v>100</v>
      </c>
      <c r="Y40" s="78">
        <v>100</v>
      </c>
      <c r="Z40" s="78">
        <v>100</v>
      </c>
      <c r="AA40" s="78">
        <v>100</v>
      </c>
      <c r="AB40" s="78">
        <v>100</v>
      </c>
      <c r="AC40" s="78">
        <v>100</v>
      </c>
      <c r="AD40" s="78">
        <v>100</v>
      </c>
      <c r="AE40" s="78">
        <v>100</v>
      </c>
      <c r="AF40" s="78">
        <v>100</v>
      </c>
      <c r="AG40" s="78">
        <v>100</v>
      </c>
      <c r="AH40" s="78">
        <v>100</v>
      </c>
      <c r="AI40" s="78">
        <v>100</v>
      </c>
      <c r="AJ40" s="78">
        <v>100</v>
      </c>
      <c r="AK40" s="78">
        <v>100</v>
      </c>
      <c r="AL40" s="78">
        <v>100</v>
      </c>
      <c r="AM40" s="78">
        <v>100</v>
      </c>
      <c r="AN40" s="78">
        <v>100</v>
      </c>
      <c r="AO40" s="78">
        <v>100</v>
      </c>
      <c r="AP40" s="78">
        <v>100</v>
      </c>
      <c r="AQ40" s="78">
        <v>100</v>
      </c>
      <c r="AR40" s="78">
        <v>100</v>
      </c>
      <c r="AS40" s="78">
        <v>100</v>
      </c>
      <c r="AT40" s="78">
        <v>100</v>
      </c>
      <c r="AU40" s="78">
        <v>100</v>
      </c>
      <c r="AV40" s="78">
        <v>100</v>
      </c>
      <c r="AW40" s="78">
        <v>100</v>
      </c>
      <c r="AX40" s="78">
        <v>100</v>
      </c>
      <c r="AY40" s="78">
        <v>100</v>
      </c>
      <c r="AZ40" s="78">
        <v>100</v>
      </c>
      <c r="BA40" s="78">
        <v>100</v>
      </c>
      <c r="BB40" s="78">
        <v>100</v>
      </c>
      <c r="BC40" s="78">
        <v>100</v>
      </c>
      <c r="BD40" s="78">
        <v>100</v>
      </c>
      <c r="BE40" s="78">
        <v>100</v>
      </c>
      <c r="BF40" s="78">
        <v>100</v>
      </c>
      <c r="BG40" s="78">
        <v>100</v>
      </c>
      <c r="BH40" s="78">
        <v>100</v>
      </c>
      <c r="BI40" s="78">
        <v>100</v>
      </c>
      <c r="BJ40" s="78">
        <v>100</v>
      </c>
      <c r="BK40" s="78">
        <v>100</v>
      </c>
      <c r="BL40" s="78">
        <v>100</v>
      </c>
      <c r="BM40" s="78">
        <v>100</v>
      </c>
      <c r="BN40" s="78">
        <v>100</v>
      </c>
      <c r="BO40" s="78">
        <v>100</v>
      </c>
      <c r="BP40" s="78">
        <v>100</v>
      </c>
      <c r="BQ40" s="78">
        <v>100</v>
      </c>
      <c r="BR40" s="78">
        <v>100</v>
      </c>
      <c r="BS40" s="78">
        <v>100</v>
      </c>
      <c r="BT40" s="78">
        <v>100</v>
      </c>
      <c r="BU40" s="78">
        <v>100</v>
      </c>
      <c r="BV40" s="78">
        <v>100</v>
      </c>
      <c r="BW40" s="78">
        <v>100</v>
      </c>
      <c r="BX40" s="78">
        <v>100</v>
      </c>
      <c r="BY40" s="78">
        <v>100</v>
      </c>
      <c r="BZ40" s="78">
        <v>100</v>
      </c>
      <c r="CA40" s="78">
        <v>100</v>
      </c>
      <c r="CB40" s="78">
        <v>100</v>
      </c>
      <c r="CC40" s="78">
        <v>100</v>
      </c>
      <c r="CD40" s="78">
        <v>100</v>
      </c>
      <c r="CE40" s="78">
        <v>100</v>
      </c>
      <c r="CF40" s="78">
        <v>100</v>
      </c>
      <c r="CG40" s="78">
        <v>100</v>
      </c>
      <c r="CH40" s="78">
        <v>100</v>
      </c>
      <c r="CI40" s="78">
        <v>100</v>
      </c>
      <c r="CJ40" s="78">
        <v>100</v>
      </c>
      <c r="CK40" s="78">
        <v>100</v>
      </c>
      <c r="CL40" s="78">
        <v>100</v>
      </c>
      <c r="CM40" s="78">
        <v>100</v>
      </c>
      <c r="CN40" s="78">
        <v>100</v>
      </c>
      <c r="CO40" s="78">
        <v>100</v>
      </c>
      <c r="CP40" s="78">
        <v>100</v>
      </c>
      <c r="CQ40" s="78">
        <v>100</v>
      </c>
      <c r="CR40" s="78">
        <v>100</v>
      </c>
      <c r="CS40" s="78">
        <v>100</v>
      </c>
      <c r="CT40" s="78">
        <v>100</v>
      </c>
      <c r="CU40" s="78">
        <v>100</v>
      </c>
      <c r="CV40" s="78">
        <v>100</v>
      </c>
      <c r="CW40" s="78">
        <v>100</v>
      </c>
      <c r="CX40" s="79">
        <v>100</v>
      </c>
      <c r="CY40" s="79">
        <v>100</v>
      </c>
      <c r="CZ40" s="79">
        <v>100</v>
      </c>
      <c r="DA40" s="79">
        <v>100</v>
      </c>
      <c r="DB40" s="79">
        <v>100</v>
      </c>
      <c r="DC40" s="79">
        <v>100</v>
      </c>
      <c r="DD40" s="78">
        <v>100</v>
      </c>
      <c r="DE40" s="78">
        <v>100</v>
      </c>
      <c r="DF40" s="78">
        <v>100</v>
      </c>
      <c r="DG40" s="78">
        <v>100</v>
      </c>
      <c r="DH40" s="78">
        <v>100</v>
      </c>
      <c r="DI40" s="78">
        <v>100</v>
      </c>
      <c r="DJ40" s="78">
        <v>100</v>
      </c>
      <c r="DK40" s="78">
        <v>100</v>
      </c>
      <c r="DL40" s="78">
        <v>100</v>
      </c>
      <c r="DM40" s="78">
        <v>100</v>
      </c>
      <c r="DN40" s="78">
        <v>100</v>
      </c>
      <c r="DO40" s="78">
        <v>100</v>
      </c>
      <c r="DP40" s="78">
        <v>100</v>
      </c>
      <c r="DQ40" s="78">
        <v>100</v>
      </c>
      <c r="DR40" s="78">
        <v>100</v>
      </c>
      <c r="DS40" s="78">
        <v>100</v>
      </c>
      <c r="DT40" s="78">
        <v>100</v>
      </c>
      <c r="DU40" s="78">
        <v>100</v>
      </c>
      <c r="DV40" s="78">
        <v>100</v>
      </c>
      <c r="DW40" s="78">
        <v>100</v>
      </c>
      <c r="DX40" s="78">
        <v>100</v>
      </c>
      <c r="DY40" s="78">
        <v>100</v>
      </c>
      <c r="DZ40" s="78">
        <v>100</v>
      </c>
      <c r="EA40" s="78">
        <v>100</v>
      </c>
      <c r="EB40" s="78">
        <v>100</v>
      </c>
      <c r="EC40" s="78">
        <v>100</v>
      </c>
      <c r="ED40" s="78">
        <v>100</v>
      </c>
      <c r="EE40" s="78">
        <v>100</v>
      </c>
      <c r="EF40" s="78">
        <v>100</v>
      </c>
      <c r="EG40" s="78">
        <v>100</v>
      </c>
      <c r="EH40" s="78">
        <v>100</v>
      </c>
      <c r="EI40" s="78">
        <v>100</v>
      </c>
      <c r="EJ40" s="78">
        <v>100</v>
      </c>
      <c r="EK40" s="78">
        <v>100</v>
      </c>
      <c r="EL40" s="78">
        <v>100</v>
      </c>
      <c r="EM40" s="78">
        <v>100</v>
      </c>
      <c r="EN40" s="78">
        <v>100</v>
      </c>
      <c r="EO40" s="78">
        <v>100</v>
      </c>
      <c r="EP40" s="78">
        <v>100</v>
      </c>
      <c r="EQ40" s="78">
        <v>100</v>
      </c>
      <c r="ER40" s="78">
        <v>100</v>
      </c>
      <c r="ES40" s="78">
        <v>100</v>
      </c>
      <c r="ET40" s="78">
        <v>100</v>
      </c>
      <c r="EU40" s="78">
        <v>100</v>
      </c>
      <c r="EV40" s="78">
        <v>100</v>
      </c>
      <c r="EW40" s="66">
        <v>100</v>
      </c>
      <c r="EX40" s="66">
        <v>100</v>
      </c>
      <c r="EY40" s="88">
        <v>100</v>
      </c>
      <c r="EZ40" s="88">
        <v>100</v>
      </c>
      <c r="FA40" s="88">
        <v>100</v>
      </c>
      <c r="FB40" s="88">
        <v>100</v>
      </c>
      <c r="FC40" s="66">
        <v>100</v>
      </c>
      <c r="FD40" s="66">
        <v>100</v>
      </c>
      <c r="FE40" s="66">
        <v>100</v>
      </c>
      <c r="FF40" s="66">
        <v>100</v>
      </c>
      <c r="FG40" s="66">
        <v>100</v>
      </c>
      <c r="FH40" s="66">
        <v>100</v>
      </c>
      <c r="FI40" s="66">
        <v>100</v>
      </c>
      <c r="FJ40" s="66">
        <v>100</v>
      </c>
      <c r="FK40" s="66">
        <v>100</v>
      </c>
      <c r="FL40" s="66">
        <v>100</v>
      </c>
      <c r="FM40" s="66">
        <v>100</v>
      </c>
      <c r="FN40" s="66">
        <v>100</v>
      </c>
      <c r="FO40" s="66">
        <v>100</v>
      </c>
      <c r="FP40" s="66">
        <v>100</v>
      </c>
      <c r="FQ40" s="66">
        <v>100</v>
      </c>
      <c r="FR40" s="66">
        <v>100</v>
      </c>
      <c r="FS40" s="66">
        <v>100</v>
      </c>
      <c r="FT40" s="66">
        <v>100</v>
      </c>
      <c r="FU40" s="66">
        <v>100</v>
      </c>
      <c r="FV40" s="66">
        <v>100</v>
      </c>
      <c r="FW40" s="66">
        <v>100</v>
      </c>
      <c r="FX40" s="67">
        <v>100</v>
      </c>
      <c r="FY40" s="67">
        <v>100</v>
      </c>
      <c r="FZ40" s="67">
        <v>100</v>
      </c>
      <c r="GA40" s="67">
        <v>100</v>
      </c>
      <c r="GB40" s="67">
        <v>100</v>
      </c>
      <c r="GC40" s="67">
        <v>100</v>
      </c>
      <c r="GD40" s="67">
        <v>100</v>
      </c>
      <c r="GE40" s="67">
        <v>100</v>
      </c>
      <c r="GF40" s="67">
        <v>100</v>
      </c>
      <c r="GG40" s="67">
        <v>100</v>
      </c>
      <c r="GH40" s="67">
        <v>100</v>
      </c>
      <c r="GI40" s="67">
        <v>100</v>
      </c>
      <c r="GJ40" s="67">
        <v>100</v>
      </c>
      <c r="GK40" s="67">
        <v>100</v>
      </c>
      <c r="GL40" s="67">
        <v>100</v>
      </c>
      <c r="GM40" s="67">
        <v>100</v>
      </c>
      <c r="GN40" s="67">
        <v>100</v>
      </c>
      <c r="GO40" s="67">
        <v>100</v>
      </c>
      <c r="GP40" s="67">
        <v>100</v>
      </c>
      <c r="GQ40" s="67">
        <v>100</v>
      </c>
      <c r="GR40" s="67">
        <v>100</v>
      </c>
      <c r="GS40" s="67">
        <v>100</v>
      </c>
      <c r="GT40" s="67">
        <v>100</v>
      </c>
      <c r="GU40" s="67">
        <v>100</v>
      </c>
      <c r="GV40" s="67">
        <v>100</v>
      </c>
      <c r="GW40" s="67">
        <v>100</v>
      </c>
      <c r="GX40" s="67">
        <v>100</v>
      </c>
      <c r="GY40" s="67">
        <v>100</v>
      </c>
      <c r="GZ40" s="67">
        <v>100</v>
      </c>
      <c r="HA40" s="67">
        <v>100</v>
      </c>
      <c r="HB40" s="67">
        <v>100</v>
      </c>
      <c r="HC40" s="67">
        <v>100</v>
      </c>
      <c r="HD40" s="67">
        <v>100</v>
      </c>
      <c r="HE40" s="67">
        <v>100</v>
      </c>
      <c r="HF40" s="67">
        <v>100</v>
      </c>
      <c r="HG40" s="67">
        <v>100</v>
      </c>
      <c r="HH40" s="67">
        <v>100</v>
      </c>
      <c r="HI40" s="67">
        <v>100</v>
      </c>
      <c r="HJ40" s="67">
        <v>100</v>
      </c>
      <c r="HK40" s="67">
        <v>100</v>
      </c>
      <c r="HL40" s="67">
        <v>100</v>
      </c>
      <c r="HM40" s="67">
        <v>100</v>
      </c>
      <c r="HN40" s="67">
        <v>100</v>
      </c>
      <c r="HO40" s="67">
        <v>100</v>
      </c>
      <c r="HP40" s="62">
        <v>100</v>
      </c>
      <c r="HQ40" s="68">
        <v>100</v>
      </c>
      <c r="HR40" s="68">
        <v>100</v>
      </c>
      <c r="HS40" s="68">
        <v>100</v>
      </c>
      <c r="HT40" s="67">
        <v>100</v>
      </c>
      <c r="HU40" s="67">
        <v>100</v>
      </c>
      <c r="HV40" s="67">
        <v>100</v>
      </c>
      <c r="HW40" s="67">
        <v>100</v>
      </c>
      <c r="HX40" s="67">
        <v>100</v>
      </c>
      <c r="HY40" s="67">
        <v>100</v>
      </c>
      <c r="HZ40" s="67">
        <v>100</v>
      </c>
      <c r="IA40" s="67">
        <v>100</v>
      </c>
      <c r="IB40" s="67">
        <v>100</v>
      </c>
      <c r="IC40" s="68">
        <v>100</v>
      </c>
      <c r="ID40" s="68">
        <v>100</v>
      </c>
      <c r="IE40" s="68">
        <v>100</v>
      </c>
      <c r="IF40" s="67">
        <v>100</v>
      </c>
      <c r="IG40" s="67">
        <v>100</v>
      </c>
      <c r="IH40" s="67">
        <v>100</v>
      </c>
      <c r="II40" s="67">
        <v>100</v>
      </c>
      <c r="IJ40" s="67">
        <v>100</v>
      </c>
      <c r="IK40" s="67">
        <v>100</v>
      </c>
      <c r="IL40" s="16" t="s">
        <v>126</v>
      </c>
      <c r="IM40" s="16" t="s">
        <v>126</v>
      </c>
      <c r="IN40" s="16" t="s">
        <v>126</v>
      </c>
      <c r="IO40" s="16" t="s">
        <v>126</v>
      </c>
      <c r="IP40" s="16" t="s">
        <v>126</v>
      </c>
      <c r="IQ40" s="16" t="s">
        <v>126</v>
      </c>
      <c r="IR40" s="16" t="s">
        <v>126</v>
      </c>
      <c r="IS40" s="59">
        <f t="shared" si="1"/>
        <v>0</v>
      </c>
      <c r="IT40" s="186"/>
      <c r="IU40" s="18"/>
      <c r="IV40" s="21"/>
      <c r="IW40" s="21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</row>
    <row r="41" spans="1:273" ht="13.5" customHeight="1">
      <c r="A41" s="97">
        <v>37</v>
      </c>
      <c r="B41" s="77" t="s">
        <v>186</v>
      </c>
      <c r="C41" s="30" t="s">
        <v>126</v>
      </c>
      <c r="D41" s="19" t="s">
        <v>126</v>
      </c>
      <c r="E41" s="19" t="s">
        <v>126</v>
      </c>
      <c r="F41" s="31" t="s">
        <v>126</v>
      </c>
      <c r="G41" s="31" t="s">
        <v>126</v>
      </c>
      <c r="H41" s="31" t="s">
        <v>126</v>
      </c>
      <c r="I41" s="78">
        <v>100</v>
      </c>
      <c r="J41" s="78">
        <v>100</v>
      </c>
      <c r="K41" s="78">
        <v>100</v>
      </c>
      <c r="L41" s="78">
        <v>100</v>
      </c>
      <c r="M41" s="78">
        <v>100</v>
      </c>
      <c r="N41" s="78">
        <v>100</v>
      </c>
      <c r="O41" s="78">
        <v>100</v>
      </c>
      <c r="P41" s="78">
        <v>100</v>
      </c>
      <c r="Q41" s="78">
        <v>100</v>
      </c>
      <c r="R41" s="78">
        <v>100</v>
      </c>
      <c r="S41" s="78">
        <v>100</v>
      </c>
      <c r="T41" s="78">
        <v>100</v>
      </c>
      <c r="U41" s="78">
        <v>100</v>
      </c>
      <c r="V41" s="78">
        <v>100</v>
      </c>
      <c r="W41" s="78">
        <v>100</v>
      </c>
      <c r="X41" s="78">
        <v>100</v>
      </c>
      <c r="Y41" s="78">
        <v>100</v>
      </c>
      <c r="Z41" s="78">
        <v>100</v>
      </c>
      <c r="AA41" s="31">
        <v>21</v>
      </c>
      <c r="AB41" s="78">
        <v>100</v>
      </c>
      <c r="AC41" s="78">
        <v>100</v>
      </c>
      <c r="AD41" s="31">
        <v>18</v>
      </c>
      <c r="AE41" s="78">
        <v>100</v>
      </c>
      <c r="AF41" s="78">
        <v>100</v>
      </c>
      <c r="AG41" s="31">
        <v>16</v>
      </c>
      <c r="AH41" s="78">
        <v>100</v>
      </c>
      <c r="AI41" s="78">
        <v>100</v>
      </c>
      <c r="AJ41" s="31">
        <v>18</v>
      </c>
      <c r="AK41" s="78">
        <v>100</v>
      </c>
      <c r="AL41" s="78">
        <v>100</v>
      </c>
      <c r="AM41" s="31">
        <v>25</v>
      </c>
      <c r="AN41" s="31">
        <v>38</v>
      </c>
      <c r="AO41" s="78">
        <v>100</v>
      </c>
      <c r="AP41" s="31">
        <v>22</v>
      </c>
      <c r="AQ41" s="31">
        <v>38</v>
      </c>
      <c r="AR41" s="78">
        <v>100</v>
      </c>
      <c r="AS41" s="31">
        <v>21</v>
      </c>
      <c r="AT41" s="31">
        <v>35</v>
      </c>
      <c r="AU41" s="78">
        <v>100</v>
      </c>
      <c r="AV41" s="31">
        <v>10</v>
      </c>
      <c r="AW41" s="31">
        <v>31</v>
      </c>
      <c r="AX41" s="78">
        <v>100</v>
      </c>
      <c r="AY41" s="31">
        <v>10</v>
      </c>
      <c r="AZ41" s="31">
        <v>29</v>
      </c>
      <c r="BA41" s="31">
        <v>86</v>
      </c>
      <c r="BB41" s="31">
        <v>8</v>
      </c>
      <c r="BC41" s="31">
        <v>8</v>
      </c>
      <c r="BD41" s="31">
        <v>9</v>
      </c>
      <c r="BE41" s="31">
        <v>6</v>
      </c>
      <c r="BF41" s="31">
        <v>6</v>
      </c>
      <c r="BG41" s="31">
        <v>8</v>
      </c>
      <c r="BH41" s="31">
        <v>4</v>
      </c>
      <c r="BI41" s="31">
        <v>19</v>
      </c>
      <c r="BJ41" s="31">
        <v>10</v>
      </c>
      <c r="BK41" s="31">
        <v>3</v>
      </c>
      <c r="BL41" s="31">
        <v>9</v>
      </c>
      <c r="BM41" s="31">
        <v>11</v>
      </c>
      <c r="BN41" s="31">
        <v>3</v>
      </c>
      <c r="BO41" s="31">
        <v>6</v>
      </c>
      <c r="BP41" s="31">
        <v>10</v>
      </c>
      <c r="BQ41" s="31">
        <v>6</v>
      </c>
      <c r="BR41" s="31">
        <v>19</v>
      </c>
      <c r="BS41" s="31">
        <v>25</v>
      </c>
      <c r="BT41" s="31">
        <v>4</v>
      </c>
      <c r="BU41" s="31">
        <v>10</v>
      </c>
      <c r="BV41" s="31">
        <v>8</v>
      </c>
      <c r="BW41" s="31">
        <v>2</v>
      </c>
      <c r="BX41" s="31">
        <v>6</v>
      </c>
      <c r="BY41" s="31">
        <v>6</v>
      </c>
      <c r="BZ41" s="31">
        <v>1</v>
      </c>
      <c r="CA41" s="31">
        <v>4</v>
      </c>
      <c r="CB41" s="31">
        <v>4</v>
      </c>
      <c r="CC41" s="31">
        <v>1</v>
      </c>
      <c r="CD41" s="31">
        <v>3</v>
      </c>
      <c r="CE41" s="31">
        <v>2</v>
      </c>
      <c r="CF41" s="31">
        <v>1</v>
      </c>
      <c r="CG41" s="31">
        <v>2</v>
      </c>
      <c r="CH41" s="31">
        <v>5</v>
      </c>
      <c r="CI41" s="31">
        <v>1</v>
      </c>
      <c r="CJ41" s="31">
        <v>1</v>
      </c>
      <c r="CK41" s="31">
        <v>3</v>
      </c>
      <c r="CL41" s="31">
        <v>1</v>
      </c>
      <c r="CM41" s="31">
        <v>1</v>
      </c>
      <c r="CN41" s="31">
        <v>2</v>
      </c>
      <c r="CO41" s="31">
        <v>1</v>
      </c>
      <c r="CP41" s="31">
        <v>1</v>
      </c>
      <c r="CQ41" s="31">
        <v>1</v>
      </c>
      <c r="CR41" s="31">
        <v>1</v>
      </c>
      <c r="CS41" s="31">
        <v>1</v>
      </c>
      <c r="CT41" s="31">
        <v>1</v>
      </c>
      <c r="CU41" s="31">
        <v>1</v>
      </c>
      <c r="CV41" s="31">
        <v>2</v>
      </c>
      <c r="CW41" s="31">
        <v>3</v>
      </c>
      <c r="CX41" s="31">
        <v>1</v>
      </c>
      <c r="CY41" s="31">
        <v>2</v>
      </c>
      <c r="CZ41" s="31">
        <v>2</v>
      </c>
      <c r="DA41" s="31">
        <v>1</v>
      </c>
      <c r="DB41" s="31">
        <v>2</v>
      </c>
      <c r="DC41" s="31">
        <v>1</v>
      </c>
      <c r="DD41" s="31">
        <v>1</v>
      </c>
      <c r="DE41" s="31">
        <v>1</v>
      </c>
      <c r="DF41" s="31">
        <v>1</v>
      </c>
      <c r="DG41" s="31">
        <v>3</v>
      </c>
      <c r="DH41" s="31">
        <v>1</v>
      </c>
      <c r="DI41" s="31">
        <v>1</v>
      </c>
      <c r="DJ41" s="31">
        <v>2</v>
      </c>
      <c r="DK41" s="31">
        <v>1</v>
      </c>
      <c r="DL41" s="31">
        <v>1</v>
      </c>
      <c r="DM41" s="31">
        <v>1</v>
      </c>
      <c r="DN41" s="31">
        <v>1</v>
      </c>
      <c r="DO41" s="31">
        <v>1</v>
      </c>
      <c r="DP41" s="31">
        <v>1</v>
      </c>
      <c r="DQ41" s="31">
        <v>3</v>
      </c>
      <c r="DR41" s="31">
        <v>1</v>
      </c>
      <c r="DS41" s="31">
        <v>1</v>
      </c>
      <c r="DT41" s="31">
        <v>5</v>
      </c>
      <c r="DU41" s="31">
        <v>1</v>
      </c>
      <c r="DV41" s="31">
        <v>3</v>
      </c>
      <c r="DW41" s="31">
        <v>2</v>
      </c>
      <c r="DX41" s="31">
        <v>1</v>
      </c>
      <c r="DY41" s="31">
        <v>2</v>
      </c>
      <c r="DZ41" s="31">
        <v>5</v>
      </c>
      <c r="EA41" s="31">
        <v>4</v>
      </c>
      <c r="EB41" s="31">
        <v>6</v>
      </c>
      <c r="EC41" s="31">
        <v>4</v>
      </c>
      <c r="ED41" s="31">
        <v>3</v>
      </c>
      <c r="EE41" s="31">
        <v>5</v>
      </c>
      <c r="EF41" s="31">
        <v>3</v>
      </c>
      <c r="EG41" s="31">
        <v>5</v>
      </c>
      <c r="EH41" s="31">
        <v>4</v>
      </c>
      <c r="EI41" s="31">
        <v>6</v>
      </c>
      <c r="EJ41" s="31">
        <v>3</v>
      </c>
      <c r="EK41" s="31">
        <v>3</v>
      </c>
      <c r="EL41" s="31">
        <v>5</v>
      </c>
      <c r="EM41" s="31">
        <v>7</v>
      </c>
      <c r="EN41" s="31">
        <v>5</v>
      </c>
      <c r="EO41" s="31">
        <v>4</v>
      </c>
      <c r="EP41" s="31">
        <v>6</v>
      </c>
      <c r="EQ41" s="31">
        <v>4</v>
      </c>
      <c r="ER41" s="31">
        <v>7</v>
      </c>
      <c r="ES41" s="31">
        <v>5</v>
      </c>
      <c r="ET41" s="31">
        <v>3</v>
      </c>
      <c r="EU41" s="31">
        <v>5</v>
      </c>
      <c r="EV41" s="31">
        <v>4</v>
      </c>
      <c r="EW41" s="31">
        <v>6</v>
      </c>
      <c r="EX41" s="31">
        <v>4</v>
      </c>
      <c r="EY41" s="31">
        <v>3</v>
      </c>
      <c r="EZ41" s="31">
        <v>5</v>
      </c>
      <c r="FA41" s="31">
        <v>3</v>
      </c>
      <c r="FB41" s="31">
        <v>2</v>
      </c>
      <c r="FC41" s="31">
        <v>4</v>
      </c>
      <c r="FD41" s="31">
        <v>9</v>
      </c>
      <c r="FE41" s="31">
        <v>2</v>
      </c>
      <c r="FF41" s="31">
        <v>3</v>
      </c>
      <c r="FG41" s="31">
        <v>6</v>
      </c>
      <c r="FH41" s="31">
        <v>4</v>
      </c>
      <c r="FI41" s="31">
        <v>2</v>
      </c>
      <c r="FJ41" s="31">
        <v>5</v>
      </c>
      <c r="FK41" s="31">
        <v>1</v>
      </c>
      <c r="FL41" s="82">
        <v>5</v>
      </c>
      <c r="FM41" s="31">
        <v>8</v>
      </c>
      <c r="FN41" s="31">
        <v>3</v>
      </c>
      <c r="FO41" s="82">
        <v>4</v>
      </c>
      <c r="FP41" s="31">
        <v>6</v>
      </c>
      <c r="FQ41" s="31">
        <v>5</v>
      </c>
      <c r="FR41" s="64">
        <v>8</v>
      </c>
      <c r="FS41" s="64">
        <v>5</v>
      </c>
      <c r="FT41" s="64">
        <v>4</v>
      </c>
      <c r="FU41" s="64">
        <v>4</v>
      </c>
      <c r="FV41" s="64">
        <v>6</v>
      </c>
      <c r="FW41" s="64">
        <v>7</v>
      </c>
      <c r="FX41" s="62">
        <v>8</v>
      </c>
      <c r="FY41" s="62">
        <v>5</v>
      </c>
      <c r="FZ41" s="62">
        <v>6</v>
      </c>
      <c r="GA41" s="62">
        <v>6</v>
      </c>
      <c r="GB41" s="62">
        <v>4</v>
      </c>
      <c r="GC41" s="62">
        <v>4</v>
      </c>
      <c r="GD41" s="62">
        <v>10</v>
      </c>
      <c r="GE41" s="62">
        <v>6</v>
      </c>
      <c r="GF41" s="62">
        <v>9</v>
      </c>
      <c r="GG41" s="62">
        <v>8</v>
      </c>
      <c r="GH41" s="62">
        <v>5</v>
      </c>
      <c r="GI41" s="62">
        <v>7</v>
      </c>
      <c r="GJ41" s="62">
        <v>6</v>
      </c>
      <c r="GK41" s="62">
        <v>4</v>
      </c>
      <c r="GL41" s="62">
        <v>6</v>
      </c>
      <c r="GM41" s="62">
        <v>4</v>
      </c>
      <c r="GN41" s="62">
        <v>5</v>
      </c>
      <c r="GO41" s="62">
        <v>4</v>
      </c>
      <c r="GP41" s="62">
        <v>8</v>
      </c>
      <c r="GQ41" s="62">
        <v>6</v>
      </c>
      <c r="GR41" s="62">
        <v>7</v>
      </c>
      <c r="GS41" s="62">
        <v>17</v>
      </c>
      <c r="GT41" s="62">
        <v>8</v>
      </c>
      <c r="GU41" s="62">
        <v>9</v>
      </c>
      <c r="GV41" s="62">
        <v>14</v>
      </c>
      <c r="GW41" s="62">
        <v>9</v>
      </c>
      <c r="GX41" s="62">
        <v>7</v>
      </c>
      <c r="GY41" s="62">
        <v>12</v>
      </c>
      <c r="GZ41" s="62">
        <v>6</v>
      </c>
      <c r="HA41" s="62">
        <v>9</v>
      </c>
      <c r="HB41" s="62">
        <v>16</v>
      </c>
      <c r="HC41" s="62">
        <v>9</v>
      </c>
      <c r="HD41" s="62">
        <v>8</v>
      </c>
      <c r="HE41" s="62">
        <v>20</v>
      </c>
      <c r="HF41" s="62">
        <v>10</v>
      </c>
      <c r="HG41" s="62">
        <v>10</v>
      </c>
      <c r="HH41" s="62">
        <v>29</v>
      </c>
      <c r="HI41" s="62">
        <v>9</v>
      </c>
      <c r="HJ41" s="62">
        <v>8</v>
      </c>
      <c r="HK41" s="62">
        <v>23</v>
      </c>
      <c r="HL41" s="62">
        <v>7</v>
      </c>
      <c r="HM41" s="62">
        <v>4</v>
      </c>
      <c r="HN41" s="62">
        <v>21</v>
      </c>
      <c r="HO41" s="62">
        <v>8</v>
      </c>
      <c r="HP41" s="62">
        <v>6</v>
      </c>
      <c r="HQ41" s="63">
        <v>25</v>
      </c>
      <c r="HR41" s="63">
        <v>9</v>
      </c>
      <c r="HS41" s="63">
        <v>6</v>
      </c>
      <c r="HT41" s="67">
        <v>100</v>
      </c>
      <c r="HU41" s="62">
        <v>10</v>
      </c>
      <c r="HV41" s="62">
        <v>5</v>
      </c>
      <c r="HW41" s="67">
        <v>100</v>
      </c>
      <c r="HX41" s="62">
        <v>8</v>
      </c>
      <c r="HY41" s="62">
        <v>9</v>
      </c>
      <c r="HZ41" s="67">
        <v>100</v>
      </c>
      <c r="IA41" s="62">
        <v>9</v>
      </c>
      <c r="IB41" s="62">
        <v>9</v>
      </c>
      <c r="IC41" s="68">
        <v>100</v>
      </c>
      <c r="ID41" s="63">
        <v>9</v>
      </c>
      <c r="IE41" s="63">
        <v>9</v>
      </c>
      <c r="IF41" s="67">
        <v>100</v>
      </c>
      <c r="IG41" s="67">
        <v>100</v>
      </c>
      <c r="IH41" s="67">
        <v>100</v>
      </c>
      <c r="II41" s="67">
        <v>100</v>
      </c>
      <c r="IJ41" s="67">
        <v>100</v>
      </c>
      <c r="IK41" s="67">
        <v>100</v>
      </c>
      <c r="IL41" s="16" t="s">
        <v>126</v>
      </c>
      <c r="IM41" s="16" t="s">
        <v>126</v>
      </c>
      <c r="IN41" s="16" t="s">
        <v>126</v>
      </c>
      <c r="IO41" s="16" t="s">
        <v>126</v>
      </c>
      <c r="IP41" s="16" t="s">
        <v>126</v>
      </c>
      <c r="IQ41" s="16" t="s">
        <v>126</v>
      </c>
      <c r="IR41" s="16" t="s">
        <v>126</v>
      </c>
      <c r="IS41" s="59">
        <f t="shared" si="1"/>
        <v>0</v>
      </c>
      <c r="IT41" s="186"/>
      <c r="IU41" s="18"/>
      <c r="IV41" s="21"/>
      <c r="IW41" s="21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</row>
    <row r="42" spans="1:273" ht="13.5" customHeight="1">
      <c r="A42" s="97">
        <v>38</v>
      </c>
      <c r="B42" s="77" t="s">
        <v>187</v>
      </c>
      <c r="C42" s="31" t="s">
        <v>126</v>
      </c>
      <c r="D42" s="20" t="s">
        <v>126</v>
      </c>
      <c r="E42" s="20" t="s">
        <v>126</v>
      </c>
      <c r="F42" s="31" t="s">
        <v>126</v>
      </c>
      <c r="G42" s="31" t="s">
        <v>126</v>
      </c>
      <c r="H42" s="31" t="s">
        <v>126</v>
      </c>
      <c r="I42" s="78">
        <v>100</v>
      </c>
      <c r="J42" s="78">
        <v>100</v>
      </c>
      <c r="K42" s="78">
        <v>100</v>
      </c>
      <c r="L42" s="78">
        <v>100</v>
      </c>
      <c r="M42" s="78">
        <v>100</v>
      </c>
      <c r="N42" s="78">
        <v>100</v>
      </c>
      <c r="O42" s="78">
        <v>100</v>
      </c>
      <c r="P42" s="78">
        <v>100</v>
      </c>
      <c r="Q42" s="78">
        <v>100</v>
      </c>
      <c r="R42" s="78">
        <v>100</v>
      </c>
      <c r="S42" s="78">
        <v>100</v>
      </c>
      <c r="T42" s="78">
        <v>100</v>
      </c>
      <c r="U42" s="78">
        <v>100</v>
      </c>
      <c r="V42" s="78">
        <v>100</v>
      </c>
      <c r="W42" s="78">
        <v>100</v>
      </c>
      <c r="X42" s="78">
        <v>100</v>
      </c>
      <c r="Y42" s="78">
        <v>100</v>
      </c>
      <c r="Z42" s="78">
        <v>100</v>
      </c>
      <c r="AA42" s="78">
        <v>100</v>
      </c>
      <c r="AB42" s="78">
        <v>100</v>
      </c>
      <c r="AC42" s="78">
        <v>100</v>
      </c>
      <c r="AD42" s="78">
        <v>100</v>
      </c>
      <c r="AE42" s="78">
        <v>100</v>
      </c>
      <c r="AF42" s="78">
        <v>100</v>
      </c>
      <c r="AG42" s="78">
        <v>100</v>
      </c>
      <c r="AH42" s="78">
        <v>100</v>
      </c>
      <c r="AI42" s="78">
        <v>100</v>
      </c>
      <c r="AJ42" s="78">
        <v>100</v>
      </c>
      <c r="AK42" s="78">
        <v>100</v>
      </c>
      <c r="AL42" s="78">
        <v>100</v>
      </c>
      <c r="AM42" s="31">
        <v>85</v>
      </c>
      <c r="AN42" s="78">
        <v>100</v>
      </c>
      <c r="AO42" s="78">
        <v>100</v>
      </c>
      <c r="AP42" s="31">
        <v>52</v>
      </c>
      <c r="AQ42" s="78">
        <v>100</v>
      </c>
      <c r="AR42" s="78">
        <v>100</v>
      </c>
      <c r="AS42" s="31">
        <v>40</v>
      </c>
      <c r="AT42" s="31">
        <v>53</v>
      </c>
      <c r="AU42" s="78">
        <v>100</v>
      </c>
      <c r="AV42" s="31">
        <v>38</v>
      </c>
      <c r="AW42" s="31">
        <v>51</v>
      </c>
      <c r="AX42" s="31">
        <v>76</v>
      </c>
      <c r="AY42" s="31">
        <v>45</v>
      </c>
      <c r="AZ42" s="31">
        <v>54</v>
      </c>
      <c r="BA42" s="31">
        <v>61</v>
      </c>
      <c r="BB42" s="31">
        <v>39</v>
      </c>
      <c r="BC42" s="31">
        <v>55</v>
      </c>
      <c r="BD42" s="78">
        <v>100</v>
      </c>
      <c r="BE42" s="31">
        <v>36</v>
      </c>
      <c r="BF42" s="31">
        <v>49</v>
      </c>
      <c r="BG42" s="78">
        <v>100</v>
      </c>
      <c r="BH42" s="31">
        <v>32</v>
      </c>
      <c r="BI42" s="31">
        <v>45</v>
      </c>
      <c r="BJ42" s="31">
        <v>49</v>
      </c>
      <c r="BK42" s="31">
        <v>48</v>
      </c>
      <c r="BL42" s="31">
        <v>40</v>
      </c>
      <c r="BM42" s="31">
        <v>57</v>
      </c>
      <c r="BN42" s="31">
        <v>42</v>
      </c>
      <c r="BO42" s="31">
        <v>40</v>
      </c>
      <c r="BP42" s="31">
        <v>53</v>
      </c>
      <c r="BQ42" s="31">
        <v>21</v>
      </c>
      <c r="BR42" s="31">
        <v>38</v>
      </c>
      <c r="BS42" s="31">
        <v>36</v>
      </c>
      <c r="BT42" s="31">
        <v>32</v>
      </c>
      <c r="BU42" s="31">
        <v>31</v>
      </c>
      <c r="BV42" s="31">
        <v>56</v>
      </c>
      <c r="BW42" s="31">
        <v>46</v>
      </c>
      <c r="BX42" s="31">
        <v>39</v>
      </c>
      <c r="BY42" s="31">
        <v>47</v>
      </c>
      <c r="BZ42" s="31">
        <v>44</v>
      </c>
      <c r="CA42" s="31">
        <v>35</v>
      </c>
      <c r="CB42" s="31">
        <v>38</v>
      </c>
      <c r="CC42" s="31">
        <v>40</v>
      </c>
      <c r="CD42" s="31">
        <v>32</v>
      </c>
      <c r="CE42" s="31">
        <v>41</v>
      </c>
      <c r="CF42" s="31">
        <v>37</v>
      </c>
      <c r="CG42" s="31">
        <v>41</v>
      </c>
      <c r="CH42" s="31">
        <v>47</v>
      </c>
      <c r="CI42" s="31">
        <v>34</v>
      </c>
      <c r="CJ42" s="31">
        <v>40</v>
      </c>
      <c r="CK42" s="31">
        <v>45</v>
      </c>
      <c r="CL42" s="31">
        <v>39</v>
      </c>
      <c r="CM42" s="31">
        <v>36</v>
      </c>
      <c r="CN42" s="31">
        <v>38</v>
      </c>
      <c r="CO42" s="31">
        <v>46</v>
      </c>
      <c r="CP42" s="31">
        <v>34</v>
      </c>
      <c r="CQ42" s="31">
        <v>28</v>
      </c>
      <c r="CR42" s="31">
        <v>43</v>
      </c>
      <c r="CS42" s="31">
        <v>32</v>
      </c>
      <c r="CT42" s="31">
        <v>31</v>
      </c>
      <c r="CU42" s="31">
        <v>23</v>
      </c>
      <c r="CV42" s="31">
        <v>28</v>
      </c>
      <c r="CW42" s="31">
        <v>27</v>
      </c>
      <c r="CX42" s="31">
        <v>10</v>
      </c>
      <c r="CY42" s="31">
        <v>22</v>
      </c>
      <c r="CZ42" s="31">
        <v>29</v>
      </c>
      <c r="DA42" s="31">
        <v>9</v>
      </c>
      <c r="DB42" s="31">
        <v>18</v>
      </c>
      <c r="DC42" s="31">
        <v>23</v>
      </c>
      <c r="DD42" s="31">
        <v>7</v>
      </c>
      <c r="DE42" s="31">
        <v>32</v>
      </c>
      <c r="DF42" s="31">
        <v>16</v>
      </c>
      <c r="DG42" s="31">
        <v>6</v>
      </c>
      <c r="DH42" s="31">
        <v>27</v>
      </c>
      <c r="DI42" s="31">
        <v>19</v>
      </c>
      <c r="DJ42" s="31">
        <v>5</v>
      </c>
      <c r="DK42" s="31">
        <v>23</v>
      </c>
      <c r="DL42" s="31">
        <v>17</v>
      </c>
      <c r="DM42" s="31">
        <v>4</v>
      </c>
      <c r="DN42" s="31">
        <v>18</v>
      </c>
      <c r="DO42" s="31">
        <v>14</v>
      </c>
      <c r="DP42" s="31">
        <v>4</v>
      </c>
      <c r="DQ42" s="31">
        <v>16</v>
      </c>
      <c r="DR42" s="31">
        <v>12</v>
      </c>
      <c r="DS42" s="31">
        <v>8</v>
      </c>
      <c r="DT42" s="31">
        <v>14</v>
      </c>
      <c r="DU42" s="31">
        <v>16</v>
      </c>
      <c r="DV42" s="31">
        <v>10</v>
      </c>
      <c r="DW42" s="31">
        <v>11</v>
      </c>
      <c r="DX42" s="31">
        <v>13</v>
      </c>
      <c r="DY42" s="31">
        <v>9</v>
      </c>
      <c r="DZ42" s="31">
        <v>11</v>
      </c>
      <c r="EA42" s="31">
        <v>12</v>
      </c>
      <c r="EB42" s="31">
        <v>7</v>
      </c>
      <c r="EC42" s="31">
        <v>10</v>
      </c>
      <c r="ED42" s="31">
        <v>19</v>
      </c>
      <c r="EE42" s="31">
        <v>6</v>
      </c>
      <c r="EF42" s="31">
        <v>9</v>
      </c>
      <c r="EG42" s="31">
        <v>14</v>
      </c>
      <c r="EH42" s="31">
        <v>8</v>
      </c>
      <c r="EI42" s="31">
        <v>7</v>
      </c>
      <c r="EJ42" s="31">
        <v>11</v>
      </c>
      <c r="EK42" s="31">
        <v>6</v>
      </c>
      <c r="EL42" s="31">
        <v>8</v>
      </c>
      <c r="EM42" s="31">
        <v>9</v>
      </c>
      <c r="EN42" s="31">
        <v>8</v>
      </c>
      <c r="EO42" s="31">
        <v>7</v>
      </c>
      <c r="EP42" s="31">
        <v>6</v>
      </c>
      <c r="EQ42" s="31">
        <v>5</v>
      </c>
      <c r="ER42" s="31">
        <v>4</v>
      </c>
      <c r="ES42" s="31">
        <v>9</v>
      </c>
      <c r="ET42" s="31">
        <v>8</v>
      </c>
      <c r="EU42" s="31">
        <v>6</v>
      </c>
      <c r="EV42" s="31">
        <v>8</v>
      </c>
      <c r="EW42" s="31">
        <v>9</v>
      </c>
      <c r="EX42" s="31">
        <v>5</v>
      </c>
      <c r="EY42" s="31">
        <v>7</v>
      </c>
      <c r="EZ42" s="31">
        <v>10</v>
      </c>
      <c r="FA42" s="31">
        <v>4</v>
      </c>
      <c r="FB42" s="31">
        <v>6</v>
      </c>
      <c r="FC42" s="31">
        <v>15</v>
      </c>
      <c r="FD42" s="31">
        <v>3</v>
      </c>
      <c r="FE42" s="31">
        <v>5</v>
      </c>
      <c r="FF42" s="31">
        <v>38</v>
      </c>
      <c r="FG42" s="31">
        <v>10</v>
      </c>
      <c r="FH42" s="31">
        <v>16</v>
      </c>
      <c r="FI42" s="64">
        <v>46</v>
      </c>
      <c r="FJ42" s="64">
        <v>9</v>
      </c>
      <c r="FK42" s="64">
        <v>21</v>
      </c>
      <c r="FL42" s="31">
        <v>42</v>
      </c>
      <c r="FM42" s="31">
        <v>7</v>
      </c>
      <c r="FN42" s="31">
        <v>19</v>
      </c>
      <c r="FO42" s="31">
        <v>48</v>
      </c>
      <c r="FP42" s="31">
        <v>5</v>
      </c>
      <c r="FQ42" s="31">
        <v>13</v>
      </c>
      <c r="FR42" s="64">
        <v>43</v>
      </c>
      <c r="FS42" s="64">
        <v>4</v>
      </c>
      <c r="FT42" s="64">
        <v>12</v>
      </c>
      <c r="FU42" s="64">
        <v>38</v>
      </c>
      <c r="FV42" s="64">
        <v>5</v>
      </c>
      <c r="FW42" s="64">
        <v>15</v>
      </c>
      <c r="FX42" s="62">
        <v>33</v>
      </c>
      <c r="FY42" s="62">
        <v>4</v>
      </c>
      <c r="FZ42" s="62">
        <v>13</v>
      </c>
      <c r="GA42" s="62">
        <v>39</v>
      </c>
      <c r="GB42" s="62">
        <v>8</v>
      </c>
      <c r="GC42" s="62">
        <v>18</v>
      </c>
      <c r="GD42" s="62">
        <v>32</v>
      </c>
      <c r="GE42" s="62">
        <v>6</v>
      </c>
      <c r="GF42" s="62">
        <v>13</v>
      </c>
      <c r="GG42" s="62">
        <v>29</v>
      </c>
      <c r="GH42" s="62">
        <v>4</v>
      </c>
      <c r="GI42" s="62">
        <v>19</v>
      </c>
      <c r="GJ42" s="62">
        <v>33</v>
      </c>
      <c r="GK42" s="62">
        <v>5</v>
      </c>
      <c r="GL42" s="62">
        <v>15</v>
      </c>
      <c r="GM42" s="62">
        <v>38</v>
      </c>
      <c r="GN42" s="62">
        <v>4</v>
      </c>
      <c r="GO42" s="62">
        <v>12</v>
      </c>
      <c r="GP42" s="62">
        <v>36</v>
      </c>
      <c r="GQ42" s="62">
        <v>7</v>
      </c>
      <c r="GR42" s="62">
        <v>15</v>
      </c>
      <c r="GS42" s="62">
        <v>34</v>
      </c>
      <c r="GT42" s="62">
        <v>9</v>
      </c>
      <c r="GU42" s="62">
        <v>12</v>
      </c>
      <c r="GV42" s="62">
        <v>38</v>
      </c>
      <c r="GW42" s="62">
        <v>10</v>
      </c>
      <c r="GX42" s="62">
        <v>19</v>
      </c>
      <c r="GY42" s="62">
        <v>46</v>
      </c>
      <c r="GZ42" s="62">
        <v>12</v>
      </c>
      <c r="HA42" s="62">
        <v>16</v>
      </c>
      <c r="HB42" s="62">
        <v>53</v>
      </c>
      <c r="HC42" s="62">
        <v>11</v>
      </c>
      <c r="HD42" s="62">
        <v>14</v>
      </c>
      <c r="HE42" s="62">
        <v>43</v>
      </c>
      <c r="HF42" s="62">
        <v>15</v>
      </c>
      <c r="HG42" s="62">
        <v>19</v>
      </c>
      <c r="HH42" s="62">
        <v>48</v>
      </c>
      <c r="HI42" s="62">
        <v>19</v>
      </c>
      <c r="HJ42" s="62">
        <v>25</v>
      </c>
      <c r="HK42" s="62">
        <v>57</v>
      </c>
      <c r="HL42" s="62">
        <v>16</v>
      </c>
      <c r="HM42" s="62">
        <v>28</v>
      </c>
      <c r="HN42" s="62">
        <v>63</v>
      </c>
      <c r="HO42" s="62">
        <v>14</v>
      </c>
      <c r="HP42" s="62">
        <v>29</v>
      </c>
      <c r="HQ42" s="63">
        <v>54</v>
      </c>
      <c r="HR42" s="63">
        <v>17</v>
      </c>
      <c r="HS42" s="63">
        <v>26</v>
      </c>
      <c r="HT42" s="67">
        <v>100</v>
      </c>
      <c r="HU42" s="62">
        <v>18</v>
      </c>
      <c r="HV42" s="62">
        <v>29</v>
      </c>
      <c r="HW42" s="67">
        <v>100</v>
      </c>
      <c r="HX42" s="62">
        <v>19</v>
      </c>
      <c r="HY42" s="62">
        <v>30</v>
      </c>
      <c r="HZ42" s="67">
        <v>100</v>
      </c>
      <c r="IA42" s="62">
        <v>18</v>
      </c>
      <c r="IB42" s="62">
        <v>33</v>
      </c>
      <c r="IC42" s="68">
        <v>100</v>
      </c>
      <c r="ID42" s="63">
        <v>17</v>
      </c>
      <c r="IE42" s="63">
        <v>34</v>
      </c>
      <c r="IF42" s="67">
        <v>100</v>
      </c>
      <c r="IG42" s="67">
        <v>100</v>
      </c>
      <c r="IH42" s="67">
        <v>100</v>
      </c>
      <c r="II42" s="67">
        <v>100</v>
      </c>
      <c r="IJ42" s="67">
        <v>100</v>
      </c>
      <c r="IK42" s="67">
        <v>100</v>
      </c>
      <c r="IL42" s="16" t="s">
        <v>126</v>
      </c>
      <c r="IM42" s="16" t="s">
        <v>126</v>
      </c>
      <c r="IN42" s="16" t="s">
        <v>126</v>
      </c>
      <c r="IO42" s="16" t="s">
        <v>126</v>
      </c>
      <c r="IP42" s="16" t="s">
        <v>126</v>
      </c>
      <c r="IQ42" s="16" t="s">
        <v>126</v>
      </c>
      <c r="IR42" s="16" t="s">
        <v>126</v>
      </c>
      <c r="IS42" s="59">
        <f t="shared" si="1"/>
        <v>0</v>
      </c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</row>
    <row r="43" spans="1:273" ht="13.5" customHeight="1">
      <c r="A43" s="97">
        <v>39</v>
      </c>
      <c r="B43" s="77" t="s">
        <v>188</v>
      </c>
      <c r="C43" s="6">
        <v>10</v>
      </c>
      <c r="D43" s="6">
        <v>10</v>
      </c>
      <c r="E43" s="6">
        <v>10</v>
      </c>
      <c r="F43" s="31" t="s">
        <v>126</v>
      </c>
      <c r="G43" s="31" t="s">
        <v>126</v>
      </c>
      <c r="H43" s="31" t="s">
        <v>126</v>
      </c>
      <c r="I43" s="78">
        <v>100</v>
      </c>
      <c r="J43" s="78">
        <v>100</v>
      </c>
      <c r="K43" s="78">
        <v>100</v>
      </c>
      <c r="L43" s="78">
        <v>100</v>
      </c>
      <c r="M43" s="78">
        <v>100</v>
      </c>
      <c r="N43" s="78">
        <v>100</v>
      </c>
      <c r="O43" s="78">
        <v>100</v>
      </c>
      <c r="P43" s="78">
        <v>100</v>
      </c>
      <c r="Q43" s="78">
        <v>100</v>
      </c>
      <c r="R43" s="78">
        <v>100</v>
      </c>
      <c r="S43" s="78">
        <v>100</v>
      </c>
      <c r="T43" s="78">
        <v>100</v>
      </c>
      <c r="U43" s="78">
        <v>100</v>
      </c>
      <c r="V43" s="78">
        <v>100</v>
      </c>
      <c r="W43" s="78">
        <v>100</v>
      </c>
      <c r="X43" s="78">
        <v>100</v>
      </c>
      <c r="Y43" s="78">
        <v>100</v>
      </c>
      <c r="Z43" s="78">
        <v>100</v>
      </c>
      <c r="AA43" s="78">
        <v>100</v>
      </c>
      <c r="AB43" s="78">
        <v>100</v>
      </c>
      <c r="AC43" s="78">
        <v>100</v>
      </c>
      <c r="AD43" s="78">
        <v>100</v>
      </c>
      <c r="AE43" s="78">
        <v>100</v>
      </c>
      <c r="AF43" s="78">
        <v>100</v>
      </c>
      <c r="AG43" s="78">
        <v>100</v>
      </c>
      <c r="AH43" s="78">
        <v>100</v>
      </c>
      <c r="AI43" s="78">
        <v>100</v>
      </c>
      <c r="AJ43" s="78">
        <v>100</v>
      </c>
      <c r="AK43" s="78">
        <v>100</v>
      </c>
      <c r="AL43" s="78">
        <v>100</v>
      </c>
      <c r="AM43" s="78">
        <v>100</v>
      </c>
      <c r="AN43" s="78">
        <v>100</v>
      </c>
      <c r="AO43" s="78">
        <v>100</v>
      </c>
      <c r="AP43" s="78">
        <v>100</v>
      </c>
      <c r="AQ43" s="78">
        <v>100</v>
      </c>
      <c r="AR43" s="78">
        <v>100</v>
      </c>
      <c r="AS43" s="78">
        <v>100</v>
      </c>
      <c r="AT43" s="78">
        <v>100</v>
      </c>
      <c r="AU43" s="78">
        <v>100</v>
      </c>
      <c r="AV43" s="78">
        <v>100</v>
      </c>
      <c r="AW43" s="78">
        <v>100</v>
      </c>
      <c r="AX43" s="78">
        <v>100</v>
      </c>
      <c r="AY43" s="78">
        <v>100</v>
      </c>
      <c r="AZ43" s="78">
        <v>100</v>
      </c>
      <c r="BA43" s="78">
        <v>100</v>
      </c>
      <c r="BB43" s="78">
        <v>100</v>
      </c>
      <c r="BC43" s="78">
        <v>100</v>
      </c>
      <c r="BD43" s="78">
        <v>100</v>
      </c>
      <c r="BE43" s="78">
        <v>100</v>
      </c>
      <c r="BF43" s="78">
        <v>100</v>
      </c>
      <c r="BG43" s="78">
        <v>100</v>
      </c>
      <c r="BH43" s="78">
        <v>100</v>
      </c>
      <c r="BI43" s="78">
        <v>100</v>
      </c>
      <c r="BJ43" s="78">
        <v>100</v>
      </c>
      <c r="BK43" s="78">
        <v>100</v>
      </c>
      <c r="BL43" s="78">
        <v>100</v>
      </c>
      <c r="BM43" s="78">
        <v>100</v>
      </c>
      <c r="BN43" s="78">
        <v>100</v>
      </c>
      <c r="BO43" s="78">
        <v>100</v>
      </c>
      <c r="BP43" s="78">
        <v>100</v>
      </c>
      <c r="BQ43" s="78">
        <v>100</v>
      </c>
      <c r="BR43" s="78">
        <v>100</v>
      </c>
      <c r="BS43" s="78">
        <v>100</v>
      </c>
      <c r="BT43" s="78">
        <v>100</v>
      </c>
      <c r="BU43" s="78">
        <v>100</v>
      </c>
      <c r="BV43" s="78">
        <v>100</v>
      </c>
      <c r="BW43" s="78">
        <v>100</v>
      </c>
      <c r="BX43" s="78">
        <v>100</v>
      </c>
      <c r="BY43" s="78">
        <v>100</v>
      </c>
      <c r="BZ43" s="78">
        <v>100</v>
      </c>
      <c r="CA43" s="78">
        <v>100</v>
      </c>
      <c r="CB43" s="78">
        <v>100</v>
      </c>
      <c r="CC43" s="78">
        <v>100</v>
      </c>
      <c r="CD43" s="78">
        <v>100</v>
      </c>
      <c r="CE43" s="78">
        <v>100</v>
      </c>
      <c r="CF43" s="78">
        <v>100</v>
      </c>
      <c r="CG43" s="78">
        <v>100</v>
      </c>
      <c r="CH43" s="78">
        <v>100</v>
      </c>
      <c r="CI43" s="78">
        <v>100</v>
      </c>
      <c r="CJ43" s="78">
        <v>100</v>
      </c>
      <c r="CK43" s="78">
        <v>100</v>
      </c>
      <c r="CL43" s="78">
        <v>100</v>
      </c>
      <c r="CM43" s="78">
        <v>100</v>
      </c>
      <c r="CN43" s="78">
        <v>100</v>
      </c>
      <c r="CO43" s="78">
        <v>100</v>
      </c>
      <c r="CP43" s="78">
        <v>100</v>
      </c>
      <c r="CQ43" s="78">
        <v>100</v>
      </c>
      <c r="CR43" s="78">
        <v>100</v>
      </c>
      <c r="CS43" s="78">
        <v>100</v>
      </c>
      <c r="CT43" s="78">
        <v>100</v>
      </c>
      <c r="CU43" s="78">
        <v>100</v>
      </c>
      <c r="CV43" s="78">
        <v>100</v>
      </c>
      <c r="CW43" s="78">
        <v>100</v>
      </c>
      <c r="CX43" s="79">
        <v>100</v>
      </c>
      <c r="CY43" s="79">
        <v>100</v>
      </c>
      <c r="CZ43" s="79">
        <v>100</v>
      </c>
      <c r="DA43" s="79">
        <v>100</v>
      </c>
      <c r="DB43" s="79">
        <v>100</v>
      </c>
      <c r="DC43" s="79">
        <v>100</v>
      </c>
      <c r="DD43" s="78">
        <v>100</v>
      </c>
      <c r="DE43" s="78">
        <v>100</v>
      </c>
      <c r="DF43" s="78">
        <v>100</v>
      </c>
      <c r="DG43" s="78">
        <v>100</v>
      </c>
      <c r="DH43" s="78">
        <v>100</v>
      </c>
      <c r="DI43" s="78">
        <v>100</v>
      </c>
      <c r="DJ43" s="78">
        <v>100</v>
      </c>
      <c r="DK43" s="78">
        <v>100</v>
      </c>
      <c r="DL43" s="78">
        <v>100</v>
      </c>
      <c r="DM43" s="78">
        <v>100</v>
      </c>
      <c r="DN43" s="78">
        <v>100</v>
      </c>
      <c r="DO43" s="78">
        <v>100</v>
      </c>
      <c r="DP43" s="78">
        <v>100</v>
      </c>
      <c r="DQ43" s="78">
        <v>100</v>
      </c>
      <c r="DR43" s="78">
        <v>100</v>
      </c>
      <c r="DS43" s="78">
        <v>100</v>
      </c>
      <c r="DT43" s="78">
        <v>100</v>
      </c>
      <c r="DU43" s="78">
        <v>100</v>
      </c>
      <c r="DV43" s="78">
        <v>100</v>
      </c>
      <c r="DW43" s="78">
        <v>100</v>
      </c>
      <c r="DX43" s="78">
        <v>100</v>
      </c>
      <c r="DY43" s="78">
        <v>100</v>
      </c>
      <c r="DZ43" s="78">
        <v>100</v>
      </c>
      <c r="EA43" s="78">
        <v>100</v>
      </c>
      <c r="EB43" s="78">
        <v>100</v>
      </c>
      <c r="EC43" s="78">
        <v>100</v>
      </c>
      <c r="ED43" s="78">
        <v>100</v>
      </c>
      <c r="EE43" s="78">
        <v>100</v>
      </c>
      <c r="EF43" s="78">
        <v>100</v>
      </c>
      <c r="EG43" s="78">
        <v>100</v>
      </c>
      <c r="EH43" s="78">
        <v>100</v>
      </c>
      <c r="EI43" s="78">
        <v>100</v>
      </c>
      <c r="EJ43" s="78">
        <v>100</v>
      </c>
      <c r="EK43" s="78">
        <v>100</v>
      </c>
      <c r="EL43" s="78">
        <v>100</v>
      </c>
      <c r="EM43" s="78">
        <v>100</v>
      </c>
      <c r="EN43" s="78">
        <v>100</v>
      </c>
      <c r="EO43" s="78">
        <v>100</v>
      </c>
      <c r="EP43" s="78">
        <v>100</v>
      </c>
      <c r="EQ43" s="78">
        <v>100</v>
      </c>
      <c r="ER43" s="78">
        <v>100</v>
      </c>
      <c r="ES43" s="78">
        <v>100</v>
      </c>
      <c r="ET43" s="78">
        <v>100</v>
      </c>
      <c r="EU43" s="78">
        <v>100</v>
      </c>
      <c r="EV43" s="78">
        <v>100</v>
      </c>
      <c r="EW43" s="66">
        <v>100</v>
      </c>
      <c r="EX43" s="66">
        <v>100</v>
      </c>
      <c r="EY43" s="88">
        <v>100</v>
      </c>
      <c r="EZ43" s="88">
        <v>100</v>
      </c>
      <c r="FA43" s="88">
        <v>100</v>
      </c>
      <c r="FB43" s="88">
        <v>100</v>
      </c>
      <c r="FC43" s="66">
        <v>100</v>
      </c>
      <c r="FD43" s="66">
        <v>100</v>
      </c>
      <c r="FE43" s="66">
        <v>100</v>
      </c>
      <c r="FF43" s="66">
        <v>100</v>
      </c>
      <c r="FG43" s="66">
        <v>100</v>
      </c>
      <c r="FH43" s="66">
        <v>100</v>
      </c>
      <c r="FI43" s="66">
        <v>100</v>
      </c>
      <c r="FJ43" s="66">
        <v>100</v>
      </c>
      <c r="FK43" s="66">
        <v>100</v>
      </c>
      <c r="FL43" s="66">
        <v>100</v>
      </c>
      <c r="FM43" s="66">
        <v>100</v>
      </c>
      <c r="FN43" s="66">
        <v>100</v>
      </c>
      <c r="FO43" s="66">
        <v>100</v>
      </c>
      <c r="FP43" s="66">
        <v>100</v>
      </c>
      <c r="FQ43" s="66">
        <v>100</v>
      </c>
      <c r="FR43" s="66">
        <v>100</v>
      </c>
      <c r="FS43" s="66">
        <v>100</v>
      </c>
      <c r="FT43" s="66">
        <v>100</v>
      </c>
      <c r="FU43" s="66">
        <v>100</v>
      </c>
      <c r="FV43" s="66">
        <v>100</v>
      </c>
      <c r="FW43" s="66">
        <v>100</v>
      </c>
      <c r="FX43" s="67">
        <v>100</v>
      </c>
      <c r="FY43" s="67">
        <v>100</v>
      </c>
      <c r="FZ43" s="67">
        <v>100</v>
      </c>
      <c r="GA43" s="67">
        <v>100</v>
      </c>
      <c r="GB43" s="67">
        <v>100</v>
      </c>
      <c r="GC43" s="67">
        <v>100</v>
      </c>
      <c r="GD43" s="67">
        <v>100</v>
      </c>
      <c r="GE43" s="67">
        <v>100</v>
      </c>
      <c r="GF43" s="67">
        <v>100</v>
      </c>
      <c r="GG43" s="67">
        <v>100</v>
      </c>
      <c r="GH43" s="67">
        <v>100</v>
      </c>
      <c r="GI43" s="67">
        <v>100</v>
      </c>
      <c r="GJ43" s="67">
        <v>100</v>
      </c>
      <c r="GK43" s="67">
        <v>100</v>
      </c>
      <c r="GL43" s="67">
        <v>100</v>
      </c>
      <c r="GM43" s="67">
        <v>100</v>
      </c>
      <c r="GN43" s="67">
        <v>100</v>
      </c>
      <c r="GO43" s="67">
        <v>100</v>
      </c>
      <c r="GP43" s="67">
        <v>100</v>
      </c>
      <c r="GQ43" s="67">
        <v>100</v>
      </c>
      <c r="GR43" s="67">
        <v>100</v>
      </c>
      <c r="GS43" s="67">
        <v>100</v>
      </c>
      <c r="GT43" s="67">
        <v>100</v>
      </c>
      <c r="GU43" s="67">
        <v>100</v>
      </c>
      <c r="GV43" s="67">
        <v>100</v>
      </c>
      <c r="GW43" s="67">
        <v>100</v>
      </c>
      <c r="GX43" s="67">
        <v>100</v>
      </c>
      <c r="GY43" s="67">
        <v>100</v>
      </c>
      <c r="GZ43" s="67">
        <v>100</v>
      </c>
      <c r="HA43" s="67">
        <v>100</v>
      </c>
      <c r="HB43" s="67">
        <v>100</v>
      </c>
      <c r="HC43" s="67">
        <v>100</v>
      </c>
      <c r="HD43" s="67">
        <v>100</v>
      </c>
      <c r="HE43" s="67">
        <v>100</v>
      </c>
      <c r="HF43" s="67">
        <v>100</v>
      </c>
      <c r="HG43" s="67">
        <v>100</v>
      </c>
      <c r="HH43" s="67">
        <v>100</v>
      </c>
      <c r="HI43" s="67">
        <v>100</v>
      </c>
      <c r="HJ43" s="67">
        <v>100</v>
      </c>
      <c r="HK43" s="67">
        <v>100</v>
      </c>
      <c r="HL43" s="67">
        <v>100</v>
      </c>
      <c r="HM43" s="67">
        <v>100</v>
      </c>
      <c r="HN43" s="67">
        <v>100</v>
      </c>
      <c r="HO43" s="67">
        <v>100</v>
      </c>
      <c r="HP43" s="67">
        <v>100</v>
      </c>
      <c r="HQ43" s="68">
        <v>100</v>
      </c>
      <c r="HR43" s="68">
        <v>100</v>
      </c>
      <c r="HS43" s="68">
        <v>100</v>
      </c>
      <c r="HT43" s="67">
        <v>100</v>
      </c>
      <c r="HU43" s="67">
        <v>100</v>
      </c>
      <c r="HV43" s="67">
        <v>100</v>
      </c>
      <c r="HW43" s="67">
        <v>100</v>
      </c>
      <c r="HX43" s="67">
        <v>100</v>
      </c>
      <c r="HY43" s="67">
        <v>100</v>
      </c>
      <c r="HZ43" s="67">
        <v>100</v>
      </c>
      <c r="IA43" s="67">
        <v>100</v>
      </c>
      <c r="IB43" s="67">
        <v>100</v>
      </c>
      <c r="IC43" s="68">
        <v>100</v>
      </c>
      <c r="ID43" s="68">
        <v>100</v>
      </c>
      <c r="IE43" s="68">
        <v>100</v>
      </c>
      <c r="IF43" s="67">
        <v>100</v>
      </c>
      <c r="IG43" s="67">
        <v>100</v>
      </c>
      <c r="IH43" s="67">
        <v>100</v>
      </c>
      <c r="II43" s="67">
        <v>100</v>
      </c>
      <c r="IJ43" s="67">
        <v>100</v>
      </c>
      <c r="IK43" s="67">
        <v>100</v>
      </c>
      <c r="IL43" s="16" t="s">
        <v>126</v>
      </c>
      <c r="IM43" s="16" t="s">
        <v>126</v>
      </c>
      <c r="IN43" s="16" t="s">
        <v>126</v>
      </c>
      <c r="IO43" s="16" t="s">
        <v>126</v>
      </c>
      <c r="IP43" s="16" t="s">
        <v>126</v>
      </c>
      <c r="IQ43" s="16" t="s">
        <v>126</v>
      </c>
      <c r="IR43" s="16" t="s">
        <v>126</v>
      </c>
      <c r="IS43" s="59">
        <f t="shared" si="1"/>
        <v>0</v>
      </c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</row>
    <row r="44" spans="1:273" ht="13.5" customHeight="1">
      <c r="A44" s="97">
        <v>40</v>
      </c>
      <c r="B44" s="77" t="s">
        <v>189</v>
      </c>
      <c r="C44" s="6">
        <v>70</v>
      </c>
      <c r="D44" s="6">
        <v>70</v>
      </c>
      <c r="E44" s="6">
        <v>320</v>
      </c>
      <c r="F44" s="31" t="s">
        <v>126</v>
      </c>
      <c r="G44" s="31" t="s">
        <v>126</v>
      </c>
      <c r="H44" s="31" t="s">
        <v>126</v>
      </c>
      <c r="I44" s="78">
        <v>100</v>
      </c>
      <c r="J44" s="78">
        <v>100</v>
      </c>
      <c r="K44" s="78">
        <v>100</v>
      </c>
      <c r="L44" s="78">
        <v>100</v>
      </c>
      <c r="M44" s="78">
        <v>100</v>
      </c>
      <c r="N44" s="78">
        <v>100</v>
      </c>
      <c r="O44" s="78">
        <v>100</v>
      </c>
      <c r="P44" s="78">
        <v>100</v>
      </c>
      <c r="Q44" s="78">
        <v>100</v>
      </c>
      <c r="R44" s="78">
        <v>100</v>
      </c>
      <c r="S44" s="78">
        <v>100</v>
      </c>
      <c r="T44" s="78">
        <v>100</v>
      </c>
      <c r="U44" s="78">
        <v>100</v>
      </c>
      <c r="V44" s="78">
        <v>100</v>
      </c>
      <c r="W44" s="78">
        <v>100</v>
      </c>
      <c r="X44" s="78">
        <v>100</v>
      </c>
      <c r="Y44" s="78">
        <v>100</v>
      </c>
      <c r="Z44" s="78">
        <v>100</v>
      </c>
      <c r="AA44" s="78">
        <v>100</v>
      </c>
      <c r="AB44" s="78">
        <v>100</v>
      </c>
      <c r="AC44" s="78">
        <v>100</v>
      </c>
      <c r="AD44" s="78">
        <v>100</v>
      </c>
      <c r="AE44" s="78">
        <v>100</v>
      </c>
      <c r="AF44" s="78">
        <v>100</v>
      </c>
      <c r="AG44" s="78">
        <v>100</v>
      </c>
      <c r="AH44" s="78">
        <v>100</v>
      </c>
      <c r="AI44" s="78">
        <v>100</v>
      </c>
      <c r="AJ44" s="78">
        <v>100</v>
      </c>
      <c r="AK44" s="78">
        <v>100</v>
      </c>
      <c r="AL44" s="78">
        <v>100</v>
      </c>
      <c r="AM44" s="78">
        <v>100</v>
      </c>
      <c r="AN44" s="78">
        <v>100</v>
      </c>
      <c r="AO44" s="78">
        <v>100</v>
      </c>
      <c r="AP44" s="78">
        <v>100</v>
      </c>
      <c r="AQ44" s="78">
        <v>100</v>
      </c>
      <c r="AR44" s="78">
        <v>100</v>
      </c>
      <c r="AS44" s="78">
        <v>100</v>
      </c>
      <c r="AT44" s="78">
        <v>100</v>
      </c>
      <c r="AU44" s="78">
        <v>100</v>
      </c>
      <c r="AV44" s="78">
        <v>100</v>
      </c>
      <c r="AW44" s="78">
        <v>100</v>
      </c>
      <c r="AX44" s="78">
        <v>100</v>
      </c>
      <c r="AY44" s="78">
        <v>100</v>
      </c>
      <c r="AZ44" s="78">
        <v>100</v>
      </c>
      <c r="BA44" s="78">
        <v>100</v>
      </c>
      <c r="BB44" s="78">
        <v>100</v>
      </c>
      <c r="BC44" s="78">
        <v>100</v>
      </c>
      <c r="BD44" s="78">
        <v>100</v>
      </c>
      <c r="BE44" s="78">
        <v>100</v>
      </c>
      <c r="BF44" s="78">
        <v>100</v>
      </c>
      <c r="BG44" s="78">
        <v>100</v>
      </c>
      <c r="BH44" s="78">
        <v>100</v>
      </c>
      <c r="BI44" s="78">
        <v>100</v>
      </c>
      <c r="BJ44" s="78">
        <v>100</v>
      </c>
      <c r="BK44" s="78">
        <v>100</v>
      </c>
      <c r="BL44" s="78">
        <v>100</v>
      </c>
      <c r="BM44" s="78">
        <v>100</v>
      </c>
      <c r="BN44" s="78">
        <v>100</v>
      </c>
      <c r="BO44" s="78">
        <v>100</v>
      </c>
      <c r="BP44" s="78">
        <v>100</v>
      </c>
      <c r="BQ44" s="78">
        <v>100</v>
      </c>
      <c r="BR44" s="78">
        <v>100</v>
      </c>
      <c r="BS44" s="78">
        <v>100</v>
      </c>
      <c r="BT44" s="78">
        <v>100</v>
      </c>
      <c r="BU44" s="78">
        <v>100</v>
      </c>
      <c r="BV44" s="78">
        <v>100</v>
      </c>
      <c r="BW44" s="78">
        <v>100</v>
      </c>
      <c r="BX44" s="78">
        <v>100</v>
      </c>
      <c r="BY44" s="78">
        <v>100</v>
      </c>
      <c r="BZ44" s="78">
        <v>100</v>
      </c>
      <c r="CA44" s="78">
        <v>100</v>
      </c>
      <c r="CB44" s="78">
        <v>100</v>
      </c>
      <c r="CC44" s="78">
        <v>100</v>
      </c>
      <c r="CD44" s="78">
        <v>100</v>
      </c>
      <c r="CE44" s="78">
        <v>100</v>
      </c>
      <c r="CF44" s="78">
        <v>100</v>
      </c>
      <c r="CG44" s="78">
        <v>100</v>
      </c>
      <c r="CH44" s="78">
        <v>100</v>
      </c>
      <c r="CI44" s="78">
        <v>100</v>
      </c>
      <c r="CJ44" s="78">
        <v>100</v>
      </c>
      <c r="CK44" s="78">
        <v>100</v>
      </c>
      <c r="CL44" s="78">
        <v>100</v>
      </c>
      <c r="CM44" s="78">
        <v>100</v>
      </c>
      <c r="CN44" s="78">
        <v>100</v>
      </c>
      <c r="CO44" s="78">
        <v>100</v>
      </c>
      <c r="CP44" s="78">
        <v>100</v>
      </c>
      <c r="CQ44" s="78">
        <v>100</v>
      </c>
      <c r="CR44" s="78">
        <v>100</v>
      </c>
      <c r="CS44" s="78">
        <v>100</v>
      </c>
      <c r="CT44" s="78">
        <v>100</v>
      </c>
      <c r="CU44" s="78">
        <v>100</v>
      </c>
      <c r="CV44" s="78">
        <v>100</v>
      </c>
      <c r="CW44" s="78">
        <v>100</v>
      </c>
      <c r="CX44" s="79">
        <v>100</v>
      </c>
      <c r="CY44" s="79">
        <v>100</v>
      </c>
      <c r="CZ44" s="79">
        <v>100</v>
      </c>
      <c r="DA44" s="79">
        <v>100</v>
      </c>
      <c r="DB44" s="79">
        <v>100</v>
      </c>
      <c r="DC44" s="79">
        <v>100</v>
      </c>
      <c r="DD44" s="78">
        <v>100</v>
      </c>
      <c r="DE44" s="78">
        <v>100</v>
      </c>
      <c r="DF44" s="78">
        <v>100</v>
      </c>
      <c r="DG44" s="78">
        <v>100</v>
      </c>
      <c r="DH44" s="78">
        <v>100</v>
      </c>
      <c r="DI44" s="78">
        <v>100</v>
      </c>
      <c r="DJ44" s="78">
        <v>100</v>
      </c>
      <c r="DK44" s="78">
        <v>100</v>
      </c>
      <c r="DL44" s="78">
        <v>100</v>
      </c>
      <c r="DM44" s="78">
        <v>100</v>
      </c>
      <c r="DN44" s="78">
        <v>100</v>
      </c>
      <c r="DO44" s="78">
        <v>100</v>
      </c>
      <c r="DP44" s="78">
        <v>100</v>
      </c>
      <c r="DQ44" s="78">
        <v>100</v>
      </c>
      <c r="DR44" s="78">
        <v>100</v>
      </c>
      <c r="DS44" s="78">
        <v>100</v>
      </c>
      <c r="DT44" s="78">
        <v>100</v>
      </c>
      <c r="DU44" s="78">
        <v>100</v>
      </c>
      <c r="DV44" s="78">
        <v>100</v>
      </c>
      <c r="DW44" s="78">
        <v>100</v>
      </c>
      <c r="DX44" s="78">
        <v>100</v>
      </c>
      <c r="DY44" s="78">
        <v>100</v>
      </c>
      <c r="DZ44" s="78">
        <v>100</v>
      </c>
      <c r="EA44" s="78">
        <v>100</v>
      </c>
      <c r="EB44" s="78">
        <v>100</v>
      </c>
      <c r="EC44" s="78">
        <v>100</v>
      </c>
      <c r="ED44" s="78">
        <v>100</v>
      </c>
      <c r="EE44" s="78">
        <v>100</v>
      </c>
      <c r="EF44" s="78">
        <v>100</v>
      </c>
      <c r="EG44" s="78">
        <v>100</v>
      </c>
      <c r="EH44" s="78">
        <v>100</v>
      </c>
      <c r="EI44" s="78">
        <v>100</v>
      </c>
      <c r="EJ44" s="78">
        <v>100</v>
      </c>
      <c r="EK44" s="78">
        <v>100</v>
      </c>
      <c r="EL44" s="78">
        <v>100</v>
      </c>
      <c r="EM44" s="78">
        <v>100</v>
      </c>
      <c r="EN44" s="78">
        <v>100</v>
      </c>
      <c r="EO44" s="78">
        <v>100</v>
      </c>
      <c r="EP44" s="78">
        <v>100</v>
      </c>
      <c r="EQ44" s="78">
        <v>100</v>
      </c>
      <c r="ER44" s="78">
        <v>100</v>
      </c>
      <c r="ES44" s="78">
        <v>100</v>
      </c>
      <c r="ET44" s="78">
        <v>100</v>
      </c>
      <c r="EU44" s="78">
        <v>100</v>
      </c>
      <c r="EV44" s="78">
        <v>100</v>
      </c>
      <c r="EW44" s="66">
        <v>100</v>
      </c>
      <c r="EX44" s="66">
        <v>100</v>
      </c>
      <c r="EY44" s="88">
        <v>100</v>
      </c>
      <c r="EZ44" s="88">
        <v>100</v>
      </c>
      <c r="FA44" s="88">
        <v>100</v>
      </c>
      <c r="FB44" s="88">
        <v>100</v>
      </c>
      <c r="FC44" s="66">
        <v>100</v>
      </c>
      <c r="FD44" s="66">
        <v>100</v>
      </c>
      <c r="FE44" s="66">
        <v>100</v>
      </c>
      <c r="FF44" s="66">
        <v>100</v>
      </c>
      <c r="FG44" s="66">
        <v>100</v>
      </c>
      <c r="FH44" s="66">
        <v>100</v>
      </c>
      <c r="FI44" s="66">
        <v>100</v>
      </c>
      <c r="FJ44" s="66">
        <v>100</v>
      </c>
      <c r="FK44" s="66">
        <v>100</v>
      </c>
      <c r="FL44" s="66">
        <v>100</v>
      </c>
      <c r="FM44" s="66">
        <v>100</v>
      </c>
      <c r="FN44" s="66">
        <v>100</v>
      </c>
      <c r="FO44" s="66">
        <v>100</v>
      </c>
      <c r="FP44" s="66">
        <v>100</v>
      </c>
      <c r="FQ44" s="66">
        <v>100</v>
      </c>
      <c r="FR44" s="66">
        <v>100</v>
      </c>
      <c r="FS44" s="66">
        <v>100</v>
      </c>
      <c r="FT44" s="66">
        <v>100</v>
      </c>
      <c r="FU44" s="66">
        <v>100</v>
      </c>
      <c r="FV44" s="66">
        <v>100</v>
      </c>
      <c r="FW44" s="66">
        <v>100</v>
      </c>
      <c r="FX44" s="67">
        <v>100</v>
      </c>
      <c r="FY44" s="67">
        <v>100</v>
      </c>
      <c r="FZ44" s="67">
        <v>100</v>
      </c>
      <c r="GA44" s="67">
        <v>100</v>
      </c>
      <c r="GB44" s="67">
        <v>100</v>
      </c>
      <c r="GC44" s="67">
        <v>100</v>
      </c>
      <c r="GD44" s="67">
        <v>100</v>
      </c>
      <c r="GE44" s="67">
        <v>100</v>
      </c>
      <c r="GF44" s="67">
        <v>100</v>
      </c>
      <c r="GG44" s="67">
        <v>100</v>
      </c>
      <c r="GH44" s="67">
        <v>100</v>
      </c>
      <c r="GI44" s="67">
        <v>100</v>
      </c>
      <c r="GJ44" s="67">
        <v>100</v>
      </c>
      <c r="GK44" s="67">
        <v>100</v>
      </c>
      <c r="GL44" s="67">
        <v>100</v>
      </c>
      <c r="GM44" s="67">
        <v>100</v>
      </c>
      <c r="GN44" s="67">
        <v>100</v>
      </c>
      <c r="GO44" s="67">
        <v>100</v>
      </c>
      <c r="GP44" s="67">
        <v>100</v>
      </c>
      <c r="GQ44" s="67">
        <v>100</v>
      </c>
      <c r="GR44" s="67">
        <v>100</v>
      </c>
      <c r="GS44" s="67">
        <v>100</v>
      </c>
      <c r="GT44" s="67">
        <v>100</v>
      </c>
      <c r="GU44" s="67">
        <v>100</v>
      </c>
      <c r="GV44" s="67">
        <v>100</v>
      </c>
      <c r="GW44" s="67">
        <v>100</v>
      </c>
      <c r="GX44" s="67">
        <v>100</v>
      </c>
      <c r="GY44" s="67">
        <v>100</v>
      </c>
      <c r="GZ44" s="67">
        <v>100</v>
      </c>
      <c r="HA44" s="67">
        <v>100</v>
      </c>
      <c r="HB44" s="67">
        <v>100</v>
      </c>
      <c r="HC44" s="67">
        <v>100</v>
      </c>
      <c r="HD44" s="67">
        <v>100</v>
      </c>
      <c r="HE44" s="67">
        <v>100</v>
      </c>
      <c r="HF44" s="67">
        <v>100</v>
      </c>
      <c r="HG44" s="67">
        <v>100</v>
      </c>
      <c r="HH44" s="67">
        <v>100</v>
      </c>
      <c r="HI44" s="67">
        <v>100</v>
      </c>
      <c r="HJ44" s="67">
        <v>100</v>
      </c>
      <c r="HK44" s="67">
        <v>100</v>
      </c>
      <c r="HL44" s="67">
        <v>100</v>
      </c>
      <c r="HM44" s="67">
        <v>100</v>
      </c>
      <c r="HN44" s="67">
        <v>100</v>
      </c>
      <c r="HO44" s="67">
        <v>100</v>
      </c>
      <c r="HP44" s="62">
        <v>100</v>
      </c>
      <c r="HQ44" s="68">
        <v>100</v>
      </c>
      <c r="HR44" s="68">
        <v>100</v>
      </c>
      <c r="HS44" s="68">
        <v>100</v>
      </c>
      <c r="HT44" s="67">
        <v>100</v>
      </c>
      <c r="HU44" s="67">
        <v>100</v>
      </c>
      <c r="HV44" s="67">
        <v>100</v>
      </c>
      <c r="HW44" s="67">
        <v>100</v>
      </c>
      <c r="HX44" s="67">
        <v>100</v>
      </c>
      <c r="HY44" s="67">
        <v>100</v>
      </c>
      <c r="HZ44" s="67">
        <v>100</v>
      </c>
      <c r="IA44" s="67">
        <v>100</v>
      </c>
      <c r="IB44" s="67">
        <v>100</v>
      </c>
      <c r="IC44" s="68">
        <v>100</v>
      </c>
      <c r="ID44" s="68">
        <v>100</v>
      </c>
      <c r="IE44" s="68">
        <v>100</v>
      </c>
      <c r="IF44" s="67">
        <v>100</v>
      </c>
      <c r="IG44" s="67">
        <v>100</v>
      </c>
      <c r="IH44" s="67">
        <v>100</v>
      </c>
      <c r="II44" s="67">
        <v>100</v>
      </c>
      <c r="IJ44" s="67">
        <v>100</v>
      </c>
      <c r="IK44" s="67">
        <v>100</v>
      </c>
      <c r="IL44" s="16" t="s">
        <v>126</v>
      </c>
      <c r="IM44" s="16" t="s">
        <v>126</v>
      </c>
      <c r="IN44" s="16" t="s">
        <v>126</v>
      </c>
      <c r="IO44" s="16" t="s">
        <v>126</v>
      </c>
      <c r="IP44" s="16" t="s">
        <v>126</v>
      </c>
      <c r="IQ44" s="16" t="s">
        <v>126</v>
      </c>
      <c r="IR44" s="16" t="s">
        <v>126</v>
      </c>
      <c r="IS44" s="59">
        <f t="shared" si="1"/>
        <v>0</v>
      </c>
      <c r="IT44" s="185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</row>
    <row r="45" spans="1:273" ht="13.5" customHeight="1">
      <c r="A45" s="97">
        <v>41</v>
      </c>
      <c r="B45" s="77" t="s">
        <v>190</v>
      </c>
      <c r="C45" s="8">
        <v>260</v>
      </c>
      <c r="D45" s="8">
        <v>260</v>
      </c>
      <c r="E45" s="8">
        <v>20</v>
      </c>
      <c r="F45" s="31">
        <v>34</v>
      </c>
      <c r="G45" s="31" t="s">
        <v>126</v>
      </c>
      <c r="H45" s="31" t="s">
        <v>126</v>
      </c>
      <c r="I45" s="31">
        <v>43</v>
      </c>
      <c r="J45" s="31">
        <v>24</v>
      </c>
      <c r="K45" s="31">
        <v>18</v>
      </c>
      <c r="L45" s="31">
        <v>37</v>
      </c>
      <c r="M45" s="31">
        <v>24</v>
      </c>
      <c r="N45" s="31">
        <v>25</v>
      </c>
      <c r="O45" s="31">
        <v>27</v>
      </c>
      <c r="P45" s="31">
        <v>17</v>
      </c>
      <c r="Q45" s="31">
        <v>25</v>
      </c>
      <c r="R45" s="31">
        <v>26</v>
      </c>
      <c r="S45" s="31">
        <v>17</v>
      </c>
      <c r="T45" s="31">
        <v>23</v>
      </c>
      <c r="U45" s="31">
        <v>8</v>
      </c>
      <c r="V45" s="31">
        <v>24</v>
      </c>
      <c r="W45" s="31">
        <v>18</v>
      </c>
      <c r="X45" s="31">
        <v>9</v>
      </c>
      <c r="Y45" s="31">
        <v>22</v>
      </c>
      <c r="Z45" s="31">
        <v>26</v>
      </c>
      <c r="AA45" s="31">
        <v>12</v>
      </c>
      <c r="AB45" s="31">
        <v>20</v>
      </c>
      <c r="AC45" s="31">
        <v>25</v>
      </c>
      <c r="AD45" s="31">
        <v>9</v>
      </c>
      <c r="AE45" s="31">
        <v>15</v>
      </c>
      <c r="AF45" s="31">
        <v>23</v>
      </c>
      <c r="AG45" s="31">
        <v>6</v>
      </c>
      <c r="AH45" s="31">
        <v>13</v>
      </c>
      <c r="AI45" s="31">
        <v>18</v>
      </c>
      <c r="AJ45" s="31">
        <v>9</v>
      </c>
      <c r="AK45" s="31">
        <v>14</v>
      </c>
      <c r="AL45" s="31">
        <v>12</v>
      </c>
      <c r="AM45" s="31">
        <v>7</v>
      </c>
      <c r="AN45" s="31">
        <v>10</v>
      </c>
      <c r="AO45" s="31">
        <v>11</v>
      </c>
      <c r="AP45" s="31">
        <v>9</v>
      </c>
      <c r="AQ45" s="31">
        <v>16</v>
      </c>
      <c r="AR45" s="31">
        <v>18</v>
      </c>
      <c r="AS45" s="31">
        <v>8</v>
      </c>
      <c r="AT45" s="31">
        <v>14</v>
      </c>
      <c r="AU45" s="31">
        <v>18</v>
      </c>
      <c r="AV45" s="31">
        <v>12</v>
      </c>
      <c r="AW45" s="31">
        <v>15</v>
      </c>
      <c r="AX45" s="31">
        <v>16</v>
      </c>
      <c r="AY45" s="31">
        <v>11</v>
      </c>
      <c r="AZ45" s="31">
        <v>14</v>
      </c>
      <c r="BA45" s="31">
        <v>12</v>
      </c>
      <c r="BB45" s="31">
        <v>10</v>
      </c>
      <c r="BC45" s="31">
        <v>16</v>
      </c>
      <c r="BD45" s="31">
        <v>14</v>
      </c>
      <c r="BE45" s="31">
        <v>10</v>
      </c>
      <c r="BF45" s="31">
        <v>15</v>
      </c>
      <c r="BG45" s="31">
        <v>12</v>
      </c>
      <c r="BH45" s="31">
        <v>13</v>
      </c>
      <c r="BI45" s="31">
        <v>36</v>
      </c>
      <c r="BJ45" s="31">
        <v>11</v>
      </c>
      <c r="BK45" s="31">
        <v>10</v>
      </c>
      <c r="BL45" s="31">
        <v>27</v>
      </c>
      <c r="BM45" s="31">
        <v>10</v>
      </c>
      <c r="BN45" s="31">
        <v>9</v>
      </c>
      <c r="BO45" s="31">
        <v>25</v>
      </c>
      <c r="BP45" s="31">
        <v>8</v>
      </c>
      <c r="BQ45" s="31">
        <v>10</v>
      </c>
      <c r="BR45" s="31">
        <v>31</v>
      </c>
      <c r="BS45" s="31">
        <v>15</v>
      </c>
      <c r="BT45" s="31">
        <v>9</v>
      </c>
      <c r="BU45" s="31">
        <v>26</v>
      </c>
      <c r="BV45" s="31">
        <v>24</v>
      </c>
      <c r="BW45" s="31">
        <v>10</v>
      </c>
      <c r="BX45" s="31">
        <v>27</v>
      </c>
      <c r="BY45" s="31">
        <v>21</v>
      </c>
      <c r="BZ45" s="31">
        <v>6</v>
      </c>
      <c r="CA45" s="31">
        <v>19</v>
      </c>
      <c r="CB45" s="31">
        <v>17</v>
      </c>
      <c r="CC45" s="31">
        <v>5</v>
      </c>
      <c r="CD45" s="31">
        <v>15</v>
      </c>
      <c r="CE45" s="31">
        <v>13</v>
      </c>
      <c r="CF45" s="31">
        <v>6</v>
      </c>
      <c r="CG45" s="31">
        <v>10</v>
      </c>
      <c r="CH45" s="31">
        <v>11</v>
      </c>
      <c r="CI45" s="31">
        <v>4</v>
      </c>
      <c r="CJ45" s="31">
        <v>9</v>
      </c>
      <c r="CK45" s="31">
        <v>10</v>
      </c>
      <c r="CL45" s="31">
        <v>3</v>
      </c>
      <c r="CM45" s="31">
        <v>6</v>
      </c>
      <c r="CN45" s="31">
        <v>8</v>
      </c>
      <c r="CO45" s="31">
        <v>2</v>
      </c>
      <c r="CP45" s="31">
        <v>5</v>
      </c>
      <c r="CQ45" s="31">
        <v>6</v>
      </c>
      <c r="CR45" s="31">
        <v>2</v>
      </c>
      <c r="CS45" s="31">
        <v>8</v>
      </c>
      <c r="CT45" s="31">
        <v>4</v>
      </c>
      <c r="CU45" s="31">
        <v>2</v>
      </c>
      <c r="CV45" s="31">
        <v>7</v>
      </c>
      <c r="CW45" s="31">
        <v>6</v>
      </c>
      <c r="CX45" s="31">
        <v>1</v>
      </c>
      <c r="CY45" s="31">
        <v>6</v>
      </c>
      <c r="CZ45" s="31">
        <v>4</v>
      </c>
      <c r="DA45" s="31">
        <v>1</v>
      </c>
      <c r="DB45" s="31">
        <v>5</v>
      </c>
      <c r="DC45" s="31">
        <v>3</v>
      </c>
      <c r="DD45" s="31">
        <v>1</v>
      </c>
      <c r="DE45" s="31">
        <v>3</v>
      </c>
      <c r="DF45" s="31">
        <v>6</v>
      </c>
      <c r="DG45" s="31">
        <v>1</v>
      </c>
      <c r="DH45" s="31">
        <v>3</v>
      </c>
      <c r="DI45" s="31">
        <v>5</v>
      </c>
      <c r="DJ45" s="31">
        <v>1</v>
      </c>
      <c r="DK45" s="31">
        <v>2</v>
      </c>
      <c r="DL45" s="31">
        <v>3</v>
      </c>
      <c r="DM45" s="31">
        <v>1</v>
      </c>
      <c r="DN45" s="31">
        <v>2</v>
      </c>
      <c r="DO45" s="31">
        <v>2</v>
      </c>
      <c r="DP45" s="31">
        <v>1</v>
      </c>
      <c r="DQ45" s="31">
        <v>2</v>
      </c>
      <c r="DR45" s="31">
        <v>1</v>
      </c>
      <c r="DS45" s="31">
        <v>1</v>
      </c>
      <c r="DT45" s="31">
        <v>1</v>
      </c>
      <c r="DU45" s="31">
        <v>1</v>
      </c>
      <c r="DV45" s="31">
        <v>1</v>
      </c>
      <c r="DW45" s="31">
        <v>1</v>
      </c>
      <c r="DX45" s="31">
        <v>1</v>
      </c>
      <c r="DY45" s="31">
        <v>1</v>
      </c>
      <c r="DZ45" s="31">
        <v>5</v>
      </c>
      <c r="EA45" s="31">
        <v>3</v>
      </c>
      <c r="EB45" s="31">
        <v>1</v>
      </c>
      <c r="EC45" s="31">
        <v>4</v>
      </c>
      <c r="ED45" s="31">
        <v>2</v>
      </c>
      <c r="EE45" s="31">
        <v>1</v>
      </c>
      <c r="EF45" s="31">
        <v>2</v>
      </c>
      <c r="EG45" s="31">
        <v>1</v>
      </c>
      <c r="EH45" s="31">
        <v>1</v>
      </c>
      <c r="EI45" s="31">
        <v>2</v>
      </c>
      <c r="EJ45" s="31">
        <v>2</v>
      </c>
      <c r="EK45" s="31">
        <v>5</v>
      </c>
      <c r="EL45" s="31">
        <v>7</v>
      </c>
      <c r="EM45" s="31">
        <v>4</v>
      </c>
      <c r="EN45" s="31">
        <v>4</v>
      </c>
      <c r="EO45" s="31">
        <v>3</v>
      </c>
      <c r="EP45" s="31">
        <v>3</v>
      </c>
      <c r="EQ45" s="31">
        <v>2</v>
      </c>
      <c r="ER45" s="31">
        <v>2</v>
      </c>
      <c r="ES45" s="31">
        <v>2</v>
      </c>
      <c r="ET45" s="31">
        <v>2</v>
      </c>
      <c r="EU45" s="31">
        <v>5</v>
      </c>
      <c r="EV45" s="31">
        <v>2</v>
      </c>
      <c r="EW45" s="31">
        <v>2</v>
      </c>
      <c r="EX45" s="31">
        <v>3</v>
      </c>
      <c r="EY45" s="31">
        <v>5</v>
      </c>
      <c r="EZ45" s="31">
        <v>2</v>
      </c>
      <c r="FA45" s="31">
        <v>2</v>
      </c>
      <c r="FB45" s="31">
        <v>4</v>
      </c>
      <c r="FC45" s="31">
        <v>2</v>
      </c>
      <c r="FD45" s="31">
        <v>3</v>
      </c>
      <c r="FE45" s="31">
        <v>5</v>
      </c>
      <c r="FF45" s="31">
        <v>5</v>
      </c>
      <c r="FG45" s="31">
        <v>3</v>
      </c>
      <c r="FH45" s="31">
        <v>3</v>
      </c>
      <c r="FI45" s="31">
        <v>4</v>
      </c>
      <c r="FJ45" s="31">
        <v>5</v>
      </c>
      <c r="FK45" s="31">
        <v>4</v>
      </c>
      <c r="FL45" s="31">
        <v>3</v>
      </c>
      <c r="FM45" s="31">
        <v>4</v>
      </c>
      <c r="FN45" s="31">
        <v>3</v>
      </c>
      <c r="FO45" s="31">
        <v>5</v>
      </c>
      <c r="FP45" s="31">
        <v>6</v>
      </c>
      <c r="FQ45" s="31">
        <v>5</v>
      </c>
      <c r="FR45" s="31">
        <v>4</v>
      </c>
      <c r="FS45" s="31">
        <v>10</v>
      </c>
      <c r="FT45" s="66">
        <v>100</v>
      </c>
      <c r="FU45" s="31">
        <v>3</v>
      </c>
      <c r="FV45" s="64">
        <v>9</v>
      </c>
      <c r="FW45" s="82">
        <v>51</v>
      </c>
      <c r="FX45" s="60">
        <v>2</v>
      </c>
      <c r="FY45" s="62">
        <v>7</v>
      </c>
      <c r="FZ45" s="82">
        <v>48</v>
      </c>
      <c r="GA45" s="61">
        <v>3</v>
      </c>
      <c r="GB45" s="61">
        <v>5</v>
      </c>
      <c r="GC45" s="82">
        <v>43</v>
      </c>
      <c r="GD45" s="61">
        <v>2</v>
      </c>
      <c r="GE45" s="61">
        <v>3</v>
      </c>
      <c r="GF45" s="82">
        <v>35</v>
      </c>
      <c r="GG45" s="61">
        <v>5</v>
      </c>
      <c r="GH45" s="62">
        <v>2</v>
      </c>
      <c r="GI45" s="62">
        <v>32</v>
      </c>
      <c r="GJ45" s="61">
        <v>3</v>
      </c>
      <c r="GK45" s="62">
        <v>4</v>
      </c>
      <c r="GL45" s="62">
        <v>25</v>
      </c>
      <c r="GM45" s="61">
        <v>2</v>
      </c>
      <c r="GN45" s="62">
        <v>2</v>
      </c>
      <c r="GO45" s="62">
        <v>18</v>
      </c>
      <c r="GP45" s="62">
        <v>5</v>
      </c>
      <c r="GQ45" s="62">
        <v>4</v>
      </c>
      <c r="GR45" s="62">
        <v>15</v>
      </c>
      <c r="GS45" s="61">
        <v>7</v>
      </c>
      <c r="GT45" s="62">
        <v>8</v>
      </c>
      <c r="GU45" s="62">
        <v>5</v>
      </c>
      <c r="GV45" s="62">
        <v>5</v>
      </c>
      <c r="GW45" s="62">
        <v>4</v>
      </c>
      <c r="GX45" s="62">
        <v>8</v>
      </c>
      <c r="GY45" s="62">
        <v>5</v>
      </c>
      <c r="GZ45" s="62">
        <v>8</v>
      </c>
      <c r="HA45" s="62">
        <v>6</v>
      </c>
      <c r="HB45" s="62">
        <v>8</v>
      </c>
      <c r="HC45" s="62">
        <v>3</v>
      </c>
      <c r="HD45" s="62">
        <v>2</v>
      </c>
      <c r="HE45" s="62">
        <v>5</v>
      </c>
      <c r="HF45" s="62">
        <v>4</v>
      </c>
      <c r="HG45" s="62">
        <v>6</v>
      </c>
      <c r="HH45" s="62">
        <v>4</v>
      </c>
      <c r="HI45" s="62">
        <v>4</v>
      </c>
      <c r="HJ45" s="62">
        <v>5</v>
      </c>
      <c r="HK45" s="62">
        <v>8</v>
      </c>
      <c r="HL45" s="62">
        <v>6</v>
      </c>
      <c r="HM45" s="62">
        <v>9</v>
      </c>
      <c r="HN45" s="62">
        <v>10</v>
      </c>
      <c r="HO45" s="62">
        <v>4</v>
      </c>
      <c r="HP45" s="62">
        <v>6</v>
      </c>
      <c r="HQ45" s="63">
        <v>10</v>
      </c>
      <c r="HR45" s="63">
        <v>5</v>
      </c>
      <c r="HS45" s="63">
        <v>8</v>
      </c>
      <c r="HT45" s="67">
        <v>100</v>
      </c>
      <c r="HU45" s="62">
        <v>6</v>
      </c>
      <c r="HV45" s="62">
        <v>8</v>
      </c>
      <c r="HW45" s="67">
        <v>100</v>
      </c>
      <c r="HX45" s="62">
        <v>5</v>
      </c>
      <c r="HY45" s="62">
        <v>7</v>
      </c>
      <c r="HZ45" s="67">
        <v>100</v>
      </c>
      <c r="IA45" s="62">
        <v>6</v>
      </c>
      <c r="IB45" s="62">
        <v>7</v>
      </c>
      <c r="IC45" s="68">
        <v>100</v>
      </c>
      <c r="ID45" s="63">
        <v>6</v>
      </c>
      <c r="IE45" s="63">
        <v>7</v>
      </c>
      <c r="IF45" s="67">
        <v>100</v>
      </c>
      <c r="IG45" s="67">
        <v>100</v>
      </c>
      <c r="IH45" s="67">
        <v>100</v>
      </c>
      <c r="II45" s="67">
        <v>100</v>
      </c>
      <c r="IJ45" s="67">
        <v>100</v>
      </c>
      <c r="IK45" s="67">
        <v>100</v>
      </c>
      <c r="IL45" s="16" t="s">
        <v>126</v>
      </c>
      <c r="IM45" s="16" t="s">
        <v>126</v>
      </c>
      <c r="IN45" s="16" t="s">
        <v>126</v>
      </c>
      <c r="IO45" s="16" t="s">
        <v>126</v>
      </c>
      <c r="IP45" s="16" t="s">
        <v>126</v>
      </c>
      <c r="IQ45" s="16" t="s">
        <v>126</v>
      </c>
      <c r="IR45" s="16" t="s">
        <v>126</v>
      </c>
      <c r="IS45" s="59">
        <f t="shared" si="1"/>
        <v>0</v>
      </c>
      <c r="IT45" s="185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</row>
    <row r="46" spans="1:273" ht="13.5" customHeight="1">
      <c r="A46" s="97">
        <v>42</v>
      </c>
      <c r="B46" s="77" t="s">
        <v>191</v>
      </c>
      <c r="C46" s="6">
        <v>30</v>
      </c>
      <c r="D46" s="6">
        <v>30</v>
      </c>
      <c r="E46" s="6">
        <v>40</v>
      </c>
      <c r="F46" s="31">
        <v>45</v>
      </c>
      <c r="G46" s="31" t="s">
        <v>126</v>
      </c>
      <c r="H46" s="31" t="s">
        <v>126</v>
      </c>
      <c r="I46" s="31">
        <v>45</v>
      </c>
      <c r="J46" s="78">
        <v>100</v>
      </c>
      <c r="K46" s="31">
        <v>56</v>
      </c>
      <c r="L46" s="31">
        <v>44</v>
      </c>
      <c r="M46" s="64">
        <v>47</v>
      </c>
      <c r="N46" s="31">
        <v>55</v>
      </c>
      <c r="O46" s="31">
        <v>44</v>
      </c>
      <c r="P46" s="64">
        <v>47</v>
      </c>
      <c r="Q46" s="31">
        <v>40</v>
      </c>
      <c r="R46" s="31">
        <v>42</v>
      </c>
      <c r="S46" s="64">
        <v>45</v>
      </c>
      <c r="T46" s="31">
        <v>35</v>
      </c>
      <c r="U46" s="31">
        <v>98</v>
      </c>
      <c r="V46" s="64">
        <v>42</v>
      </c>
      <c r="W46" s="31">
        <v>32</v>
      </c>
      <c r="X46" s="31">
        <v>40</v>
      </c>
      <c r="Y46" s="64">
        <v>35</v>
      </c>
      <c r="Z46" s="31">
        <v>29</v>
      </c>
      <c r="AA46" s="31">
        <v>49</v>
      </c>
      <c r="AB46" s="64">
        <v>32</v>
      </c>
      <c r="AC46" s="31">
        <v>23</v>
      </c>
      <c r="AD46" s="31">
        <v>45</v>
      </c>
      <c r="AE46" s="64">
        <v>32</v>
      </c>
      <c r="AF46" s="31">
        <v>25</v>
      </c>
      <c r="AG46" s="31">
        <v>42</v>
      </c>
      <c r="AH46" s="64">
        <v>28</v>
      </c>
      <c r="AI46" s="31">
        <v>31</v>
      </c>
      <c r="AJ46" s="31">
        <v>40</v>
      </c>
      <c r="AK46" s="64">
        <v>26</v>
      </c>
      <c r="AL46" s="31">
        <v>30</v>
      </c>
      <c r="AM46" s="31">
        <v>38</v>
      </c>
      <c r="AN46" s="64">
        <v>22</v>
      </c>
      <c r="AO46" s="31">
        <v>29</v>
      </c>
      <c r="AP46" s="31">
        <v>41</v>
      </c>
      <c r="AQ46" s="64">
        <v>24</v>
      </c>
      <c r="AR46" s="31">
        <v>26</v>
      </c>
      <c r="AS46" s="31">
        <v>38</v>
      </c>
      <c r="AT46" s="64">
        <v>28</v>
      </c>
      <c r="AU46" s="31">
        <v>34</v>
      </c>
      <c r="AV46" s="31">
        <v>36</v>
      </c>
      <c r="AW46" s="64">
        <v>28</v>
      </c>
      <c r="AX46" s="31">
        <v>31</v>
      </c>
      <c r="AY46" s="31">
        <v>32</v>
      </c>
      <c r="AZ46" s="64">
        <v>27</v>
      </c>
      <c r="BA46" s="31">
        <v>31</v>
      </c>
      <c r="BB46" s="31">
        <v>45</v>
      </c>
      <c r="BC46" s="64">
        <v>25</v>
      </c>
      <c r="BD46" s="31">
        <v>28</v>
      </c>
      <c r="BE46" s="31">
        <v>41</v>
      </c>
      <c r="BF46" s="64">
        <v>25</v>
      </c>
      <c r="BG46" s="31">
        <v>26</v>
      </c>
      <c r="BH46" s="31">
        <v>68</v>
      </c>
      <c r="BI46" s="64">
        <v>22</v>
      </c>
      <c r="BJ46" s="31">
        <v>35</v>
      </c>
      <c r="BK46" s="31">
        <v>64</v>
      </c>
      <c r="BL46" s="64">
        <v>41</v>
      </c>
      <c r="BM46" s="31">
        <v>30</v>
      </c>
      <c r="BN46" s="31">
        <v>76</v>
      </c>
      <c r="BO46" s="64">
        <v>37</v>
      </c>
      <c r="BP46" s="31">
        <v>24</v>
      </c>
      <c r="BQ46" s="31">
        <v>67</v>
      </c>
      <c r="BR46" s="64">
        <v>32</v>
      </c>
      <c r="BS46" s="31">
        <v>28</v>
      </c>
      <c r="BT46" s="31">
        <v>54</v>
      </c>
      <c r="BU46" s="64">
        <v>27</v>
      </c>
      <c r="BV46" s="31">
        <v>19</v>
      </c>
      <c r="BW46" s="31">
        <v>50</v>
      </c>
      <c r="BX46" s="64">
        <v>23</v>
      </c>
      <c r="BY46" s="31">
        <v>26</v>
      </c>
      <c r="BZ46" s="31">
        <v>43</v>
      </c>
      <c r="CA46" s="64">
        <v>31</v>
      </c>
      <c r="CB46" s="31">
        <v>24</v>
      </c>
      <c r="CC46" s="31">
        <v>46</v>
      </c>
      <c r="CD46" s="64">
        <v>39</v>
      </c>
      <c r="CE46" s="31">
        <v>28</v>
      </c>
      <c r="CF46" s="31">
        <v>41</v>
      </c>
      <c r="CG46" s="64">
        <v>34</v>
      </c>
      <c r="CH46" s="31">
        <v>25</v>
      </c>
      <c r="CI46" s="31">
        <v>45</v>
      </c>
      <c r="CJ46" s="64">
        <v>32</v>
      </c>
      <c r="CK46" s="31">
        <v>27</v>
      </c>
      <c r="CL46" s="31">
        <v>38</v>
      </c>
      <c r="CM46" s="64">
        <v>30</v>
      </c>
      <c r="CN46" s="31">
        <v>31</v>
      </c>
      <c r="CO46" s="31">
        <v>29</v>
      </c>
      <c r="CP46" s="64">
        <v>26</v>
      </c>
      <c r="CQ46" s="31">
        <v>30</v>
      </c>
      <c r="CR46" s="31">
        <v>34</v>
      </c>
      <c r="CS46" s="31">
        <v>27</v>
      </c>
      <c r="CT46" s="31">
        <v>28</v>
      </c>
      <c r="CU46" s="31">
        <v>25</v>
      </c>
      <c r="CV46" s="31">
        <v>29</v>
      </c>
      <c r="CW46" s="31">
        <v>24</v>
      </c>
      <c r="CX46" s="31">
        <v>23</v>
      </c>
      <c r="CY46" s="31">
        <v>27</v>
      </c>
      <c r="CZ46" s="31">
        <v>19</v>
      </c>
      <c r="DA46" s="31">
        <v>28</v>
      </c>
      <c r="DB46" s="31">
        <v>23</v>
      </c>
      <c r="DC46" s="31">
        <v>16</v>
      </c>
      <c r="DD46" s="31">
        <v>36</v>
      </c>
      <c r="DE46" s="31">
        <v>21</v>
      </c>
      <c r="DF46" s="31">
        <v>27</v>
      </c>
      <c r="DG46" s="31">
        <v>28</v>
      </c>
      <c r="DH46" s="31">
        <v>18</v>
      </c>
      <c r="DI46" s="31">
        <v>22</v>
      </c>
      <c r="DJ46" s="31">
        <v>37</v>
      </c>
      <c r="DK46" s="31">
        <v>19</v>
      </c>
      <c r="DL46" s="31">
        <v>18</v>
      </c>
      <c r="DM46" s="31">
        <v>33</v>
      </c>
      <c r="DN46" s="31">
        <v>14</v>
      </c>
      <c r="DO46" s="31">
        <v>16</v>
      </c>
      <c r="DP46" s="31">
        <v>28</v>
      </c>
      <c r="DQ46" s="31">
        <v>14</v>
      </c>
      <c r="DR46" s="31">
        <v>13</v>
      </c>
      <c r="DS46" s="31">
        <v>22</v>
      </c>
      <c r="DT46" s="31">
        <v>19</v>
      </c>
      <c r="DU46" s="31">
        <v>12</v>
      </c>
      <c r="DV46" s="31">
        <v>19</v>
      </c>
      <c r="DW46" s="31">
        <v>16</v>
      </c>
      <c r="DX46" s="31">
        <v>18</v>
      </c>
      <c r="DY46" s="31">
        <v>21</v>
      </c>
      <c r="DZ46" s="31">
        <v>14</v>
      </c>
      <c r="EA46" s="31">
        <v>17</v>
      </c>
      <c r="EB46" s="31">
        <v>35</v>
      </c>
      <c r="EC46" s="31">
        <v>18</v>
      </c>
      <c r="ED46" s="31">
        <v>14</v>
      </c>
      <c r="EE46" s="31">
        <v>31</v>
      </c>
      <c r="EF46" s="31">
        <v>16</v>
      </c>
      <c r="EG46" s="31">
        <v>19</v>
      </c>
      <c r="EH46" s="31">
        <v>38</v>
      </c>
      <c r="EI46" s="31">
        <v>15</v>
      </c>
      <c r="EJ46" s="31">
        <v>18</v>
      </c>
      <c r="EK46" s="31">
        <v>36</v>
      </c>
      <c r="EL46" s="31">
        <v>15</v>
      </c>
      <c r="EM46" s="31">
        <v>16</v>
      </c>
      <c r="EN46" s="31">
        <v>31</v>
      </c>
      <c r="EO46" s="31">
        <v>18</v>
      </c>
      <c r="EP46" s="31">
        <v>15</v>
      </c>
      <c r="EQ46" s="31">
        <v>28</v>
      </c>
      <c r="ER46" s="31">
        <v>13</v>
      </c>
      <c r="ES46" s="31">
        <v>12</v>
      </c>
      <c r="ET46" s="31">
        <v>23</v>
      </c>
      <c r="EU46" s="31">
        <v>15</v>
      </c>
      <c r="EV46" s="31">
        <v>19</v>
      </c>
      <c r="EW46" s="31">
        <v>19</v>
      </c>
      <c r="EX46" s="31">
        <v>14</v>
      </c>
      <c r="EY46" s="31">
        <v>16</v>
      </c>
      <c r="EZ46" s="31">
        <v>17</v>
      </c>
      <c r="FA46" s="31">
        <v>12</v>
      </c>
      <c r="FB46" s="31">
        <v>19</v>
      </c>
      <c r="FC46" s="31">
        <v>21</v>
      </c>
      <c r="FD46" s="31">
        <v>15</v>
      </c>
      <c r="FE46" s="31">
        <v>25</v>
      </c>
      <c r="FF46" s="31">
        <v>58</v>
      </c>
      <c r="FG46" s="31">
        <v>16</v>
      </c>
      <c r="FH46" s="31">
        <v>22</v>
      </c>
      <c r="FI46" s="31">
        <v>53</v>
      </c>
      <c r="FJ46" s="31">
        <v>14</v>
      </c>
      <c r="FK46" s="31">
        <v>25</v>
      </c>
      <c r="FL46" s="64">
        <v>48</v>
      </c>
      <c r="FM46" s="64">
        <v>13</v>
      </c>
      <c r="FN46" s="64">
        <v>22</v>
      </c>
      <c r="FO46" s="31">
        <v>43</v>
      </c>
      <c r="FP46" s="31">
        <v>18</v>
      </c>
      <c r="FQ46" s="31">
        <v>26</v>
      </c>
      <c r="FR46" s="64">
        <v>38</v>
      </c>
      <c r="FS46" s="64">
        <v>13</v>
      </c>
      <c r="FT46" s="64">
        <v>22</v>
      </c>
      <c r="FU46" s="64">
        <v>33</v>
      </c>
      <c r="FV46" s="64">
        <v>15</v>
      </c>
      <c r="FW46" s="64">
        <v>28</v>
      </c>
      <c r="FX46" s="62">
        <v>32</v>
      </c>
      <c r="FY46" s="62">
        <v>14</v>
      </c>
      <c r="FZ46" s="62">
        <v>29</v>
      </c>
      <c r="GA46" s="62">
        <v>30</v>
      </c>
      <c r="GB46" s="61">
        <v>19</v>
      </c>
      <c r="GC46" s="62">
        <v>23</v>
      </c>
      <c r="GD46" s="62">
        <v>36</v>
      </c>
      <c r="GE46" s="61">
        <v>21</v>
      </c>
      <c r="GF46" s="62">
        <v>29</v>
      </c>
      <c r="GG46" s="62">
        <v>32</v>
      </c>
      <c r="GH46" s="62">
        <v>18</v>
      </c>
      <c r="GI46" s="62">
        <v>23</v>
      </c>
      <c r="GJ46" s="62">
        <v>30</v>
      </c>
      <c r="GK46" s="62">
        <v>13</v>
      </c>
      <c r="GL46" s="62">
        <v>21</v>
      </c>
      <c r="GM46" s="62">
        <v>45</v>
      </c>
      <c r="GN46" s="62">
        <v>18</v>
      </c>
      <c r="GO46" s="62">
        <v>27</v>
      </c>
      <c r="GP46" s="62">
        <v>43</v>
      </c>
      <c r="GQ46" s="62">
        <v>14</v>
      </c>
      <c r="GR46" s="62">
        <v>22</v>
      </c>
      <c r="GS46" s="62">
        <v>48</v>
      </c>
      <c r="GT46" s="62">
        <v>13</v>
      </c>
      <c r="GU46" s="62">
        <v>20</v>
      </c>
      <c r="GV46" s="62">
        <v>53</v>
      </c>
      <c r="GW46" s="62">
        <v>19</v>
      </c>
      <c r="GX46" s="62">
        <v>17</v>
      </c>
      <c r="GY46" s="62">
        <v>58</v>
      </c>
      <c r="GZ46" s="62">
        <v>20</v>
      </c>
      <c r="HA46" s="62">
        <v>13</v>
      </c>
      <c r="HB46" s="62">
        <v>54</v>
      </c>
      <c r="HC46" s="62">
        <v>21</v>
      </c>
      <c r="HD46" s="62">
        <v>11</v>
      </c>
      <c r="HE46" s="62">
        <v>60</v>
      </c>
      <c r="HF46" s="62">
        <v>20</v>
      </c>
      <c r="HG46" s="62">
        <v>19</v>
      </c>
      <c r="HH46" s="62">
        <v>58</v>
      </c>
      <c r="HI46" s="62">
        <v>19</v>
      </c>
      <c r="HJ46" s="62">
        <v>15</v>
      </c>
      <c r="HK46" s="62">
        <v>53</v>
      </c>
      <c r="HL46" s="62">
        <v>25</v>
      </c>
      <c r="HM46" s="62">
        <v>19</v>
      </c>
      <c r="HN46" s="62">
        <v>46</v>
      </c>
      <c r="HO46" s="62">
        <v>29</v>
      </c>
      <c r="HP46" s="62">
        <v>17</v>
      </c>
      <c r="HQ46" s="63">
        <v>42</v>
      </c>
      <c r="HR46" s="63">
        <v>27</v>
      </c>
      <c r="HS46" s="63">
        <v>14</v>
      </c>
      <c r="HT46" s="67">
        <v>100</v>
      </c>
      <c r="HU46" s="62">
        <v>36</v>
      </c>
      <c r="HV46" s="62">
        <v>18</v>
      </c>
      <c r="HW46" s="67">
        <v>100</v>
      </c>
      <c r="HX46" s="62">
        <v>38</v>
      </c>
      <c r="HY46" s="62">
        <v>19</v>
      </c>
      <c r="HZ46" s="67">
        <v>100</v>
      </c>
      <c r="IA46" s="62">
        <v>40</v>
      </c>
      <c r="IB46" s="62">
        <v>21</v>
      </c>
      <c r="IC46" s="68">
        <v>100</v>
      </c>
      <c r="ID46" s="63">
        <v>38</v>
      </c>
      <c r="IE46" s="63">
        <v>22</v>
      </c>
      <c r="IF46" s="67">
        <v>100</v>
      </c>
      <c r="IG46" s="67">
        <v>100</v>
      </c>
      <c r="IH46" s="67">
        <v>100</v>
      </c>
      <c r="II46" s="67">
        <v>100</v>
      </c>
      <c r="IJ46" s="67">
        <v>100</v>
      </c>
      <c r="IK46" s="67">
        <v>100</v>
      </c>
      <c r="IL46" s="16" t="s">
        <v>126</v>
      </c>
      <c r="IM46" s="16" t="s">
        <v>126</v>
      </c>
      <c r="IN46" s="16" t="s">
        <v>126</v>
      </c>
      <c r="IO46" s="16" t="s">
        <v>126</v>
      </c>
      <c r="IP46" s="16" t="s">
        <v>126</v>
      </c>
      <c r="IQ46" s="16" t="s">
        <v>126</v>
      </c>
      <c r="IR46" s="16" t="s">
        <v>126</v>
      </c>
      <c r="IS46" s="59">
        <f t="shared" ref="IS46:IS77" si="2">IFERROR(IQ46-IR46,0)</f>
        <v>0</v>
      </c>
      <c r="IT46" s="185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</row>
    <row r="47" spans="1:273" ht="13.5" customHeight="1">
      <c r="A47" s="97">
        <v>43</v>
      </c>
      <c r="B47" s="77" t="s">
        <v>192</v>
      </c>
      <c r="C47" s="6">
        <v>480</v>
      </c>
      <c r="D47" s="6">
        <v>480</v>
      </c>
      <c r="E47" s="6">
        <v>590</v>
      </c>
      <c r="F47" s="89" t="s">
        <v>126</v>
      </c>
      <c r="G47" s="89" t="s">
        <v>126</v>
      </c>
      <c r="H47" s="89" t="s">
        <v>126</v>
      </c>
      <c r="I47" s="89"/>
      <c r="J47" s="90">
        <v>100</v>
      </c>
      <c r="K47" s="90">
        <v>100</v>
      </c>
      <c r="L47" s="89"/>
      <c r="M47" s="90">
        <v>100</v>
      </c>
      <c r="N47" s="90">
        <v>100</v>
      </c>
      <c r="O47" s="89"/>
      <c r="P47" s="90">
        <v>100</v>
      </c>
      <c r="Q47" s="90">
        <v>100</v>
      </c>
      <c r="R47" s="89"/>
      <c r="S47" s="90">
        <v>100</v>
      </c>
      <c r="T47" s="90">
        <v>100</v>
      </c>
      <c r="U47" s="90">
        <v>100</v>
      </c>
      <c r="V47" s="90">
        <v>100</v>
      </c>
      <c r="W47" s="90">
        <v>100</v>
      </c>
      <c r="X47" s="31">
        <v>74</v>
      </c>
      <c r="Y47" s="90">
        <v>100</v>
      </c>
      <c r="Z47" s="90">
        <v>100</v>
      </c>
      <c r="AA47" s="31">
        <v>38</v>
      </c>
      <c r="AB47" s="31">
        <v>27</v>
      </c>
      <c r="AC47" s="90">
        <v>100</v>
      </c>
      <c r="AD47" s="31">
        <v>18</v>
      </c>
      <c r="AE47" s="31">
        <v>24</v>
      </c>
      <c r="AF47" s="90">
        <v>100</v>
      </c>
      <c r="AG47" s="31">
        <v>21</v>
      </c>
      <c r="AH47" s="31">
        <v>28</v>
      </c>
      <c r="AI47" s="78">
        <v>100</v>
      </c>
      <c r="AJ47" s="31">
        <v>19</v>
      </c>
      <c r="AK47" s="31">
        <v>25</v>
      </c>
      <c r="AL47" s="78">
        <v>100</v>
      </c>
      <c r="AM47" s="31">
        <v>19</v>
      </c>
      <c r="AN47" s="31">
        <v>25</v>
      </c>
      <c r="AO47" s="78">
        <v>100</v>
      </c>
      <c r="AP47" s="31">
        <v>15</v>
      </c>
      <c r="AQ47" s="31">
        <v>16</v>
      </c>
      <c r="AR47" s="78">
        <v>100</v>
      </c>
      <c r="AS47" s="31">
        <v>13</v>
      </c>
      <c r="AT47" s="31">
        <v>15</v>
      </c>
      <c r="AU47" s="31">
        <v>56</v>
      </c>
      <c r="AV47" s="31">
        <v>18</v>
      </c>
      <c r="AW47" s="31">
        <v>21</v>
      </c>
      <c r="AX47" s="31">
        <v>54</v>
      </c>
      <c r="AY47" s="31">
        <v>22</v>
      </c>
      <c r="AZ47" s="31">
        <v>19</v>
      </c>
      <c r="BA47" s="31">
        <v>43</v>
      </c>
      <c r="BB47" s="31">
        <v>42</v>
      </c>
      <c r="BC47" s="31">
        <v>18</v>
      </c>
      <c r="BD47" s="31">
        <v>40</v>
      </c>
      <c r="BE47" s="31">
        <v>39</v>
      </c>
      <c r="BF47" s="31">
        <v>16</v>
      </c>
      <c r="BG47" s="31">
        <v>36</v>
      </c>
      <c r="BH47" s="31">
        <v>35</v>
      </c>
      <c r="BI47" s="31">
        <v>15</v>
      </c>
      <c r="BJ47" s="31">
        <v>27</v>
      </c>
      <c r="BK47" s="31">
        <v>33</v>
      </c>
      <c r="BL47" s="31">
        <v>10</v>
      </c>
      <c r="BM47" s="31">
        <v>25</v>
      </c>
      <c r="BN47" s="31">
        <v>30</v>
      </c>
      <c r="BO47" s="31">
        <v>14</v>
      </c>
      <c r="BP47" s="31">
        <v>18</v>
      </c>
      <c r="BQ47" s="31">
        <v>25</v>
      </c>
      <c r="BR47" s="31">
        <v>12</v>
      </c>
      <c r="BS47" s="31">
        <v>14</v>
      </c>
      <c r="BT47" s="31">
        <v>24</v>
      </c>
      <c r="BU47" s="31">
        <v>16</v>
      </c>
      <c r="BV47" s="31">
        <v>12</v>
      </c>
      <c r="BW47" s="31">
        <v>28</v>
      </c>
      <c r="BX47" s="31">
        <v>19</v>
      </c>
      <c r="BY47" s="31">
        <v>24</v>
      </c>
      <c r="BZ47" s="31">
        <v>35</v>
      </c>
      <c r="CA47" s="31">
        <v>17</v>
      </c>
      <c r="CB47" s="31">
        <v>20</v>
      </c>
      <c r="CC47" s="31">
        <v>34</v>
      </c>
      <c r="CD47" s="31">
        <v>25</v>
      </c>
      <c r="CE47" s="31">
        <v>19</v>
      </c>
      <c r="CF47" s="31">
        <v>38</v>
      </c>
      <c r="CG47" s="31">
        <v>21</v>
      </c>
      <c r="CH47" s="31">
        <v>20</v>
      </c>
      <c r="CI47" s="31">
        <v>31</v>
      </c>
      <c r="CJ47" s="31">
        <v>18</v>
      </c>
      <c r="CK47" s="31">
        <v>24</v>
      </c>
      <c r="CL47" s="31">
        <v>27</v>
      </c>
      <c r="CM47" s="31">
        <v>26</v>
      </c>
      <c r="CN47" s="31">
        <v>21</v>
      </c>
      <c r="CO47" s="31">
        <v>25</v>
      </c>
      <c r="CP47" s="31">
        <v>22</v>
      </c>
      <c r="CQ47" s="31">
        <v>18</v>
      </c>
      <c r="CR47" s="31">
        <v>18</v>
      </c>
      <c r="CS47" s="31">
        <v>21</v>
      </c>
      <c r="CT47" s="31">
        <v>52</v>
      </c>
      <c r="CU47" s="31">
        <v>24</v>
      </c>
      <c r="CV47" s="31">
        <v>17</v>
      </c>
      <c r="CW47" s="31">
        <v>45</v>
      </c>
      <c r="CX47" s="31">
        <v>22</v>
      </c>
      <c r="CY47" s="31">
        <v>16</v>
      </c>
      <c r="CZ47" s="31">
        <v>36</v>
      </c>
      <c r="DA47" s="31">
        <v>38</v>
      </c>
      <c r="DB47" s="31">
        <v>19</v>
      </c>
      <c r="DC47" s="31">
        <v>32</v>
      </c>
      <c r="DD47" s="31">
        <v>54</v>
      </c>
      <c r="DE47" s="31">
        <v>19</v>
      </c>
      <c r="DF47" s="31">
        <v>28</v>
      </c>
      <c r="DG47" s="31">
        <v>52</v>
      </c>
      <c r="DH47" s="31">
        <v>16</v>
      </c>
      <c r="DI47" s="31">
        <v>18</v>
      </c>
      <c r="DJ47" s="31">
        <v>48</v>
      </c>
      <c r="DK47" s="31">
        <v>5</v>
      </c>
      <c r="DL47" s="31">
        <v>14</v>
      </c>
      <c r="DM47" s="31">
        <v>36</v>
      </c>
      <c r="DN47" s="31">
        <v>4</v>
      </c>
      <c r="DO47" s="31">
        <v>12</v>
      </c>
      <c r="DP47" s="31">
        <v>37</v>
      </c>
      <c r="DQ47" s="31">
        <v>8</v>
      </c>
      <c r="DR47" s="31">
        <v>11</v>
      </c>
      <c r="DS47" s="31">
        <v>28</v>
      </c>
      <c r="DT47" s="31">
        <v>9</v>
      </c>
      <c r="DU47" s="31">
        <v>10</v>
      </c>
      <c r="DV47" s="31">
        <v>39</v>
      </c>
      <c r="DW47" s="31">
        <v>17</v>
      </c>
      <c r="DX47" s="31">
        <v>12</v>
      </c>
      <c r="DY47" s="31">
        <v>36</v>
      </c>
      <c r="DZ47" s="31">
        <v>15</v>
      </c>
      <c r="EA47" s="31">
        <v>20</v>
      </c>
      <c r="EB47" s="31">
        <v>32</v>
      </c>
      <c r="EC47" s="31">
        <v>16</v>
      </c>
      <c r="ED47" s="31">
        <v>19</v>
      </c>
      <c r="EE47" s="31">
        <v>43</v>
      </c>
      <c r="EF47" s="31">
        <v>15</v>
      </c>
      <c r="EG47" s="31">
        <v>17</v>
      </c>
      <c r="EH47" s="31">
        <v>42</v>
      </c>
      <c r="EI47" s="31">
        <v>13</v>
      </c>
      <c r="EJ47" s="31">
        <v>14</v>
      </c>
      <c r="EK47" s="31">
        <v>40</v>
      </c>
      <c r="EL47" s="31">
        <v>14</v>
      </c>
      <c r="EM47" s="31">
        <v>12</v>
      </c>
      <c r="EN47" s="31">
        <v>38</v>
      </c>
      <c r="EO47" s="31">
        <v>11</v>
      </c>
      <c r="EP47" s="31">
        <v>15</v>
      </c>
      <c r="EQ47" s="31">
        <v>43</v>
      </c>
      <c r="ER47" s="31">
        <v>16</v>
      </c>
      <c r="ES47" s="31">
        <v>19</v>
      </c>
      <c r="ET47" s="31">
        <v>41</v>
      </c>
      <c r="EU47" s="31">
        <v>13</v>
      </c>
      <c r="EV47" s="31">
        <v>15</v>
      </c>
      <c r="EW47" s="31">
        <v>32</v>
      </c>
      <c r="EX47" s="31">
        <v>11</v>
      </c>
      <c r="EY47" s="31">
        <v>14</v>
      </c>
      <c r="EZ47" s="31">
        <v>30</v>
      </c>
      <c r="FA47" s="31">
        <v>13</v>
      </c>
      <c r="FB47" s="31">
        <v>12</v>
      </c>
      <c r="FC47" s="31">
        <v>28</v>
      </c>
      <c r="FD47" s="31">
        <v>11</v>
      </c>
      <c r="FE47" s="31">
        <v>14</v>
      </c>
      <c r="FF47" s="31">
        <v>23</v>
      </c>
      <c r="FG47" s="31">
        <v>13</v>
      </c>
      <c r="FH47" s="31">
        <v>11</v>
      </c>
      <c r="FI47" s="31">
        <v>28</v>
      </c>
      <c r="FJ47" s="31">
        <v>15</v>
      </c>
      <c r="FK47" s="31">
        <v>16</v>
      </c>
      <c r="FL47" s="64">
        <v>23</v>
      </c>
      <c r="FM47" s="64">
        <v>14</v>
      </c>
      <c r="FN47" s="64">
        <v>26</v>
      </c>
      <c r="FO47" s="31">
        <v>28</v>
      </c>
      <c r="FP47" s="31">
        <v>13</v>
      </c>
      <c r="FQ47" s="31">
        <v>22</v>
      </c>
      <c r="FR47" s="64">
        <v>25</v>
      </c>
      <c r="FS47" s="64">
        <v>15</v>
      </c>
      <c r="FT47" s="64">
        <v>19</v>
      </c>
      <c r="FU47" s="64">
        <v>31</v>
      </c>
      <c r="FV47" s="64">
        <v>19</v>
      </c>
      <c r="FW47" s="64">
        <v>20</v>
      </c>
      <c r="FX47" s="62">
        <v>35</v>
      </c>
      <c r="FY47" s="62">
        <v>21</v>
      </c>
      <c r="FZ47" s="62">
        <v>25</v>
      </c>
      <c r="GA47" s="61">
        <v>37</v>
      </c>
      <c r="GB47" s="61">
        <v>25</v>
      </c>
      <c r="GC47" s="62">
        <v>22</v>
      </c>
      <c r="GD47" s="61">
        <v>33</v>
      </c>
      <c r="GE47" s="61">
        <v>24</v>
      </c>
      <c r="GF47" s="62">
        <v>28</v>
      </c>
      <c r="GG47" s="61">
        <v>30</v>
      </c>
      <c r="GH47" s="62">
        <v>27</v>
      </c>
      <c r="GI47" s="62">
        <v>23</v>
      </c>
      <c r="GJ47" s="61">
        <v>23</v>
      </c>
      <c r="GK47" s="62">
        <v>29</v>
      </c>
      <c r="GL47" s="62">
        <v>32</v>
      </c>
      <c r="GM47" s="61">
        <v>26</v>
      </c>
      <c r="GN47" s="62">
        <v>27</v>
      </c>
      <c r="GO47" s="62">
        <v>24</v>
      </c>
      <c r="GP47" s="62">
        <v>32</v>
      </c>
      <c r="GQ47" s="62">
        <v>24</v>
      </c>
      <c r="GR47" s="62">
        <v>30</v>
      </c>
      <c r="GS47" s="62">
        <v>45</v>
      </c>
      <c r="GT47" s="62">
        <v>19</v>
      </c>
      <c r="GU47" s="62">
        <v>29</v>
      </c>
      <c r="GV47" s="62">
        <v>48</v>
      </c>
      <c r="GW47" s="62">
        <v>25</v>
      </c>
      <c r="GX47" s="62">
        <v>38</v>
      </c>
      <c r="GY47" s="62">
        <v>43</v>
      </c>
      <c r="GZ47" s="62">
        <v>42</v>
      </c>
      <c r="HA47" s="62">
        <v>40</v>
      </c>
      <c r="HB47" s="62">
        <v>54</v>
      </c>
      <c r="HC47" s="62">
        <v>48</v>
      </c>
      <c r="HD47" s="62">
        <v>42</v>
      </c>
      <c r="HE47" s="62">
        <v>50</v>
      </c>
      <c r="HF47" s="62">
        <v>40</v>
      </c>
      <c r="HG47" s="62">
        <v>38</v>
      </c>
      <c r="HH47" s="62">
        <v>53</v>
      </c>
      <c r="HI47" s="62">
        <v>36</v>
      </c>
      <c r="HJ47" s="62">
        <v>32</v>
      </c>
      <c r="HK47" s="62">
        <v>67</v>
      </c>
      <c r="HL47" s="62">
        <v>31</v>
      </c>
      <c r="HM47" s="62">
        <v>29</v>
      </c>
      <c r="HN47" s="62">
        <v>63</v>
      </c>
      <c r="HO47" s="62">
        <v>32</v>
      </c>
      <c r="HP47" s="62">
        <v>35</v>
      </c>
      <c r="HQ47" s="63">
        <v>68</v>
      </c>
      <c r="HR47" s="63">
        <v>31</v>
      </c>
      <c r="HS47" s="63">
        <v>31</v>
      </c>
      <c r="HT47" s="62">
        <v>36</v>
      </c>
      <c r="HU47" s="62">
        <v>31</v>
      </c>
      <c r="HV47" s="62">
        <v>40</v>
      </c>
      <c r="HW47" s="62">
        <v>42</v>
      </c>
      <c r="HX47" s="62">
        <v>32</v>
      </c>
      <c r="HY47" s="62">
        <v>37</v>
      </c>
      <c r="HZ47" s="62">
        <v>49</v>
      </c>
      <c r="IA47" s="62">
        <v>33</v>
      </c>
      <c r="IB47" s="62">
        <v>38</v>
      </c>
      <c r="IC47" s="63">
        <v>56</v>
      </c>
      <c r="ID47" s="63">
        <v>33</v>
      </c>
      <c r="IE47" s="63">
        <v>35</v>
      </c>
      <c r="IF47" s="62">
        <v>59</v>
      </c>
      <c r="IG47" s="62">
        <v>62</v>
      </c>
      <c r="IH47" s="67">
        <v>100</v>
      </c>
      <c r="II47" s="67">
        <v>100</v>
      </c>
      <c r="IJ47" s="67">
        <v>100</v>
      </c>
      <c r="IK47" s="67">
        <v>100</v>
      </c>
      <c r="IL47" s="16" t="s">
        <v>126</v>
      </c>
      <c r="IM47" s="16" t="s">
        <v>126</v>
      </c>
      <c r="IN47" s="16" t="s">
        <v>126</v>
      </c>
      <c r="IO47" s="16" t="s">
        <v>126</v>
      </c>
      <c r="IP47" s="16" t="s">
        <v>126</v>
      </c>
      <c r="IQ47" s="16" t="s">
        <v>126</v>
      </c>
      <c r="IR47" s="16" t="s">
        <v>126</v>
      </c>
      <c r="IS47" s="59">
        <f t="shared" si="2"/>
        <v>0</v>
      </c>
      <c r="IT47" s="185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</row>
    <row r="48" spans="1:273" ht="13.5" customHeight="1">
      <c r="A48" s="97">
        <v>44</v>
      </c>
      <c r="B48" s="77" t="s">
        <v>193</v>
      </c>
      <c r="C48" s="6">
        <v>10</v>
      </c>
      <c r="D48" s="6">
        <v>10</v>
      </c>
      <c r="E48" s="6">
        <v>10</v>
      </c>
      <c r="F48" s="89" t="s">
        <v>126</v>
      </c>
      <c r="G48" s="89" t="s">
        <v>126</v>
      </c>
      <c r="H48" s="89" t="s">
        <v>126</v>
      </c>
      <c r="I48" s="89"/>
      <c r="J48" s="90">
        <v>100</v>
      </c>
      <c r="K48" s="90">
        <v>100</v>
      </c>
      <c r="L48" s="89"/>
      <c r="M48" s="90">
        <v>100</v>
      </c>
      <c r="N48" s="90">
        <v>100</v>
      </c>
      <c r="O48" s="89"/>
      <c r="P48" s="90">
        <v>100</v>
      </c>
      <c r="Q48" s="90">
        <v>100</v>
      </c>
      <c r="R48" s="89"/>
      <c r="S48" s="90">
        <v>100</v>
      </c>
      <c r="T48" s="90">
        <v>100</v>
      </c>
      <c r="U48" s="90">
        <v>100</v>
      </c>
      <c r="V48" s="90">
        <v>100</v>
      </c>
      <c r="W48" s="90">
        <v>100</v>
      </c>
      <c r="X48" s="31">
        <v>45</v>
      </c>
      <c r="Y48" s="90">
        <v>100</v>
      </c>
      <c r="Z48" s="90">
        <v>100</v>
      </c>
      <c r="AA48" s="31">
        <v>23</v>
      </c>
      <c r="AB48" s="90">
        <v>100</v>
      </c>
      <c r="AC48" s="90">
        <v>100</v>
      </c>
      <c r="AD48" s="31">
        <v>18</v>
      </c>
      <c r="AE48" s="90">
        <v>100</v>
      </c>
      <c r="AF48" s="90">
        <v>100</v>
      </c>
      <c r="AG48" s="31">
        <v>27</v>
      </c>
      <c r="AH48" s="90">
        <v>100</v>
      </c>
      <c r="AI48" s="90">
        <v>100</v>
      </c>
      <c r="AJ48" s="31">
        <v>21</v>
      </c>
      <c r="AK48" s="31">
        <v>25</v>
      </c>
      <c r="AL48" s="90">
        <v>100</v>
      </c>
      <c r="AM48" s="31">
        <v>20</v>
      </c>
      <c r="AN48" s="31">
        <v>28</v>
      </c>
      <c r="AO48" s="90">
        <v>100</v>
      </c>
      <c r="AP48" s="31">
        <v>19</v>
      </c>
      <c r="AQ48" s="31">
        <v>22</v>
      </c>
      <c r="AR48" s="90">
        <v>100</v>
      </c>
      <c r="AS48" s="31">
        <v>17</v>
      </c>
      <c r="AT48" s="31">
        <v>20</v>
      </c>
      <c r="AU48" s="90">
        <v>100</v>
      </c>
      <c r="AV48" s="31">
        <v>15</v>
      </c>
      <c r="AW48" s="31">
        <v>18</v>
      </c>
      <c r="AX48" s="90">
        <v>100</v>
      </c>
      <c r="AY48" s="31">
        <v>21</v>
      </c>
      <c r="AZ48" s="31">
        <v>16</v>
      </c>
      <c r="BA48" s="31">
        <v>58</v>
      </c>
      <c r="BB48" s="31">
        <v>19</v>
      </c>
      <c r="BC48" s="31">
        <v>15</v>
      </c>
      <c r="BD48" s="31">
        <v>52</v>
      </c>
      <c r="BE48" s="31">
        <v>17</v>
      </c>
      <c r="BF48" s="31">
        <v>14</v>
      </c>
      <c r="BG48" s="31">
        <v>48</v>
      </c>
      <c r="BH48" s="31">
        <v>13</v>
      </c>
      <c r="BI48" s="31">
        <v>23</v>
      </c>
      <c r="BJ48" s="31">
        <v>45</v>
      </c>
      <c r="BK48" s="31">
        <v>11</v>
      </c>
      <c r="BL48" s="31">
        <v>19</v>
      </c>
      <c r="BM48" s="31">
        <v>38</v>
      </c>
      <c r="BN48" s="31">
        <v>23</v>
      </c>
      <c r="BO48" s="31">
        <v>9</v>
      </c>
      <c r="BP48" s="31">
        <v>8</v>
      </c>
      <c r="BQ48" s="31">
        <v>8</v>
      </c>
      <c r="BR48" s="31">
        <v>7</v>
      </c>
      <c r="BS48" s="31">
        <v>6</v>
      </c>
      <c r="BT48" s="31">
        <v>15</v>
      </c>
      <c r="BU48" s="31">
        <v>6</v>
      </c>
      <c r="BV48" s="31">
        <v>6</v>
      </c>
      <c r="BW48" s="31">
        <v>13</v>
      </c>
      <c r="BX48" s="31">
        <v>4</v>
      </c>
      <c r="BY48" s="31">
        <v>4</v>
      </c>
      <c r="BZ48" s="31">
        <v>10</v>
      </c>
      <c r="CA48" s="31">
        <v>2</v>
      </c>
      <c r="CB48" s="31">
        <v>2</v>
      </c>
      <c r="CC48" s="31">
        <v>9</v>
      </c>
      <c r="CD48" s="31">
        <v>3</v>
      </c>
      <c r="CE48" s="31">
        <v>2</v>
      </c>
      <c r="CF48" s="31">
        <v>16</v>
      </c>
      <c r="CG48" s="31">
        <v>2</v>
      </c>
      <c r="CH48" s="31">
        <v>2</v>
      </c>
      <c r="CI48" s="31">
        <v>12</v>
      </c>
      <c r="CJ48" s="31">
        <v>6</v>
      </c>
      <c r="CK48" s="31">
        <v>11</v>
      </c>
      <c r="CL48" s="31">
        <v>11</v>
      </c>
      <c r="CM48" s="31">
        <v>5</v>
      </c>
      <c r="CN48" s="31">
        <v>10</v>
      </c>
      <c r="CO48" s="31">
        <v>13</v>
      </c>
      <c r="CP48" s="31">
        <v>4</v>
      </c>
      <c r="CQ48" s="31">
        <v>8</v>
      </c>
      <c r="CR48" s="31">
        <v>12</v>
      </c>
      <c r="CS48" s="31">
        <v>10</v>
      </c>
      <c r="CT48" s="31">
        <v>8</v>
      </c>
      <c r="CU48" s="31">
        <v>9</v>
      </c>
      <c r="CV48" s="31">
        <v>5</v>
      </c>
      <c r="CW48" s="31">
        <v>4</v>
      </c>
      <c r="CX48" s="31">
        <v>13</v>
      </c>
      <c r="CY48" s="31">
        <v>8</v>
      </c>
      <c r="CZ48" s="31">
        <v>4</v>
      </c>
      <c r="DA48" s="31">
        <v>11</v>
      </c>
      <c r="DB48" s="31">
        <v>6</v>
      </c>
      <c r="DC48" s="31">
        <v>3</v>
      </c>
      <c r="DD48" s="31">
        <v>18</v>
      </c>
      <c r="DE48" s="31">
        <v>5</v>
      </c>
      <c r="DF48" s="31">
        <v>3</v>
      </c>
      <c r="DG48" s="31">
        <v>16</v>
      </c>
      <c r="DH48" s="31">
        <v>4</v>
      </c>
      <c r="DI48" s="31">
        <v>3</v>
      </c>
      <c r="DJ48" s="31">
        <v>15</v>
      </c>
      <c r="DK48" s="31">
        <v>3</v>
      </c>
      <c r="DL48" s="31">
        <v>3</v>
      </c>
      <c r="DM48" s="31">
        <v>15</v>
      </c>
      <c r="DN48" s="31">
        <v>2</v>
      </c>
      <c r="DO48" s="31">
        <v>5</v>
      </c>
      <c r="DP48" s="31">
        <v>13</v>
      </c>
      <c r="DQ48" s="31">
        <v>2</v>
      </c>
      <c r="DR48" s="31">
        <v>6</v>
      </c>
      <c r="DS48" s="31">
        <v>11</v>
      </c>
      <c r="DT48" s="31">
        <v>2</v>
      </c>
      <c r="DU48" s="31">
        <v>5</v>
      </c>
      <c r="DV48" s="31">
        <v>10</v>
      </c>
      <c r="DW48" s="31">
        <v>1</v>
      </c>
      <c r="DX48" s="31">
        <v>3</v>
      </c>
      <c r="DY48" s="31">
        <v>9</v>
      </c>
      <c r="DZ48" s="31">
        <v>3</v>
      </c>
      <c r="EA48" s="31">
        <v>2</v>
      </c>
      <c r="EB48" s="31">
        <v>8</v>
      </c>
      <c r="EC48" s="31">
        <v>5</v>
      </c>
      <c r="ED48" s="31">
        <v>6</v>
      </c>
      <c r="EE48" s="31">
        <v>9</v>
      </c>
      <c r="EF48" s="31">
        <v>8</v>
      </c>
      <c r="EG48" s="31">
        <v>8</v>
      </c>
      <c r="EH48" s="31">
        <v>7</v>
      </c>
      <c r="EI48" s="31">
        <v>6</v>
      </c>
      <c r="EJ48" s="31">
        <v>9</v>
      </c>
      <c r="EK48" s="31">
        <v>9</v>
      </c>
      <c r="EL48" s="31">
        <v>4</v>
      </c>
      <c r="EM48" s="31">
        <v>5</v>
      </c>
      <c r="EN48" s="31">
        <v>8</v>
      </c>
      <c r="EO48" s="31">
        <v>6</v>
      </c>
      <c r="EP48" s="31">
        <v>9</v>
      </c>
      <c r="EQ48" s="31">
        <v>10</v>
      </c>
      <c r="ER48" s="31">
        <v>8</v>
      </c>
      <c r="ES48" s="31">
        <v>6</v>
      </c>
      <c r="ET48" s="31">
        <v>16</v>
      </c>
      <c r="EU48" s="31">
        <v>7</v>
      </c>
      <c r="EV48" s="31">
        <v>4</v>
      </c>
      <c r="EW48" s="31">
        <v>15</v>
      </c>
      <c r="EX48" s="31">
        <v>5</v>
      </c>
      <c r="EY48" s="31">
        <v>8</v>
      </c>
      <c r="EZ48" s="31">
        <v>16</v>
      </c>
      <c r="FA48" s="31">
        <v>4</v>
      </c>
      <c r="FB48" s="31">
        <v>6</v>
      </c>
      <c r="FC48" s="31">
        <v>14</v>
      </c>
      <c r="FD48" s="31">
        <v>3</v>
      </c>
      <c r="FE48" s="31">
        <v>5</v>
      </c>
      <c r="FF48" s="66">
        <v>100</v>
      </c>
      <c r="FG48" s="31">
        <v>9</v>
      </c>
      <c r="FH48" s="31">
        <v>7</v>
      </c>
      <c r="FI48" s="66">
        <v>100</v>
      </c>
      <c r="FJ48" s="31">
        <v>6</v>
      </c>
      <c r="FK48" s="31">
        <v>5</v>
      </c>
      <c r="FL48" s="82">
        <v>89</v>
      </c>
      <c r="FM48" s="31">
        <v>5</v>
      </c>
      <c r="FN48" s="31">
        <v>3</v>
      </c>
      <c r="FO48" s="31">
        <v>83</v>
      </c>
      <c r="FP48" s="31">
        <v>4</v>
      </c>
      <c r="FQ48" s="31">
        <v>6</v>
      </c>
      <c r="FR48" s="66">
        <v>74</v>
      </c>
      <c r="FS48" s="31">
        <v>8</v>
      </c>
      <c r="FT48" s="31">
        <v>9</v>
      </c>
      <c r="FU48" s="66">
        <v>100</v>
      </c>
      <c r="FV48" s="31">
        <v>7</v>
      </c>
      <c r="FW48" s="31">
        <v>6</v>
      </c>
      <c r="FX48" s="67">
        <v>100</v>
      </c>
      <c r="FY48" s="62">
        <v>5</v>
      </c>
      <c r="FZ48" s="60">
        <v>5</v>
      </c>
      <c r="GA48" s="61">
        <v>97</v>
      </c>
      <c r="GB48" s="61">
        <v>6</v>
      </c>
      <c r="GC48" s="61">
        <v>4</v>
      </c>
      <c r="GD48" s="61">
        <v>86</v>
      </c>
      <c r="GE48" s="61">
        <v>5</v>
      </c>
      <c r="GF48" s="61">
        <v>3</v>
      </c>
      <c r="GG48" s="62">
        <v>82</v>
      </c>
      <c r="GH48" s="62">
        <v>4</v>
      </c>
      <c r="GI48" s="62">
        <v>5</v>
      </c>
      <c r="GJ48" s="62">
        <v>74</v>
      </c>
      <c r="GK48" s="62">
        <v>5</v>
      </c>
      <c r="GL48" s="62">
        <v>8</v>
      </c>
      <c r="GM48" s="62">
        <v>68</v>
      </c>
      <c r="GN48" s="62">
        <v>7</v>
      </c>
      <c r="GO48" s="62">
        <v>6</v>
      </c>
      <c r="GP48" s="62">
        <v>63</v>
      </c>
      <c r="GQ48" s="62">
        <v>5</v>
      </c>
      <c r="GR48" s="62">
        <v>4</v>
      </c>
      <c r="GS48" s="62">
        <v>58</v>
      </c>
      <c r="GT48" s="62">
        <v>4</v>
      </c>
      <c r="GU48" s="62">
        <v>6</v>
      </c>
      <c r="GV48" s="62">
        <v>56</v>
      </c>
      <c r="GW48" s="62">
        <v>8</v>
      </c>
      <c r="GX48" s="62">
        <v>9</v>
      </c>
      <c r="GY48" s="62">
        <v>51</v>
      </c>
      <c r="GZ48" s="62">
        <v>10</v>
      </c>
      <c r="HA48" s="62">
        <v>6</v>
      </c>
      <c r="HB48" s="62">
        <v>58</v>
      </c>
      <c r="HC48" s="62">
        <v>9</v>
      </c>
      <c r="HD48" s="62">
        <v>7</v>
      </c>
      <c r="HE48" s="62">
        <v>51</v>
      </c>
      <c r="HF48" s="62">
        <v>8</v>
      </c>
      <c r="HG48" s="62">
        <v>6</v>
      </c>
      <c r="HH48" s="62">
        <v>78</v>
      </c>
      <c r="HI48" s="62">
        <v>10</v>
      </c>
      <c r="HJ48" s="62">
        <v>9</v>
      </c>
      <c r="HK48" s="62">
        <v>73</v>
      </c>
      <c r="HL48" s="62">
        <v>8</v>
      </c>
      <c r="HM48" s="62">
        <v>5</v>
      </c>
      <c r="HN48" s="62">
        <v>66</v>
      </c>
      <c r="HO48" s="62"/>
      <c r="HP48" s="62">
        <v>6</v>
      </c>
      <c r="HQ48" s="63">
        <v>63</v>
      </c>
      <c r="HR48" s="68"/>
      <c r="HS48" s="63">
        <v>5</v>
      </c>
      <c r="HT48" s="67">
        <v>100</v>
      </c>
      <c r="HU48" s="67">
        <v>100</v>
      </c>
      <c r="HV48" s="62">
        <v>7</v>
      </c>
      <c r="HW48" s="67">
        <v>100</v>
      </c>
      <c r="HX48" s="67">
        <v>100</v>
      </c>
      <c r="HY48" s="62">
        <v>7</v>
      </c>
      <c r="HZ48" s="67">
        <v>100</v>
      </c>
      <c r="IA48" s="67">
        <v>100</v>
      </c>
      <c r="IB48" s="62">
        <v>7</v>
      </c>
      <c r="IC48" s="68">
        <v>100</v>
      </c>
      <c r="ID48" s="68">
        <v>100</v>
      </c>
      <c r="IE48" s="63">
        <v>7</v>
      </c>
      <c r="IF48" s="67">
        <v>100</v>
      </c>
      <c r="IG48" s="67">
        <v>100</v>
      </c>
      <c r="IH48" s="67">
        <v>100</v>
      </c>
      <c r="II48" s="67">
        <v>100</v>
      </c>
      <c r="IJ48" s="67">
        <v>100</v>
      </c>
      <c r="IK48" s="67">
        <v>100</v>
      </c>
      <c r="IL48" s="16" t="s">
        <v>126</v>
      </c>
      <c r="IM48" s="16" t="s">
        <v>126</v>
      </c>
      <c r="IN48" s="16" t="s">
        <v>126</v>
      </c>
      <c r="IO48" s="16" t="s">
        <v>126</v>
      </c>
      <c r="IP48" s="16" t="s">
        <v>126</v>
      </c>
      <c r="IQ48" s="16" t="s">
        <v>126</v>
      </c>
      <c r="IR48" s="16" t="s">
        <v>126</v>
      </c>
      <c r="IS48" s="59">
        <f t="shared" si="2"/>
        <v>0</v>
      </c>
      <c r="IT48" s="185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</row>
    <row r="49" spans="1:273" ht="13.5" customHeight="1">
      <c r="A49" s="97">
        <v>45</v>
      </c>
      <c r="B49" s="77" t="s">
        <v>194</v>
      </c>
      <c r="C49" s="6">
        <v>140</v>
      </c>
      <c r="D49" s="6">
        <v>140</v>
      </c>
      <c r="E49" s="6">
        <v>210</v>
      </c>
      <c r="F49" s="89" t="s">
        <v>126</v>
      </c>
      <c r="G49" s="89" t="s">
        <v>126</v>
      </c>
      <c r="H49" s="89" t="s">
        <v>126</v>
      </c>
      <c r="I49" s="89"/>
      <c r="J49" s="90">
        <v>100</v>
      </c>
      <c r="K49" s="90">
        <v>100</v>
      </c>
      <c r="L49" s="89"/>
      <c r="M49" s="90">
        <v>100</v>
      </c>
      <c r="N49" s="90">
        <v>100</v>
      </c>
      <c r="O49" s="89"/>
      <c r="P49" s="90">
        <v>100</v>
      </c>
      <c r="Q49" s="90">
        <v>100</v>
      </c>
      <c r="R49" s="89"/>
      <c r="S49" s="90">
        <v>100</v>
      </c>
      <c r="T49" s="90">
        <v>100</v>
      </c>
      <c r="U49" s="90">
        <v>100</v>
      </c>
      <c r="V49" s="90">
        <v>100</v>
      </c>
      <c r="W49" s="90">
        <v>100</v>
      </c>
      <c r="X49" s="90">
        <v>100</v>
      </c>
      <c r="Y49" s="90">
        <v>100</v>
      </c>
      <c r="Z49" s="90">
        <v>100</v>
      </c>
      <c r="AA49" s="31">
        <v>82</v>
      </c>
      <c r="AB49" s="90">
        <v>100</v>
      </c>
      <c r="AC49" s="90">
        <v>100</v>
      </c>
      <c r="AD49" s="31">
        <v>66</v>
      </c>
      <c r="AE49" s="90">
        <v>100</v>
      </c>
      <c r="AF49" s="90">
        <v>100</v>
      </c>
      <c r="AG49" s="31">
        <v>45</v>
      </c>
      <c r="AH49" s="90">
        <v>100</v>
      </c>
      <c r="AI49" s="90">
        <v>100</v>
      </c>
      <c r="AJ49" s="31">
        <v>79</v>
      </c>
      <c r="AK49" s="90">
        <v>100</v>
      </c>
      <c r="AL49" s="90">
        <v>100</v>
      </c>
      <c r="AM49" s="31">
        <v>75</v>
      </c>
      <c r="AN49" s="90">
        <v>100</v>
      </c>
      <c r="AO49" s="90">
        <v>100</v>
      </c>
      <c r="AP49" s="31">
        <v>79</v>
      </c>
      <c r="AQ49" s="90">
        <v>100</v>
      </c>
      <c r="AR49" s="90">
        <v>100</v>
      </c>
      <c r="AS49" s="31">
        <v>75</v>
      </c>
      <c r="AT49" s="31">
        <v>98</v>
      </c>
      <c r="AU49" s="90">
        <v>100</v>
      </c>
      <c r="AV49" s="31">
        <v>72</v>
      </c>
      <c r="AW49" s="31">
        <v>88</v>
      </c>
      <c r="AX49" s="90">
        <v>100</v>
      </c>
      <c r="AY49" s="78">
        <v>100</v>
      </c>
      <c r="AZ49" s="31">
        <v>85</v>
      </c>
      <c r="BA49" s="31">
        <v>95</v>
      </c>
      <c r="BB49" s="78">
        <v>100</v>
      </c>
      <c r="BC49" s="31">
        <v>82</v>
      </c>
      <c r="BD49" s="31">
        <v>62</v>
      </c>
      <c r="BE49" s="78">
        <v>100</v>
      </c>
      <c r="BF49" s="31">
        <v>76</v>
      </c>
      <c r="BG49" s="31">
        <v>71</v>
      </c>
      <c r="BH49" s="78">
        <v>100</v>
      </c>
      <c r="BI49" s="31">
        <v>74</v>
      </c>
      <c r="BJ49" s="31">
        <v>68</v>
      </c>
      <c r="BK49" s="78">
        <v>100</v>
      </c>
      <c r="BL49" s="31">
        <v>73</v>
      </c>
      <c r="BM49" s="31">
        <v>64</v>
      </c>
      <c r="BN49" s="78">
        <v>100</v>
      </c>
      <c r="BO49" s="31">
        <v>66</v>
      </c>
      <c r="BP49" s="31">
        <v>59</v>
      </c>
      <c r="BQ49" s="78">
        <v>100</v>
      </c>
      <c r="BR49" s="31">
        <v>57</v>
      </c>
      <c r="BS49" s="31">
        <v>46</v>
      </c>
      <c r="BT49" s="78">
        <v>100</v>
      </c>
      <c r="BU49" s="31">
        <v>49</v>
      </c>
      <c r="BV49" s="31">
        <v>41</v>
      </c>
      <c r="BW49" s="78">
        <v>100</v>
      </c>
      <c r="BX49" s="31">
        <v>48</v>
      </c>
      <c r="BY49" s="31">
        <v>37</v>
      </c>
      <c r="BZ49" s="78">
        <v>100</v>
      </c>
      <c r="CA49" s="31">
        <v>43</v>
      </c>
      <c r="CB49" s="31">
        <v>32</v>
      </c>
      <c r="CC49" s="31">
        <v>94</v>
      </c>
      <c r="CD49" s="31">
        <v>9</v>
      </c>
      <c r="CE49" s="31">
        <v>9</v>
      </c>
      <c r="CF49" s="31">
        <v>72</v>
      </c>
      <c r="CG49" s="31">
        <v>7</v>
      </c>
      <c r="CH49" s="31">
        <v>6</v>
      </c>
      <c r="CI49" s="31">
        <v>46</v>
      </c>
      <c r="CJ49" s="31">
        <v>5</v>
      </c>
      <c r="CK49" s="31">
        <v>6</v>
      </c>
      <c r="CL49" s="31">
        <v>25</v>
      </c>
      <c r="CM49" s="31">
        <v>6</v>
      </c>
      <c r="CN49" s="31">
        <v>4</v>
      </c>
      <c r="CO49" s="31">
        <v>39</v>
      </c>
      <c r="CP49" s="31">
        <v>5</v>
      </c>
      <c r="CQ49" s="31">
        <v>13</v>
      </c>
      <c r="CR49" s="31">
        <v>25</v>
      </c>
      <c r="CS49" s="31">
        <v>8</v>
      </c>
      <c r="CT49" s="31">
        <v>11</v>
      </c>
      <c r="CU49" s="31">
        <v>18</v>
      </c>
      <c r="CV49" s="31">
        <v>9</v>
      </c>
      <c r="CW49" s="31">
        <v>8</v>
      </c>
      <c r="CX49" s="31">
        <v>24</v>
      </c>
      <c r="CY49" s="31">
        <v>8</v>
      </c>
      <c r="CZ49" s="31">
        <v>6</v>
      </c>
      <c r="DA49" s="31">
        <v>22</v>
      </c>
      <c r="DB49" s="31">
        <v>6</v>
      </c>
      <c r="DC49" s="31">
        <v>6</v>
      </c>
      <c r="DD49" s="31">
        <v>28</v>
      </c>
      <c r="DE49" s="31">
        <v>5</v>
      </c>
      <c r="DF49" s="31">
        <v>6</v>
      </c>
      <c r="DG49" s="31">
        <v>37</v>
      </c>
      <c r="DH49" s="31">
        <v>6</v>
      </c>
      <c r="DI49" s="31">
        <v>8</v>
      </c>
      <c r="DJ49" s="31">
        <v>49</v>
      </c>
      <c r="DK49" s="31">
        <v>9</v>
      </c>
      <c r="DL49" s="31">
        <v>7</v>
      </c>
      <c r="DM49" s="31">
        <v>43</v>
      </c>
      <c r="DN49" s="31">
        <v>8</v>
      </c>
      <c r="DO49" s="31">
        <v>9</v>
      </c>
      <c r="DP49" s="31">
        <v>37</v>
      </c>
      <c r="DQ49" s="31">
        <v>6</v>
      </c>
      <c r="DR49" s="31">
        <v>7</v>
      </c>
      <c r="DS49" s="31">
        <v>34</v>
      </c>
      <c r="DT49" s="31">
        <v>8</v>
      </c>
      <c r="DU49" s="31">
        <v>9</v>
      </c>
      <c r="DV49" s="31">
        <v>31</v>
      </c>
      <c r="DW49" s="31">
        <v>9</v>
      </c>
      <c r="DX49" s="31">
        <v>10</v>
      </c>
      <c r="DY49" s="31">
        <v>35</v>
      </c>
      <c r="DZ49" s="31">
        <v>16</v>
      </c>
      <c r="EA49" s="31">
        <v>12</v>
      </c>
      <c r="EB49" s="31">
        <v>49</v>
      </c>
      <c r="EC49" s="31">
        <v>14</v>
      </c>
      <c r="ED49" s="31">
        <v>16</v>
      </c>
      <c r="EE49" s="31">
        <v>45</v>
      </c>
      <c r="EF49" s="31">
        <v>13</v>
      </c>
      <c r="EG49" s="31">
        <v>19</v>
      </c>
      <c r="EH49" s="31">
        <v>41</v>
      </c>
      <c r="EI49" s="31">
        <v>18</v>
      </c>
      <c r="EJ49" s="31">
        <v>16</v>
      </c>
      <c r="EK49" s="31">
        <v>49</v>
      </c>
      <c r="EL49" s="31">
        <v>25</v>
      </c>
      <c r="EM49" s="31">
        <v>14</v>
      </c>
      <c r="EN49" s="31">
        <v>58</v>
      </c>
      <c r="EO49" s="31">
        <v>29</v>
      </c>
      <c r="EP49" s="31">
        <v>19</v>
      </c>
      <c r="EQ49" s="31">
        <v>51</v>
      </c>
      <c r="ER49" s="31">
        <v>27</v>
      </c>
      <c r="ES49" s="31">
        <v>20</v>
      </c>
      <c r="ET49" s="31">
        <v>48</v>
      </c>
      <c r="EU49" s="31">
        <v>26</v>
      </c>
      <c r="EV49" s="31">
        <v>25</v>
      </c>
      <c r="EW49" s="31">
        <v>56</v>
      </c>
      <c r="EX49" s="31">
        <v>24</v>
      </c>
      <c r="EY49" s="31">
        <v>28</v>
      </c>
      <c r="EZ49" s="31">
        <v>52</v>
      </c>
      <c r="FA49" s="31">
        <v>26</v>
      </c>
      <c r="FB49" s="31">
        <v>22</v>
      </c>
      <c r="FC49" s="31">
        <v>58</v>
      </c>
      <c r="FD49" s="31">
        <v>33</v>
      </c>
      <c r="FE49" s="31">
        <v>29</v>
      </c>
      <c r="FF49" s="31">
        <v>56</v>
      </c>
      <c r="FG49" s="31">
        <v>32</v>
      </c>
      <c r="FH49" s="31">
        <v>21</v>
      </c>
      <c r="FI49" s="31">
        <v>64</v>
      </c>
      <c r="FJ49" s="31">
        <v>38</v>
      </c>
      <c r="FK49" s="31">
        <v>20</v>
      </c>
      <c r="FL49" s="64">
        <v>56</v>
      </c>
      <c r="FM49" s="64">
        <v>32</v>
      </c>
      <c r="FN49" s="64">
        <v>18</v>
      </c>
      <c r="FO49" s="31">
        <v>55</v>
      </c>
      <c r="FP49" s="31">
        <v>29</v>
      </c>
      <c r="FQ49" s="31">
        <v>25</v>
      </c>
      <c r="FR49" s="64">
        <v>53</v>
      </c>
      <c r="FS49" s="64">
        <v>24</v>
      </c>
      <c r="FT49" s="64">
        <v>24</v>
      </c>
      <c r="FU49" s="64">
        <v>51</v>
      </c>
      <c r="FV49" s="64">
        <v>23</v>
      </c>
      <c r="FW49" s="64">
        <v>33</v>
      </c>
      <c r="FX49" s="62">
        <v>48</v>
      </c>
      <c r="FY49" s="62">
        <v>25</v>
      </c>
      <c r="FZ49" s="62">
        <v>28</v>
      </c>
      <c r="GA49" s="62">
        <v>59</v>
      </c>
      <c r="GB49" s="62">
        <v>23</v>
      </c>
      <c r="GC49" s="62">
        <v>33</v>
      </c>
      <c r="GD49" s="62">
        <v>64</v>
      </c>
      <c r="GE49" s="62">
        <v>25</v>
      </c>
      <c r="GF49" s="62">
        <v>28</v>
      </c>
      <c r="GG49" s="62">
        <v>66</v>
      </c>
      <c r="GH49" s="62">
        <v>28</v>
      </c>
      <c r="GI49" s="62">
        <v>35</v>
      </c>
      <c r="GJ49" s="62">
        <v>69</v>
      </c>
      <c r="GK49" s="62">
        <v>23</v>
      </c>
      <c r="GL49" s="62">
        <v>37</v>
      </c>
      <c r="GM49" s="62">
        <v>62</v>
      </c>
      <c r="GN49" s="62">
        <v>28</v>
      </c>
      <c r="GO49" s="62">
        <v>31</v>
      </c>
      <c r="GP49" s="62">
        <v>59</v>
      </c>
      <c r="GQ49" s="62">
        <v>23</v>
      </c>
      <c r="GR49" s="62">
        <v>30</v>
      </c>
      <c r="GS49" s="62">
        <v>52</v>
      </c>
      <c r="GT49" s="62">
        <v>26</v>
      </c>
      <c r="GU49" s="62">
        <v>37</v>
      </c>
      <c r="GV49" s="62">
        <v>74</v>
      </c>
      <c r="GW49" s="62">
        <v>55</v>
      </c>
      <c r="GX49" s="62">
        <v>41</v>
      </c>
      <c r="GY49" s="67">
        <v>100</v>
      </c>
      <c r="GZ49" s="62">
        <v>58</v>
      </c>
      <c r="HA49" s="62">
        <v>74</v>
      </c>
      <c r="HB49" s="67">
        <v>100</v>
      </c>
      <c r="HC49" s="62">
        <v>64</v>
      </c>
      <c r="HD49" s="62">
        <v>82</v>
      </c>
      <c r="HE49" s="62">
        <v>86</v>
      </c>
      <c r="HF49" s="62">
        <v>62</v>
      </c>
      <c r="HG49" s="62">
        <v>79</v>
      </c>
      <c r="HH49" s="62">
        <v>78</v>
      </c>
      <c r="HI49" s="62">
        <v>60</v>
      </c>
      <c r="HJ49" s="62">
        <v>71</v>
      </c>
      <c r="HK49" s="67">
        <v>100</v>
      </c>
      <c r="HL49" s="62">
        <v>69</v>
      </c>
      <c r="HM49" s="62">
        <v>78</v>
      </c>
      <c r="HN49" s="67">
        <v>100</v>
      </c>
      <c r="HO49" s="62">
        <v>60</v>
      </c>
      <c r="HP49" s="62">
        <v>85</v>
      </c>
      <c r="HQ49" s="68">
        <v>100</v>
      </c>
      <c r="HR49" s="63">
        <v>68</v>
      </c>
      <c r="HS49" s="63">
        <v>79</v>
      </c>
      <c r="HT49" s="67">
        <v>100</v>
      </c>
      <c r="HU49" s="62">
        <v>72</v>
      </c>
      <c r="HV49" s="62">
        <v>88</v>
      </c>
      <c r="HW49" s="67">
        <v>100</v>
      </c>
      <c r="HX49" s="62">
        <v>70</v>
      </c>
      <c r="HY49" s="62">
        <v>82</v>
      </c>
      <c r="HZ49" s="67">
        <v>100</v>
      </c>
      <c r="IA49" s="62">
        <v>74</v>
      </c>
      <c r="IB49" s="62">
        <v>77</v>
      </c>
      <c r="IC49" s="68">
        <v>100</v>
      </c>
      <c r="ID49" s="63">
        <v>70</v>
      </c>
      <c r="IE49" s="63">
        <v>78</v>
      </c>
      <c r="IF49" s="67">
        <v>100</v>
      </c>
      <c r="IG49" s="67">
        <v>100</v>
      </c>
      <c r="IH49" s="67">
        <v>100</v>
      </c>
      <c r="II49" s="67">
        <v>100</v>
      </c>
      <c r="IJ49" s="67">
        <v>100</v>
      </c>
      <c r="IK49" s="67">
        <v>100</v>
      </c>
      <c r="IL49" s="16" t="s">
        <v>126</v>
      </c>
      <c r="IM49" s="16" t="s">
        <v>126</v>
      </c>
      <c r="IN49" s="16" t="s">
        <v>126</v>
      </c>
      <c r="IO49" s="16" t="s">
        <v>126</v>
      </c>
      <c r="IP49" s="16" t="s">
        <v>126</v>
      </c>
      <c r="IQ49" s="16" t="s">
        <v>126</v>
      </c>
      <c r="IR49" s="16" t="s">
        <v>126</v>
      </c>
      <c r="IS49" s="59">
        <f t="shared" si="2"/>
        <v>0</v>
      </c>
      <c r="IT49" s="185"/>
      <c r="IU49" s="18"/>
      <c r="IV49" s="18"/>
      <c r="IW49" s="18"/>
      <c r="IX49" s="18"/>
      <c r="IY49" s="18"/>
      <c r="IZ49" s="18"/>
      <c r="JA49" s="18"/>
      <c r="JB49" s="18"/>
      <c r="JC49" s="18"/>
      <c r="JD49" s="18"/>
      <c r="JE49" s="18"/>
      <c r="JF49" s="18"/>
      <c r="JG49" s="18"/>
      <c r="JH49" s="18"/>
      <c r="JI49" s="18"/>
      <c r="JJ49" s="18"/>
      <c r="JK49" s="18"/>
      <c r="JL49" s="18"/>
      <c r="JM49" s="18"/>
    </row>
    <row r="50" spans="1:273" ht="13.5" customHeight="1">
      <c r="A50" s="97">
        <v>46</v>
      </c>
      <c r="B50" s="77" t="s">
        <v>195</v>
      </c>
      <c r="C50" s="30" t="s">
        <v>126</v>
      </c>
      <c r="D50" s="19" t="s">
        <v>126</v>
      </c>
      <c r="E50" s="19" t="s">
        <v>126</v>
      </c>
      <c r="F50" s="31" t="s">
        <v>126</v>
      </c>
      <c r="G50" s="31" t="s">
        <v>126</v>
      </c>
      <c r="H50" s="31" t="s">
        <v>126</v>
      </c>
      <c r="I50" s="78">
        <v>100</v>
      </c>
      <c r="J50" s="78">
        <v>100</v>
      </c>
      <c r="K50" s="78">
        <v>100</v>
      </c>
      <c r="L50" s="78">
        <v>100</v>
      </c>
      <c r="M50" s="78">
        <v>100</v>
      </c>
      <c r="N50" s="78">
        <v>100</v>
      </c>
      <c r="O50" s="78">
        <v>100</v>
      </c>
      <c r="P50" s="78">
        <v>100</v>
      </c>
      <c r="Q50" s="78">
        <v>100</v>
      </c>
      <c r="R50" s="78">
        <v>100</v>
      </c>
      <c r="S50" s="78">
        <v>100</v>
      </c>
      <c r="T50" s="78">
        <v>100</v>
      </c>
      <c r="U50" s="31">
        <v>75</v>
      </c>
      <c r="V50" s="78">
        <v>100</v>
      </c>
      <c r="W50" s="78">
        <v>100</v>
      </c>
      <c r="X50" s="31">
        <v>71</v>
      </c>
      <c r="Y50" s="78">
        <v>100</v>
      </c>
      <c r="Z50" s="78">
        <v>100</v>
      </c>
      <c r="AA50" s="31">
        <v>86</v>
      </c>
      <c r="AB50" s="78">
        <v>100</v>
      </c>
      <c r="AC50" s="78">
        <v>100</v>
      </c>
      <c r="AD50" s="31">
        <v>71</v>
      </c>
      <c r="AE50" s="78">
        <v>100</v>
      </c>
      <c r="AF50" s="78">
        <v>100</v>
      </c>
      <c r="AG50" s="31">
        <v>68</v>
      </c>
      <c r="AH50" s="78">
        <v>100</v>
      </c>
      <c r="AI50" s="78">
        <v>100</v>
      </c>
      <c r="AJ50" s="31">
        <v>63</v>
      </c>
      <c r="AK50" s="78">
        <v>100</v>
      </c>
      <c r="AL50" s="78">
        <v>100</v>
      </c>
      <c r="AM50" s="31">
        <v>54</v>
      </c>
      <c r="AN50" s="78">
        <v>100</v>
      </c>
      <c r="AO50" s="78">
        <v>100</v>
      </c>
      <c r="AP50" s="31">
        <v>51</v>
      </c>
      <c r="AQ50" s="78">
        <v>100</v>
      </c>
      <c r="AR50" s="78">
        <v>100</v>
      </c>
      <c r="AS50" s="31">
        <v>48</v>
      </c>
      <c r="AT50" s="78">
        <v>100</v>
      </c>
      <c r="AU50" s="78">
        <v>100</v>
      </c>
      <c r="AV50" s="31">
        <v>48</v>
      </c>
      <c r="AW50" s="78">
        <v>100</v>
      </c>
      <c r="AX50" s="78">
        <v>100</v>
      </c>
      <c r="AY50" s="31">
        <v>32</v>
      </c>
      <c r="AZ50" s="31">
        <v>63</v>
      </c>
      <c r="BA50" s="78">
        <v>100</v>
      </c>
      <c r="BB50" s="78">
        <v>100</v>
      </c>
      <c r="BC50" s="31">
        <v>62</v>
      </c>
      <c r="BD50" s="78">
        <v>100</v>
      </c>
      <c r="BE50" s="78">
        <v>100</v>
      </c>
      <c r="BF50" s="31">
        <v>55</v>
      </c>
      <c r="BG50" s="78">
        <v>100</v>
      </c>
      <c r="BH50" s="31">
        <v>65</v>
      </c>
      <c r="BI50" s="31">
        <v>46</v>
      </c>
      <c r="BJ50" s="31">
        <v>87</v>
      </c>
      <c r="BK50" s="31">
        <v>67</v>
      </c>
      <c r="BL50" s="31">
        <v>58</v>
      </c>
      <c r="BM50" s="31">
        <v>82</v>
      </c>
      <c r="BN50" s="31">
        <v>69</v>
      </c>
      <c r="BO50" s="31">
        <v>56</v>
      </c>
      <c r="BP50" s="31">
        <v>78</v>
      </c>
      <c r="BQ50" s="31">
        <v>64</v>
      </c>
      <c r="BR50" s="31">
        <v>59</v>
      </c>
      <c r="BS50" s="31">
        <v>71</v>
      </c>
      <c r="BT50" s="31">
        <v>53</v>
      </c>
      <c r="BU50" s="31">
        <v>46</v>
      </c>
      <c r="BV50" s="31">
        <v>68</v>
      </c>
      <c r="BW50" s="31">
        <v>46</v>
      </c>
      <c r="BX50" s="31">
        <v>42</v>
      </c>
      <c r="BY50" s="31">
        <v>60</v>
      </c>
      <c r="BZ50" s="31">
        <v>41</v>
      </c>
      <c r="CA50" s="31">
        <v>25</v>
      </c>
      <c r="CB50" s="31">
        <v>44</v>
      </c>
      <c r="CC50" s="31">
        <v>26</v>
      </c>
      <c r="CD50" s="31">
        <v>19</v>
      </c>
      <c r="CE50" s="31">
        <v>32</v>
      </c>
      <c r="CF50" s="31">
        <v>25</v>
      </c>
      <c r="CG50" s="31">
        <v>22</v>
      </c>
      <c r="CH50" s="31">
        <v>27</v>
      </c>
      <c r="CI50" s="31">
        <v>21</v>
      </c>
      <c r="CJ50" s="31">
        <v>18</v>
      </c>
      <c r="CK50" s="31">
        <v>20</v>
      </c>
      <c r="CL50" s="31">
        <v>18</v>
      </c>
      <c r="CM50" s="31">
        <v>21</v>
      </c>
      <c r="CN50" s="31">
        <v>24</v>
      </c>
      <c r="CO50" s="31">
        <v>17</v>
      </c>
      <c r="CP50" s="31">
        <v>20</v>
      </c>
      <c r="CQ50" s="31">
        <v>19</v>
      </c>
      <c r="CR50" s="31">
        <v>25</v>
      </c>
      <c r="CS50" s="31">
        <v>18</v>
      </c>
      <c r="CT50" s="31">
        <v>27</v>
      </c>
      <c r="CU50" s="31">
        <v>37</v>
      </c>
      <c r="CV50" s="31">
        <v>15</v>
      </c>
      <c r="CW50" s="31">
        <v>22</v>
      </c>
      <c r="CX50" s="31">
        <v>32</v>
      </c>
      <c r="CY50" s="31">
        <v>19</v>
      </c>
      <c r="CZ50" s="31">
        <v>18</v>
      </c>
      <c r="DA50" s="31">
        <v>24</v>
      </c>
      <c r="DB50" s="31">
        <v>18</v>
      </c>
      <c r="DC50" s="31">
        <v>15</v>
      </c>
      <c r="DD50" s="31">
        <v>22</v>
      </c>
      <c r="DE50" s="31">
        <v>13</v>
      </c>
      <c r="DF50" s="31">
        <v>15</v>
      </c>
      <c r="DG50" s="31">
        <v>19</v>
      </c>
      <c r="DH50" s="31">
        <v>16</v>
      </c>
      <c r="DI50" s="31">
        <v>18</v>
      </c>
      <c r="DJ50" s="31">
        <v>12</v>
      </c>
      <c r="DK50" s="31">
        <v>11</v>
      </c>
      <c r="DL50" s="31">
        <v>14</v>
      </c>
      <c r="DM50" s="31">
        <v>11</v>
      </c>
      <c r="DN50" s="31">
        <v>19</v>
      </c>
      <c r="DO50" s="31">
        <v>9</v>
      </c>
      <c r="DP50" s="31">
        <v>14</v>
      </c>
      <c r="DQ50" s="31">
        <v>17</v>
      </c>
      <c r="DR50" s="31">
        <v>6</v>
      </c>
      <c r="DS50" s="31">
        <v>13</v>
      </c>
      <c r="DT50" s="31">
        <v>15</v>
      </c>
      <c r="DU50" s="31">
        <v>5</v>
      </c>
      <c r="DV50" s="31">
        <v>9</v>
      </c>
      <c r="DW50" s="31">
        <v>14</v>
      </c>
      <c r="DX50" s="31">
        <v>3</v>
      </c>
      <c r="DY50" s="31">
        <v>5</v>
      </c>
      <c r="DZ50" s="31">
        <v>10</v>
      </c>
      <c r="EA50" s="31">
        <v>5</v>
      </c>
      <c r="EB50" s="31">
        <v>8</v>
      </c>
      <c r="EC50" s="31">
        <v>7</v>
      </c>
      <c r="ED50" s="31">
        <v>9</v>
      </c>
      <c r="EE50" s="31">
        <v>5</v>
      </c>
      <c r="EF50" s="31">
        <v>6</v>
      </c>
      <c r="EG50" s="31">
        <v>4</v>
      </c>
      <c r="EH50" s="31">
        <v>4</v>
      </c>
      <c r="EI50" s="31">
        <v>5</v>
      </c>
      <c r="EJ50" s="31">
        <v>3</v>
      </c>
      <c r="EK50" s="31">
        <v>8</v>
      </c>
      <c r="EL50" s="31">
        <v>6</v>
      </c>
      <c r="EM50" s="31">
        <v>8</v>
      </c>
      <c r="EN50" s="31">
        <v>6</v>
      </c>
      <c r="EO50" s="31">
        <v>5</v>
      </c>
      <c r="EP50" s="31">
        <v>7</v>
      </c>
      <c r="EQ50" s="31">
        <v>8</v>
      </c>
      <c r="ER50" s="31">
        <v>4</v>
      </c>
      <c r="ES50" s="31">
        <v>6</v>
      </c>
      <c r="ET50" s="31">
        <v>10</v>
      </c>
      <c r="EU50" s="31">
        <v>7</v>
      </c>
      <c r="EV50" s="31">
        <v>5</v>
      </c>
      <c r="EW50" s="31">
        <v>9</v>
      </c>
      <c r="EX50" s="31">
        <v>5</v>
      </c>
      <c r="EY50" s="31">
        <v>7</v>
      </c>
      <c r="EZ50" s="31">
        <v>7</v>
      </c>
      <c r="FA50" s="31">
        <v>4</v>
      </c>
      <c r="FB50" s="31">
        <v>5</v>
      </c>
      <c r="FC50" s="31">
        <v>6</v>
      </c>
      <c r="FD50" s="31">
        <v>8</v>
      </c>
      <c r="FE50" s="31">
        <v>5</v>
      </c>
      <c r="FF50" s="31">
        <v>18</v>
      </c>
      <c r="FG50" s="31">
        <v>6</v>
      </c>
      <c r="FH50" s="31">
        <v>9</v>
      </c>
      <c r="FI50" s="31">
        <v>16</v>
      </c>
      <c r="FJ50" s="31">
        <v>5</v>
      </c>
      <c r="FK50" s="31">
        <v>7</v>
      </c>
      <c r="FL50" s="31">
        <v>14</v>
      </c>
      <c r="FM50" s="31">
        <v>4</v>
      </c>
      <c r="FN50" s="31">
        <v>6</v>
      </c>
      <c r="FO50" s="31">
        <v>16</v>
      </c>
      <c r="FP50" s="31">
        <v>9</v>
      </c>
      <c r="FQ50" s="31">
        <v>5</v>
      </c>
      <c r="FR50" s="31">
        <v>15</v>
      </c>
      <c r="FS50" s="64">
        <v>8</v>
      </c>
      <c r="FT50" s="64">
        <v>9</v>
      </c>
      <c r="FU50" s="64">
        <v>18</v>
      </c>
      <c r="FV50" s="64">
        <v>6</v>
      </c>
      <c r="FW50" s="64">
        <v>7</v>
      </c>
      <c r="FX50" s="62">
        <v>25</v>
      </c>
      <c r="FY50" s="62">
        <v>8</v>
      </c>
      <c r="FZ50" s="62">
        <v>9</v>
      </c>
      <c r="GA50" s="62">
        <v>20</v>
      </c>
      <c r="GB50" s="62">
        <v>6</v>
      </c>
      <c r="GC50" s="62">
        <v>4</v>
      </c>
      <c r="GD50" s="62">
        <v>19</v>
      </c>
      <c r="GE50" s="62">
        <v>5</v>
      </c>
      <c r="GF50" s="62">
        <v>5</v>
      </c>
      <c r="GG50" s="62">
        <v>25</v>
      </c>
      <c r="GH50" s="62">
        <v>8</v>
      </c>
      <c r="GI50" s="62">
        <v>4</v>
      </c>
      <c r="GJ50" s="62">
        <v>23</v>
      </c>
      <c r="GK50" s="62">
        <v>5</v>
      </c>
      <c r="GL50" s="62">
        <v>6</v>
      </c>
      <c r="GM50" s="62">
        <v>20</v>
      </c>
      <c r="GN50" s="62">
        <v>4</v>
      </c>
      <c r="GO50" s="62">
        <v>4</v>
      </c>
      <c r="GP50" s="62">
        <v>28</v>
      </c>
      <c r="GQ50" s="62">
        <v>9</v>
      </c>
      <c r="GR50" s="62">
        <v>6</v>
      </c>
      <c r="GS50" s="62">
        <v>36</v>
      </c>
      <c r="GT50" s="62">
        <v>8</v>
      </c>
      <c r="GU50" s="62">
        <v>9</v>
      </c>
      <c r="GV50" s="62">
        <v>42</v>
      </c>
      <c r="GW50" s="62">
        <v>6</v>
      </c>
      <c r="GX50" s="62">
        <v>9</v>
      </c>
      <c r="GY50" s="62">
        <v>45</v>
      </c>
      <c r="GZ50" s="62">
        <v>8</v>
      </c>
      <c r="HA50" s="62">
        <v>7</v>
      </c>
      <c r="HB50" s="62">
        <v>42</v>
      </c>
      <c r="HC50" s="62">
        <v>6</v>
      </c>
      <c r="HD50" s="62">
        <v>8</v>
      </c>
      <c r="HE50" s="62">
        <v>36</v>
      </c>
      <c r="HF50" s="62">
        <v>8</v>
      </c>
      <c r="HG50" s="62">
        <v>9</v>
      </c>
      <c r="HH50" s="62">
        <v>45</v>
      </c>
      <c r="HI50" s="62">
        <v>7</v>
      </c>
      <c r="HJ50" s="62">
        <v>6</v>
      </c>
      <c r="HK50" s="62">
        <v>42</v>
      </c>
      <c r="HL50" s="62">
        <v>5</v>
      </c>
      <c r="HM50" s="62">
        <v>4</v>
      </c>
      <c r="HN50" s="62">
        <v>38</v>
      </c>
      <c r="HO50" s="62">
        <v>4</v>
      </c>
      <c r="HP50" s="62">
        <v>4</v>
      </c>
      <c r="HQ50" s="63">
        <v>31</v>
      </c>
      <c r="HR50" s="63">
        <v>3</v>
      </c>
      <c r="HS50" s="63">
        <v>3</v>
      </c>
      <c r="HT50" s="62">
        <v>73</v>
      </c>
      <c r="HU50" s="62">
        <v>6</v>
      </c>
      <c r="HV50" s="62">
        <v>4</v>
      </c>
      <c r="HW50" s="62">
        <v>68</v>
      </c>
      <c r="HX50" s="62">
        <v>5</v>
      </c>
      <c r="HY50" s="62">
        <v>5</v>
      </c>
      <c r="HZ50" s="62">
        <v>66</v>
      </c>
      <c r="IA50" s="62">
        <v>6</v>
      </c>
      <c r="IB50" s="62">
        <v>6</v>
      </c>
      <c r="IC50" s="63">
        <v>64</v>
      </c>
      <c r="ID50" s="63">
        <v>6</v>
      </c>
      <c r="IE50" s="63">
        <v>7</v>
      </c>
      <c r="IF50" s="62">
        <v>62</v>
      </c>
      <c r="IG50" s="62">
        <v>65</v>
      </c>
      <c r="IH50" s="62">
        <v>67</v>
      </c>
      <c r="II50" s="62">
        <v>57</v>
      </c>
      <c r="IJ50" s="62">
        <v>51</v>
      </c>
      <c r="IK50" s="62">
        <v>47</v>
      </c>
      <c r="IL50" s="62">
        <v>60</v>
      </c>
      <c r="IM50" s="62">
        <v>72</v>
      </c>
      <c r="IN50" s="62">
        <v>88</v>
      </c>
      <c r="IO50" s="62">
        <v>88</v>
      </c>
      <c r="IP50" s="62">
        <v>87</v>
      </c>
      <c r="IQ50" s="62">
        <v>87</v>
      </c>
      <c r="IR50" s="62">
        <v>87</v>
      </c>
      <c r="IS50" s="59">
        <f t="shared" si="2"/>
        <v>0</v>
      </c>
      <c r="IT50" s="186"/>
      <c r="IU50" s="18"/>
      <c r="IV50" s="21"/>
      <c r="IW50" s="21"/>
      <c r="IX50" s="18"/>
      <c r="IY50" s="18"/>
      <c r="IZ50" s="18"/>
      <c r="JA50" s="18"/>
      <c r="JB50" s="18"/>
      <c r="JC50" s="18"/>
      <c r="JD50" s="18"/>
      <c r="JE50" s="18"/>
      <c r="JF50" s="18"/>
      <c r="JG50" s="18"/>
      <c r="JH50" s="18"/>
      <c r="JI50" s="18"/>
      <c r="JJ50" s="18"/>
      <c r="JK50" s="18"/>
      <c r="JL50" s="18"/>
      <c r="JM50" s="18"/>
    </row>
    <row r="51" spans="1:273" ht="13.5" customHeight="1">
      <c r="A51" s="97">
        <v>47</v>
      </c>
      <c r="B51" s="77" t="s">
        <v>196</v>
      </c>
      <c r="C51" s="5">
        <v>1300</v>
      </c>
      <c r="D51" s="5">
        <v>1000</v>
      </c>
      <c r="E51" s="5">
        <v>590</v>
      </c>
      <c r="F51" s="16" t="s">
        <v>126</v>
      </c>
      <c r="G51" s="31" t="s">
        <v>126</v>
      </c>
      <c r="H51" s="31" t="s">
        <v>126</v>
      </c>
      <c r="I51" s="31" t="s">
        <v>126</v>
      </c>
      <c r="J51" s="31" t="s">
        <v>126</v>
      </c>
      <c r="K51" s="31" t="s">
        <v>126</v>
      </c>
      <c r="L51" s="31" t="s">
        <v>126</v>
      </c>
      <c r="M51" s="31" t="s">
        <v>126</v>
      </c>
      <c r="N51" s="31" t="s">
        <v>126</v>
      </c>
      <c r="O51" s="31" t="s">
        <v>126</v>
      </c>
      <c r="P51" s="31" t="s">
        <v>126</v>
      </c>
      <c r="Q51" s="31" t="s">
        <v>126</v>
      </c>
      <c r="R51" s="31" t="s">
        <v>126</v>
      </c>
      <c r="S51" s="31" t="s">
        <v>126</v>
      </c>
      <c r="T51" s="31" t="s">
        <v>126</v>
      </c>
      <c r="U51" s="31" t="s">
        <v>126</v>
      </c>
      <c r="V51" s="31" t="s">
        <v>126</v>
      </c>
      <c r="W51" s="16" t="s">
        <v>126</v>
      </c>
      <c r="X51" s="16" t="s">
        <v>126</v>
      </c>
      <c r="Y51" s="16" t="s">
        <v>126</v>
      </c>
      <c r="Z51" s="16" t="s">
        <v>126</v>
      </c>
      <c r="AA51" s="16" t="s">
        <v>126</v>
      </c>
      <c r="AB51" s="16" t="s">
        <v>126</v>
      </c>
      <c r="AC51" s="16" t="s">
        <v>126</v>
      </c>
      <c r="AD51" s="16" t="s">
        <v>126</v>
      </c>
      <c r="AE51" s="16" t="s">
        <v>126</v>
      </c>
      <c r="AF51" s="16" t="s">
        <v>126</v>
      </c>
      <c r="AG51" s="16" t="s">
        <v>126</v>
      </c>
      <c r="AH51" s="16" t="s">
        <v>126</v>
      </c>
      <c r="AI51" s="16" t="s">
        <v>126</v>
      </c>
      <c r="AJ51" s="16" t="s">
        <v>126</v>
      </c>
      <c r="AK51" s="16" t="s">
        <v>126</v>
      </c>
      <c r="AL51" s="16" t="s">
        <v>126</v>
      </c>
      <c r="AM51" s="16" t="s">
        <v>126</v>
      </c>
      <c r="AN51" s="16" t="s">
        <v>126</v>
      </c>
      <c r="AO51" s="16" t="s">
        <v>126</v>
      </c>
      <c r="AP51" s="16" t="s">
        <v>126</v>
      </c>
      <c r="AQ51" s="16" t="s">
        <v>126</v>
      </c>
      <c r="AR51" s="91"/>
      <c r="AS51" s="16" t="s">
        <v>126</v>
      </c>
      <c r="AT51" s="16" t="s">
        <v>126</v>
      </c>
      <c r="AU51" s="91"/>
      <c r="AV51" s="16" t="s">
        <v>126</v>
      </c>
      <c r="AW51" s="16" t="s">
        <v>126</v>
      </c>
      <c r="AX51" s="16" t="s">
        <v>126</v>
      </c>
      <c r="AY51" s="16" t="s">
        <v>126</v>
      </c>
      <c r="AZ51" s="16" t="s">
        <v>126</v>
      </c>
      <c r="BA51" s="16" t="s">
        <v>126</v>
      </c>
      <c r="BB51" s="16" t="s">
        <v>126</v>
      </c>
      <c r="BC51" s="16" t="s">
        <v>126</v>
      </c>
      <c r="BD51" s="16" t="s">
        <v>126</v>
      </c>
      <c r="BE51" s="6" t="s">
        <v>126</v>
      </c>
      <c r="BF51" s="16" t="s">
        <v>126</v>
      </c>
      <c r="BG51" s="16" t="s">
        <v>126</v>
      </c>
      <c r="BH51" s="16" t="s">
        <v>126</v>
      </c>
      <c r="BI51" s="16" t="s">
        <v>126</v>
      </c>
      <c r="BJ51" s="16" t="s">
        <v>126</v>
      </c>
      <c r="BK51" s="16" t="s">
        <v>126</v>
      </c>
      <c r="BL51" s="16" t="s">
        <v>126</v>
      </c>
      <c r="BM51" s="16" t="s">
        <v>126</v>
      </c>
      <c r="BN51" s="16" t="s">
        <v>126</v>
      </c>
      <c r="BO51" s="16" t="s">
        <v>126</v>
      </c>
      <c r="BP51" s="16" t="s">
        <v>126</v>
      </c>
      <c r="BQ51" s="16" t="s">
        <v>126</v>
      </c>
      <c r="BR51" s="16" t="s">
        <v>126</v>
      </c>
      <c r="BS51" s="16" t="s">
        <v>126</v>
      </c>
      <c r="BT51" s="16" t="s">
        <v>126</v>
      </c>
      <c r="BU51" s="16" t="s">
        <v>126</v>
      </c>
      <c r="BV51" s="6" t="s">
        <v>126</v>
      </c>
      <c r="BW51" s="16" t="s">
        <v>126</v>
      </c>
      <c r="BX51" s="16" t="s">
        <v>126</v>
      </c>
      <c r="BY51" s="16" t="s">
        <v>126</v>
      </c>
      <c r="BZ51" s="16" t="s">
        <v>126</v>
      </c>
      <c r="CA51" s="16" t="s">
        <v>126</v>
      </c>
      <c r="CB51" s="16" t="s">
        <v>126</v>
      </c>
      <c r="CC51" s="16" t="s">
        <v>126</v>
      </c>
      <c r="CD51" s="16" t="s">
        <v>126</v>
      </c>
      <c r="CE51" s="16" t="s">
        <v>126</v>
      </c>
      <c r="CF51" s="16" t="s">
        <v>126</v>
      </c>
      <c r="CG51" s="16" t="s">
        <v>126</v>
      </c>
      <c r="CH51" s="16" t="s">
        <v>126</v>
      </c>
      <c r="CI51" s="16" t="s">
        <v>126</v>
      </c>
      <c r="CJ51" s="16" t="s">
        <v>126</v>
      </c>
      <c r="CK51" s="16" t="s">
        <v>126</v>
      </c>
      <c r="CL51" s="16" t="s">
        <v>126</v>
      </c>
      <c r="CM51" s="16" t="s">
        <v>126</v>
      </c>
      <c r="CN51" s="16" t="s">
        <v>126</v>
      </c>
      <c r="CO51" s="16" t="s">
        <v>126</v>
      </c>
      <c r="CP51" s="16" t="s">
        <v>126</v>
      </c>
      <c r="CQ51" s="16" t="s">
        <v>126</v>
      </c>
      <c r="CR51" s="16" t="s">
        <v>126</v>
      </c>
      <c r="CS51" s="16" t="s">
        <v>126</v>
      </c>
      <c r="CT51" s="16" t="s">
        <v>126</v>
      </c>
      <c r="CU51" s="16" t="s">
        <v>126</v>
      </c>
      <c r="CV51" s="16" t="s">
        <v>126</v>
      </c>
      <c r="CW51" s="16" t="s">
        <v>126</v>
      </c>
      <c r="CX51" s="16" t="s">
        <v>126</v>
      </c>
      <c r="CY51" s="16" t="s">
        <v>126</v>
      </c>
      <c r="CZ51" s="16" t="s">
        <v>126</v>
      </c>
      <c r="DA51" s="16" t="s">
        <v>126</v>
      </c>
      <c r="DB51" s="16" t="s">
        <v>126</v>
      </c>
      <c r="DC51" s="16" t="s">
        <v>126</v>
      </c>
      <c r="DD51" s="16" t="s">
        <v>126</v>
      </c>
      <c r="DE51" s="16" t="s">
        <v>126</v>
      </c>
      <c r="DF51" s="16" t="s">
        <v>126</v>
      </c>
      <c r="DG51" s="16" t="s">
        <v>126</v>
      </c>
      <c r="DH51" s="16" t="s">
        <v>126</v>
      </c>
      <c r="DI51" s="16" t="s">
        <v>126</v>
      </c>
      <c r="DJ51" s="16" t="s">
        <v>126</v>
      </c>
      <c r="DK51" s="16" t="s">
        <v>126</v>
      </c>
      <c r="DL51" s="16" t="s">
        <v>126</v>
      </c>
      <c r="DM51" s="16" t="s">
        <v>126</v>
      </c>
      <c r="DN51" s="16" t="s">
        <v>126</v>
      </c>
      <c r="DO51" s="16" t="s">
        <v>126</v>
      </c>
      <c r="DP51" s="16" t="s">
        <v>126</v>
      </c>
      <c r="DQ51" s="16" t="s">
        <v>126</v>
      </c>
      <c r="DR51" s="16" t="s">
        <v>126</v>
      </c>
      <c r="DS51" s="16" t="s">
        <v>126</v>
      </c>
      <c r="DT51" s="16" t="s">
        <v>126</v>
      </c>
      <c r="DU51" s="16" t="s">
        <v>126</v>
      </c>
      <c r="DV51" s="16" t="s">
        <v>126</v>
      </c>
      <c r="DW51" s="16" t="s">
        <v>126</v>
      </c>
      <c r="DX51" s="16" t="s">
        <v>126</v>
      </c>
      <c r="DY51" s="16" t="s">
        <v>126</v>
      </c>
      <c r="DZ51" s="16" t="s">
        <v>126</v>
      </c>
      <c r="EA51" s="16" t="s">
        <v>126</v>
      </c>
      <c r="EB51" s="16" t="s">
        <v>126</v>
      </c>
      <c r="EC51" s="16" t="s">
        <v>126</v>
      </c>
      <c r="ED51" s="16" t="s">
        <v>126</v>
      </c>
      <c r="EE51" s="16" t="s">
        <v>126</v>
      </c>
      <c r="EF51" s="16" t="s">
        <v>126</v>
      </c>
      <c r="EG51" s="16" t="s">
        <v>126</v>
      </c>
      <c r="EH51" s="16" t="s">
        <v>126</v>
      </c>
      <c r="EI51" s="16" t="s">
        <v>126</v>
      </c>
      <c r="EJ51" s="16" t="s">
        <v>126</v>
      </c>
      <c r="EK51" s="16" t="s">
        <v>126</v>
      </c>
      <c r="EL51" s="16" t="s">
        <v>126</v>
      </c>
      <c r="EM51" s="16" t="s">
        <v>126</v>
      </c>
      <c r="EN51" s="16" t="s">
        <v>126</v>
      </c>
      <c r="EO51" s="16" t="s">
        <v>126</v>
      </c>
      <c r="EP51" s="16" t="s">
        <v>126</v>
      </c>
      <c r="EQ51" s="16" t="s">
        <v>126</v>
      </c>
      <c r="ER51" s="16" t="s">
        <v>126</v>
      </c>
      <c r="ES51" s="16" t="s">
        <v>126</v>
      </c>
      <c r="ET51" s="16" t="s">
        <v>126</v>
      </c>
      <c r="EU51" s="16" t="s">
        <v>126</v>
      </c>
      <c r="EV51" s="16" t="s">
        <v>126</v>
      </c>
      <c r="EW51" s="16" t="s">
        <v>126</v>
      </c>
      <c r="EX51" s="16" t="s">
        <v>126</v>
      </c>
      <c r="EY51" s="16" t="s">
        <v>126</v>
      </c>
      <c r="EZ51" s="16" t="s">
        <v>126</v>
      </c>
      <c r="FA51" s="16" t="s">
        <v>126</v>
      </c>
      <c r="FB51" s="16" t="s">
        <v>126</v>
      </c>
      <c r="FC51" s="16" t="s">
        <v>126</v>
      </c>
      <c r="FD51" s="16" t="s">
        <v>126</v>
      </c>
      <c r="FE51" s="16" t="s">
        <v>126</v>
      </c>
      <c r="FF51" s="16" t="s">
        <v>126</v>
      </c>
      <c r="FG51" s="16" t="s">
        <v>126</v>
      </c>
      <c r="FH51" s="16" t="s">
        <v>126</v>
      </c>
      <c r="FI51" s="16" t="s">
        <v>126</v>
      </c>
      <c r="FJ51" s="16" t="s">
        <v>126</v>
      </c>
      <c r="FK51" s="16" t="s">
        <v>126</v>
      </c>
      <c r="FL51" s="16" t="s">
        <v>126</v>
      </c>
      <c r="FM51" s="16" t="s">
        <v>126</v>
      </c>
      <c r="FN51" s="16" t="s">
        <v>126</v>
      </c>
      <c r="FO51" s="16" t="s">
        <v>126</v>
      </c>
      <c r="FP51" s="16" t="s">
        <v>126</v>
      </c>
      <c r="FQ51" s="16" t="s">
        <v>126</v>
      </c>
      <c r="FR51" s="16" t="s">
        <v>126</v>
      </c>
      <c r="FS51" s="16" t="s">
        <v>126</v>
      </c>
      <c r="FT51" s="16" t="s">
        <v>126</v>
      </c>
      <c r="FU51" s="16" t="s">
        <v>126</v>
      </c>
      <c r="FV51" s="16" t="s">
        <v>126</v>
      </c>
      <c r="FW51" s="16" t="s">
        <v>126</v>
      </c>
      <c r="FX51" s="16" t="s">
        <v>126</v>
      </c>
      <c r="FY51" s="16" t="s">
        <v>126</v>
      </c>
      <c r="FZ51" s="16" t="s">
        <v>126</v>
      </c>
      <c r="GA51" s="16" t="s">
        <v>126</v>
      </c>
      <c r="GB51" s="16" t="s">
        <v>126</v>
      </c>
      <c r="GC51" s="16" t="s">
        <v>126</v>
      </c>
      <c r="GD51" s="16" t="s">
        <v>126</v>
      </c>
      <c r="GE51" s="16" t="s">
        <v>126</v>
      </c>
      <c r="GF51" s="16" t="s">
        <v>126</v>
      </c>
      <c r="GG51" s="16" t="s">
        <v>126</v>
      </c>
      <c r="GH51" s="16" t="s">
        <v>126</v>
      </c>
      <c r="GI51" s="16" t="s">
        <v>126</v>
      </c>
      <c r="GJ51" s="16" t="s">
        <v>126</v>
      </c>
      <c r="GK51" s="16" t="s">
        <v>126</v>
      </c>
      <c r="GL51" s="16" t="s">
        <v>126</v>
      </c>
      <c r="GM51" s="16" t="s">
        <v>126</v>
      </c>
      <c r="GN51" s="16" t="s">
        <v>126</v>
      </c>
      <c r="GO51" s="16" t="s">
        <v>126</v>
      </c>
      <c r="GP51" s="16" t="s">
        <v>126</v>
      </c>
      <c r="GQ51" s="16" t="s">
        <v>126</v>
      </c>
      <c r="GR51" s="16" t="s">
        <v>126</v>
      </c>
      <c r="GS51" s="16" t="s">
        <v>126</v>
      </c>
      <c r="GT51" s="16" t="s">
        <v>126</v>
      </c>
      <c r="GU51" s="16" t="s">
        <v>126</v>
      </c>
      <c r="GV51" s="16" t="s">
        <v>126</v>
      </c>
      <c r="GW51" s="16" t="s">
        <v>126</v>
      </c>
      <c r="GX51" s="16" t="s">
        <v>126</v>
      </c>
      <c r="GY51" s="16" t="s">
        <v>126</v>
      </c>
      <c r="GZ51" s="16" t="s">
        <v>126</v>
      </c>
      <c r="HA51" s="16" t="s">
        <v>126</v>
      </c>
      <c r="HB51" s="16" t="s">
        <v>126</v>
      </c>
      <c r="HC51" s="16" t="s">
        <v>126</v>
      </c>
      <c r="HD51" s="16" t="s">
        <v>126</v>
      </c>
      <c r="HE51" s="16" t="s">
        <v>126</v>
      </c>
      <c r="HF51" s="16" t="s">
        <v>126</v>
      </c>
      <c r="HG51" s="16" t="s">
        <v>126</v>
      </c>
      <c r="HH51" s="16" t="s">
        <v>126</v>
      </c>
      <c r="HI51" s="16" t="s">
        <v>126</v>
      </c>
      <c r="HJ51" s="16" t="s">
        <v>126</v>
      </c>
      <c r="HK51" s="16" t="s">
        <v>126</v>
      </c>
      <c r="HL51" s="16" t="s">
        <v>126</v>
      </c>
      <c r="HM51" s="16" t="s">
        <v>126</v>
      </c>
      <c r="HN51" s="16" t="s">
        <v>126</v>
      </c>
      <c r="HO51" s="16" t="s">
        <v>126</v>
      </c>
      <c r="HP51" s="16" t="s">
        <v>126</v>
      </c>
      <c r="HQ51" s="16" t="s">
        <v>126</v>
      </c>
      <c r="HR51" s="16" t="s">
        <v>126</v>
      </c>
      <c r="HS51" s="16" t="s">
        <v>126</v>
      </c>
      <c r="HT51" s="16" t="s">
        <v>126</v>
      </c>
      <c r="HU51" s="16" t="s">
        <v>126</v>
      </c>
      <c r="HV51" s="16" t="s">
        <v>126</v>
      </c>
      <c r="HW51" s="16" t="s">
        <v>126</v>
      </c>
      <c r="HX51" s="16" t="s">
        <v>126</v>
      </c>
      <c r="HY51" s="16" t="s">
        <v>126</v>
      </c>
      <c r="HZ51" s="16" t="s">
        <v>126</v>
      </c>
      <c r="IA51" s="16" t="s">
        <v>126</v>
      </c>
      <c r="IB51" s="16" t="s">
        <v>126</v>
      </c>
      <c r="IC51" s="16" t="s">
        <v>126</v>
      </c>
      <c r="ID51" s="16" t="s">
        <v>126</v>
      </c>
      <c r="IE51" s="16" t="s">
        <v>126</v>
      </c>
      <c r="IF51" s="16" t="s">
        <v>126</v>
      </c>
      <c r="IG51" s="16" t="s">
        <v>126</v>
      </c>
      <c r="IH51" s="16" t="s">
        <v>126</v>
      </c>
      <c r="II51" s="16" t="s">
        <v>126</v>
      </c>
      <c r="IJ51" s="16" t="s">
        <v>126</v>
      </c>
      <c r="IK51" s="16" t="s">
        <v>126</v>
      </c>
      <c r="IL51" s="16" t="s">
        <v>126</v>
      </c>
      <c r="IM51" s="16" t="s">
        <v>126</v>
      </c>
      <c r="IN51" s="16" t="s">
        <v>126</v>
      </c>
      <c r="IO51" s="16" t="s">
        <v>126</v>
      </c>
      <c r="IP51" s="16" t="s">
        <v>126</v>
      </c>
      <c r="IQ51" s="16" t="s">
        <v>126</v>
      </c>
      <c r="IR51" s="16" t="s">
        <v>126</v>
      </c>
      <c r="IS51" s="59">
        <f t="shared" si="2"/>
        <v>0</v>
      </c>
    </row>
    <row r="52" spans="1:273" ht="13.5" customHeight="1">
      <c r="A52" s="97">
        <v>48</v>
      </c>
      <c r="B52" s="77" t="s">
        <v>197</v>
      </c>
      <c r="C52" s="6">
        <v>880</v>
      </c>
      <c r="D52" s="6">
        <v>720</v>
      </c>
      <c r="E52" s="6">
        <v>390</v>
      </c>
      <c r="F52" s="16" t="s">
        <v>126</v>
      </c>
      <c r="G52" s="31" t="s">
        <v>126</v>
      </c>
      <c r="H52" s="31" t="s">
        <v>126</v>
      </c>
      <c r="I52" s="31" t="s">
        <v>126</v>
      </c>
      <c r="J52" s="31" t="s">
        <v>126</v>
      </c>
      <c r="K52" s="31" t="s">
        <v>126</v>
      </c>
      <c r="L52" s="31" t="s">
        <v>126</v>
      </c>
      <c r="M52" s="31" t="s">
        <v>126</v>
      </c>
      <c r="N52" s="31" t="s">
        <v>126</v>
      </c>
      <c r="O52" s="31" t="s">
        <v>126</v>
      </c>
      <c r="P52" s="31" t="s">
        <v>126</v>
      </c>
      <c r="Q52" s="31" t="s">
        <v>126</v>
      </c>
      <c r="R52" s="31" t="s">
        <v>126</v>
      </c>
      <c r="S52" s="31" t="s">
        <v>126</v>
      </c>
      <c r="T52" s="31" t="s">
        <v>126</v>
      </c>
      <c r="U52" s="31" t="s">
        <v>126</v>
      </c>
      <c r="V52" s="31" t="s">
        <v>126</v>
      </c>
      <c r="W52" s="16" t="s">
        <v>126</v>
      </c>
      <c r="X52" s="16" t="s">
        <v>126</v>
      </c>
      <c r="Y52" s="16" t="s">
        <v>126</v>
      </c>
      <c r="Z52" s="16" t="s">
        <v>126</v>
      </c>
      <c r="AA52" s="16" t="s">
        <v>126</v>
      </c>
      <c r="AB52" s="16" t="s">
        <v>126</v>
      </c>
      <c r="AC52" s="16" t="s">
        <v>126</v>
      </c>
      <c r="AD52" s="16" t="s">
        <v>126</v>
      </c>
      <c r="AE52" s="16" t="s">
        <v>126</v>
      </c>
      <c r="AF52" s="16" t="s">
        <v>126</v>
      </c>
      <c r="AG52" s="16" t="s">
        <v>126</v>
      </c>
      <c r="AH52" s="16" t="s">
        <v>126</v>
      </c>
      <c r="AI52" s="16" t="s">
        <v>126</v>
      </c>
      <c r="AJ52" s="16" t="s">
        <v>126</v>
      </c>
      <c r="AK52" s="16" t="s">
        <v>126</v>
      </c>
      <c r="AL52" s="16" t="s">
        <v>126</v>
      </c>
      <c r="AM52" s="16" t="s">
        <v>126</v>
      </c>
      <c r="AN52" s="16" t="s">
        <v>126</v>
      </c>
      <c r="AO52" s="16" t="s">
        <v>126</v>
      </c>
      <c r="AP52" s="16" t="s">
        <v>126</v>
      </c>
      <c r="AQ52" s="16" t="s">
        <v>126</v>
      </c>
      <c r="AR52" s="91"/>
      <c r="AS52" s="16" t="s">
        <v>126</v>
      </c>
      <c r="AT52" s="16" t="s">
        <v>126</v>
      </c>
      <c r="AU52" s="91"/>
      <c r="AV52" s="16" t="s">
        <v>126</v>
      </c>
      <c r="AW52" s="16" t="s">
        <v>126</v>
      </c>
      <c r="AX52" s="16" t="s">
        <v>126</v>
      </c>
      <c r="AY52" s="16" t="s">
        <v>126</v>
      </c>
      <c r="AZ52" s="16" t="s">
        <v>126</v>
      </c>
      <c r="BA52" s="16" t="s">
        <v>126</v>
      </c>
      <c r="BB52" s="16" t="s">
        <v>126</v>
      </c>
      <c r="BC52" s="16" t="s">
        <v>126</v>
      </c>
      <c r="BD52" s="16" t="s">
        <v>126</v>
      </c>
      <c r="BE52" s="6" t="s">
        <v>126</v>
      </c>
      <c r="BF52" s="16" t="s">
        <v>126</v>
      </c>
      <c r="BG52" s="16" t="s">
        <v>126</v>
      </c>
      <c r="BH52" s="16" t="s">
        <v>126</v>
      </c>
      <c r="BI52" s="16" t="s">
        <v>126</v>
      </c>
      <c r="BJ52" s="16" t="s">
        <v>126</v>
      </c>
      <c r="BK52" s="16">
        <v>97</v>
      </c>
      <c r="BL52" s="16" t="s">
        <v>126</v>
      </c>
      <c r="BM52" s="16" t="s">
        <v>126</v>
      </c>
      <c r="BN52" s="16" t="s">
        <v>126</v>
      </c>
      <c r="BO52" s="16" t="s">
        <v>126</v>
      </c>
      <c r="BP52" s="16" t="s">
        <v>126</v>
      </c>
      <c r="BQ52" s="16" t="s">
        <v>126</v>
      </c>
      <c r="BR52" s="16" t="s">
        <v>126</v>
      </c>
      <c r="BS52" s="16" t="s">
        <v>126</v>
      </c>
      <c r="BT52" s="16" t="s">
        <v>126</v>
      </c>
      <c r="BU52" s="16" t="s">
        <v>126</v>
      </c>
      <c r="BV52" s="6" t="s">
        <v>126</v>
      </c>
      <c r="BW52" s="16" t="s">
        <v>126</v>
      </c>
      <c r="BX52" s="16" t="s">
        <v>126</v>
      </c>
      <c r="BY52" s="16" t="s">
        <v>126</v>
      </c>
      <c r="BZ52" s="16" t="s">
        <v>126</v>
      </c>
      <c r="CA52" s="16" t="s">
        <v>126</v>
      </c>
      <c r="CB52" s="16" t="s">
        <v>126</v>
      </c>
      <c r="CC52" s="16" t="s">
        <v>126</v>
      </c>
      <c r="CD52" s="16" t="s">
        <v>126</v>
      </c>
      <c r="CE52" s="16" t="s">
        <v>126</v>
      </c>
      <c r="CF52" s="16" t="s">
        <v>126</v>
      </c>
      <c r="CG52" s="16" t="s">
        <v>126</v>
      </c>
      <c r="CH52" s="16" t="s">
        <v>126</v>
      </c>
      <c r="CI52" s="16" t="s">
        <v>126</v>
      </c>
      <c r="CJ52" s="16" t="s">
        <v>126</v>
      </c>
      <c r="CK52" s="16" t="s">
        <v>126</v>
      </c>
      <c r="CL52" s="16" t="s">
        <v>126</v>
      </c>
      <c r="CM52" s="16" t="s">
        <v>126</v>
      </c>
      <c r="CN52" s="16" t="s">
        <v>126</v>
      </c>
      <c r="CO52" s="16" t="s">
        <v>126</v>
      </c>
      <c r="CP52" s="16" t="s">
        <v>126</v>
      </c>
      <c r="CQ52" s="16" t="s">
        <v>126</v>
      </c>
      <c r="CR52" s="16" t="s">
        <v>126</v>
      </c>
      <c r="CS52" s="16" t="s">
        <v>126</v>
      </c>
      <c r="CT52" s="16" t="s">
        <v>126</v>
      </c>
      <c r="CU52" s="16" t="s">
        <v>126</v>
      </c>
      <c r="CV52" s="16" t="s">
        <v>126</v>
      </c>
      <c r="CW52" s="16" t="s">
        <v>126</v>
      </c>
      <c r="CX52" s="16" t="s">
        <v>126</v>
      </c>
      <c r="CY52" s="16" t="s">
        <v>126</v>
      </c>
      <c r="CZ52" s="16" t="s">
        <v>126</v>
      </c>
      <c r="DA52" s="16" t="s">
        <v>126</v>
      </c>
      <c r="DB52" s="16" t="s">
        <v>126</v>
      </c>
      <c r="DC52" s="16" t="s">
        <v>126</v>
      </c>
      <c r="DD52" s="16" t="s">
        <v>126</v>
      </c>
      <c r="DE52" s="16" t="s">
        <v>126</v>
      </c>
      <c r="DF52" s="16" t="s">
        <v>126</v>
      </c>
      <c r="DG52" s="16" t="s">
        <v>126</v>
      </c>
      <c r="DH52" s="16" t="s">
        <v>126</v>
      </c>
      <c r="DI52" s="16" t="s">
        <v>126</v>
      </c>
      <c r="DJ52" s="16" t="s">
        <v>126</v>
      </c>
      <c r="DK52" s="16" t="s">
        <v>126</v>
      </c>
      <c r="DL52" s="16" t="s">
        <v>126</v>
      </c>
      <c r="DM52" s="16" t="s">
        <v>126</v>
      </c>
      <c r="DN52" s="16" t="s">
        <v>126</v>
      </c>
      <c r="DO52" s="16" t="s">
        <v>126</v>
      </c>
      <c r="DP52" s="16" t="s">
        <v>126</v>
      </c>
      <c r="DQ52" s="16" t="s">
        <v>126</v>
      </c>
      <c r="DR52" s="16" t="s">
        <v>126</v>
      </c>
      <c r="DS52" s="16" t="s">
        <v>126</v>
      </c>
      <c r="DT52" s="16" t="s">
        <v>126</v>
      </c>
      <c r="DU52" s="16" t="s">
        <v>126</v>
      </c>
      <c r="DV52" s="16" t="s">
        <v>126</v>
      </c>
      <c r="DW52" s="16" t="s">
        <v>126</v>
      </c>
      <c r="DX52" s="16" t="s">
        <v>126</v>
      </c>
      <c r="DY52" s="16" t="s">
        <v>126</v>
      </c>
      <c r="DZ52" s="16" t="s">
        <v>126</v>
      </c>
      <c r="EA52" s="16" t="s">
        <v>126</v>
      </c>
      <c r="EB52" s="16" t="s">
        <v>126</v>
      </c>
      <c r="EC52" s="16" t="s">
        <v>126</v>
      </c>
      <c r="ED52" s="16" t="s">
        <v>126</v>
      </c>
      <c r="EE52" s="16" t="s">
        <v>126</v>
      </c>
      <c r="EF52" s="16" t="s">
        <v>126</v>
      </c>
      <c r="EG52" s="16" t="s">
        <v>126</v>
      </c>
      <c r="EH52" s="16" t="s">
        <v>126</v>
      </c>
      <c r="EI52" s="16" t="s">
        <v>126</v>
      </c>
      <c r="EJ52" s="16" t="s">
        <v>126</v>
      </c>
      <c r="EK52" s="16" t="s">
        <v>126</v>
      </c>
      <c r="EL52" s="16" t="s">
        <v>126</v>
      </c>
      <c r="EM52" s="16" t="s">
        <v>126</v>
      </c>
      <c r="EN52" s="16" t="s">
        <v>126</v>
      </c>
      <c r="EO52" s="16" t="s">
        <v>126</v>
      </c>
      <c r="EP52" s="16" t="s">
        <v>126</v>
      </c>
      <c r="EQ52" s="16" t="s">
        <v>126</v>
      </c>
      <c r="ER52" s="16" t="s">
        <v>126</v>
      </c>
      <c r="ES52" s="16" t="s">
        <v>126</v>
      </c>
      <c r="ET52" s="16" t="s">
        <v>126</v>
      </c>
      <c r="EU52" s="16" t="s">
        <v>126</v>
      </c>
      <c r="EV52" s="16" t="s">
        <v>126</v>
      </c>
      <c r="EW52" s="16" t="s">
        <v>126</v>
      </c>
      <c r="EX52" s="16" t="s">
        <v>126</v>
      </c>
      <c r="EY52" s="16" t="s">
        <v>126</v>
      </c>
      <c r="EZ52" s="16" t="s">
        <v>126</v>
      </c>
      <c r="FA52" s="16" t="s">
        <v>126</v>
      </c>
      <c r="FB52" s="16" t="s">
        <v>126</v>
      </c>
      <c r="FC52" s="16" t="s">
        <v>126</v>
      </c>
      <c r="FD52" s="16" t="s">
        <v>126</v>
      </c>
      <c r="FE52" s="16" t="s">
        <v>126</v>
      </c>
      <c r="FF52" s="16" t="s">
        <v>126</v>
      </c>
      <c r="FG52" s="16" t="s">
        <v>126</v>
      </c>
      <c r="FH52" s="16" t="s">
        <v>126</v>
      </c>
      <c r="FI52" s="16" t="s">
        <v>126</v>
      </c>
      <c r="FJ52" s="16" t="s">
        <v>126</v>
      </c>
      <c r="FK52" s="16" t="s">
        <v>126</v>
      </c>
      <c r="FL52" s="16" t="s">
        <v>126</v>
      </c>
      <c r="FM52" s="16" t="s">
        <v>126</v>
      </c>
      <c r="FN52" s="16" t="s">
        <v>126</v>
      </c>
      <c r="FO52" s="16" t="s">
        <v>126</v>
      </c>
      <c r="FP52" s="16" t="s">
        <v>126</v>
      </c>
      <c r="FQ52" s="16" t="s">
        <v>126</v>
      </c>
      <c r="FR52" s="16" t="s">
        <v>126</v>
      </c>
      <c r="FS52" s="16" t="s">
        <v>126</v>
      </c>
      <c r="FT52" s="16" t="s">
        <v>126</v>
      </c>
      <c r="FU52" s="16" t="s">
        <v>126</v>
      </c>
      <c r="FV52" s="16" t="s">
        <v>126</v>
      </c>
      <c r="FW52" s="16" t="s">
        <v>126</v>
      </c>
      <c r="FX52" s="16" t="s">
        <v>126</v>
      </c>
      <c r="FY52" s="16" t="s">
        <v>126</v>
      </c>
      <c r="FZ52" s="16" t="s">
        <v>126</v>
      </c>
      <c r="GA52" s="16" t="s">
        <v>126</v>
      </c>
      <c r="GB52" s="16" t="s">
        <v>126</v>
      </c>
      <c r="GC52" s="16" t="s">
        <v>126</v>
      </c>
      <c r="GD52" s="16" t="s">
        <v>126</v>
      </c>
      <c r="GE52" s="16" t="s">
        <v>126</v>
      </c>
      <c r="GF52" s="16" t="s">
        <v>126</v>
      </c>
      <c r="GG52" s="16" t="s">
        <v>126</v>
      </c>
      <c r="GH52" s="16" t="s">
        <v>126</v>
      </c>
      <c r="GI52" s="16" t="s">
        <v>126</v>
      </c>
      <c r="GJ52" s="16" t="s">
        <v>126</v>
      </c>
      <c r="GK52" s="16" t="s">
        <v>126</v>
      </c>
      <c r="GL52" s="16" t="s">
        <v>126</v>
      </c>
      <c r="GM52" s="16" t="s">
        <v>126</v>
      </c>
      <c r="GN52" s="16" t="s">
        <v>126</v>
      </c>
      <c r="GO52" s="16" t="s">
        <v>126</v>
      </c>
      <c r="GP52" s="16" t="s">
        <v>126</v>
      </c>
      <c r="GQ52" s="16" t="s">
        <v>126</v>
      </c>
      <c r="GR52" s="16" t="s">
        <v>126</v>
      </c>
      <c r="GS52" s="16" t="s">
        <v>126</v>
      </c>
      <c r="GT52" s="16" t="s">
        <v>126</v>
      </c>
      <c r="GU52" s="16" t="s">
        <v>126</v>
      </c>
      <c r="GV52" s="16" t="s">
        <v>126</v>
      </c>
      <c r="GW52" s="16" t="s">
        <v>126</v>
      </c>
      <c r="GX52" s="16" t="s">
        <v>126</v>
      </c>
      <c r="GY52" s="16" t="s">
        <v>126</v>
      </c>
      <c r="GZ52" s="16" t="s">
        <v>126</v>
      </c>
      <c r="HA52" s="16" t="s">
        <v>126</v>
      </c>
      <c r="HB52" s="16" t="s">
        <v>126</v>
      </c>
      <c r="HC52" s="16" t="s">
        <v>126</v>
      </c>
      <c r="HD52" s="16" t="s">
        <v>126</v>
      </c>
      <c r="HE52" s="16" t="s">
        <v>126</v>
      </c>
      <c r="HF52" s="16" t="s">
        <v>126</v>
      </c>
      <c r="HG52" s="16" t="s">
        <v>126</v>
      </c>
      <c r="HH52" s="16" t="s">
        <v>126</v>
      </c>
      <c r="HI52" s="16" t="s">
        <v>126</v>
      </c>
      <c r="HJ52" s="16" t="s">
        <v>126</v>
      </c>
      <c r="HK52" s="16" t="s">
        <v>126</v>
      </c>
      <c r="HL52" s="16" t="s">
        <v>126</v>
      </c>
      <c r="HM52" s="16" t="s">
        <v>126</v>
      </c>
      <c r="HN52" s="16" t="s">
        <v>126</v>
      </c>
      <c r="HO52" s="16" t="s">
        <v>126</v>
      </c>
      <c r="HP52" s="16" t="s">
        <v>126</v>
      </c>
      <c r="HQ52" s="16" t="s">
        <v>126</v>
      </c>
      <c r="HR52" s="16" t="s">
        <v>126</v>
      </c>
      <c r="HS52" s="16" t="s">
        <v>126</v>
      </c>
      <c r="HT52" s="16" t="s">
        <v>126</v>
      </c>
      <c r="HU52" s="16" t="s">
        <v>126</v>
      </c>
      <c r="HV52" s="16" t="s">
        <v>126</v>
      </c>
      <c r="HW52" s="16" t="s">
        <v>126</v>
      </c>
      <c r="HX52" s="16" t="s">
        <v>126</v>
      </c>
      <c r="HY52" s="16" t="s">
        <v>126</v>
      </c>
      <c r="HZ52" s="16" t="s">
        <v>126</v>
      </c>
      <c r="IA52" s="16" t="s">
        <v>126</v>
      </c>
      <c r="IB52" s="16" t="s">
        <v>126</v>
      </c>
      <c r="IC52" s="16" t="s">
        <v>126</v>
      </c>
      <c r="ID52" s="16" t="s">
        <v>126</v>
      </c>
      <c r="IE52" s="16" t="s">
        <v>126</v>
      </c>
      <c r="IF52" s="16" t="s">
        <v>126</v>
      </c>
      <c r="IG52" s="16" t="s">
        <v>126</v>
      </c>
      <c r="IH52" s="16" t="s">
        <v>126</v>
      </c>
      <c r="II52" s="16" t="s">
        <v>126</v>
      </c>
      <c r="IJ52" s="16" t="s">
        <v>126</v>
      </c>
      <c r="IK52" s="16" t="s">
        <v>126</v>
      </c>
      <c r="IL52" s="16" t="s">
        <v>126</v>
      </c>
      <c r="IM52" s="16" t="s">
        <v>126</v>
      </c>
      <c r="IN52" s="16" t="s">
        <v>126</v>
      </c>
      <c r="IO52" s="16" t="s">
        <v>126</v>
      </c>
      <c r="IP52" s="16" t="s">
        <v>126</v>
      </c>
      <c r="IQ52" s="16" t="s">
        <v>126</v>
      </c>
      <c r="IR52" s="16" t="s">
        <v>126</v>
      </c>
      <c r="IS52" s="59">
        <f t="shared" si="2"/>
        <v>0</v>
      </c>
    </row>
    <row r="53" spans="1:273" ht="13.5" customHeight="1">
      <c r="A53" s="97">
        <v>49</v>
      </c>
      <c r="B53" s="77" t="s">
        <v>198</v>
      </c>
      <c r="C53" s="5">
        <v>1300</v>
      </c>
      <c r="D53" s="5">
        <v>1300</v>
      </c>
      <c r="E53" s="5">
        <v>2400</v>
      </c>
      <c r="F53" s="16" t="s">
        <v>126</v>
      </c>
      <c r="G53" s="31" t="s">
        <v>126</v>
      </c>
      <c r="H53" s="31" t="s">
        <v>126</v>
      </c>
      <c r="I53" s="31" t="s">
        <v>126</v>
      </c>
      <c r="J53" s="31" t="s">
        <v>126</v>
      </c>
      <c r="K53" s="31" t="s">
        <v>126</v>
      </c>
      <c r="L53" s="31" t="s">
        <v>126</v>
      </c>
      <c r="M53" s="31" t="s">
        <v>126</v>
      </c>
      <c r="N53" s="31" t="s">
        <v>126</v>
      </c>
      <c r="O53" s="31" t="s">
        <v>126</v>
      </c>
      <c r="P53" s="31" t="s">
        <v>126</v>
      </c>
      <c r="Q53" s="31" t="s">
        <v>126</v>
      </c>
      <c r="R53" s="31" t="s">
        <v>126</v>
      </c>
      <c r="S53" s="31" t="s">
        <v>126</v>
      </c>
      <c r="T53" s="31" t="s">
        <v>126</v>
      </c>
      <c r="U53" s="31" t="s">
        <v>126</v>
      </c>
      <c r="V53" s="31" t="s">
        <v>126</v>
      </c>
      <c r="W53" s="16" t="s">
        <v>126</v>
      </c>
      <c r="X53" s="16" t="s">
        <v>126</v>
      </c>
      <c r="Y53" s="16" t="s">
        <v>126</v>
      </c>
      <c r="Z53" s="16" t="s">
        <v>126</v>
      </c>
      <c r="AA53" s="16" t="s">
        <v>126</v>
      </c>
      <c r="AB53" s="16" t="s">
        <v>126</v>
      </c>
      <c r="AC53" s="16" t="s">
        <v>126</v>
      </c>
      <c r="AD53" s="16" t="s">
        <v>126</v>
      </c>
      <c r="AE53" s="16" t="s">
        <v>126</v>
      </c>
      <c r="AF53" s="16" t="s">
        <v>126</v>
      </c>
      <c r="AG53" s="16" t="s">
        <v>126</v>
      </c>
      <c r="AH53" s="16" t="s">
        <v>126</v>
      </c>
      <c r="AI53" s="16" t="s">
        <v>126</v>
      </c>
      <c r="AJ53" s="16" t="s">
        <v>126</v>
      </c>
      <c r="AK53" s="16" t="s">
        <v>126</v>
      </c>
      <c r="AL53" s="16" t="s">
        <v>126</v>
      </c>
      <c r="AM53" s="16" t="s">
        <v>126</v>
      </c>
      <c r="AN53" s="16" t="s">
        <v>126</v>
      </c>
      <c r="AO53" s="16" t="s">
        <v>126</v>
      </c>
      <c r="AP53" s="16" t="s">
        <v>126</v>
      </c>
      <c r="AQ53" s="16" t="s">
        <v>126</v>
      </c>
      <c r="AR53" s="91"/>
      <c r="AS53" s="16" t="s">
        <v>126</v>
      </c>
      <c r="AT53" s="16" t="s">
        <v>126</v>
      </c>
      <c r="AU53" s="91"/>
      <c r="AV53" s="16" t="s">
        <v>126</v>
      </c>
      <c r="AW53" s="16" t="s">
        <v>126</v>
      </c>
      <c r="AX53" s="16" t="s">
        <v>126</v>
      </c>
      <c r="AY53" s="16" t="s">
        <v>126</v>
      </c>
      <c r="AZ53" s="16" t="s">
        <v>126</v>
      </c>
      <c r="BA53" s="16" t="s">
        <v>126</v>
      </c>
      <c r="BB53" s="16" t="s">
        <v>126</v>
      </c>
      <c r="BC53" s="16" t="s">
        <v>126</v>
      </c>
      <c r="BD53" s="16" t="s">
        <v>126</v>
      </c>
      <c r="BE53" s="6" t="s">
        <v>126</v>
      </c>
      <c r="BF53" s="16" t="s">
        <v>126</v>
      </c>
      <c r="BG53" s="16" t="s">
        <v>126</v>
      </c>
      <c r="BH53" s="16" t="s">
        <v>126</v>
      </c>
      <c r="BI53" s="16" t="s">
        <v>126</v>
      </c>
      <c r="BJ53" s="16" t="s">
        <v>126</v>
      </c>
      <c r="BK53" s="16" t="s">
        <v>126</v>
      </c>
      <c r="BL53" s="16" t="s">
        <v>126</v>
      </c>
      <c r="BM53" s="16" t="s">
        <v>126</v>
      </c>
      <c r="BN53" s="16" t="s">
        <v>126</v>
      </c>
      <c r="BO53" s="16" t="s">
        <v>126</v>
      </c>
      <c r="BP53" s="16" t="s">
        <v>126</v>
      </c>
      <c r="BQ53" s="16" t="s">
        <v>126</v>
      </c>
      <c r="BR53" s="16" t="s">
        <v>126</v>
      </c>
      <c r="BS53" s="16" t="s">
        <v>126</v>
      </c>
      <c r="BT53" s="16" t="s">
        <v>126</v>
      </c>
      <c r="BU53" s="16" t="s">
        <v>126</v>
      </c>
      <c r="BV53" s="6" t="s">
        <v>126</v>
      </c>
      <c r="BW53" s="16" t="s">
        <v>126</v>
      </c>
      <c r="BX53" s="16" t="s">
        <v>126</v>
      </c>
      <c r="BY53" s="16" t="s">
        <v>126</v>
      </c>
      <c r="BZ53" s="16" t="s">
        <v>126</v>
      </c>
      <c r="CA53" s="16" t="s">
        <v>126</v>
      </c>
      <c r="CB53" s="16" t="s">
        <v>126</v>
      </c>
      <c r="CC53" s="16" t="s">
        <v>126</v>
      </c>
      <c r="CD53" s="16" t="s">
        <v>126</v>
      </c>
      <c r="CE53" s="16" t="s">
        <v>126</v>
      </c>
      <c r="CF53" s="16" t="s">
        <v>126</v>
      </c>
      <c r="CG53" s="16" t="s">
        <v>126</v>
      </c>
      <c r="CH53" s="16" t="s">
        <v>126</v>
      </c>
      <c r="CI53" s="16" t="s">
        <v>126</v>
      </c>
      <c r="CJ53" s="16" t="s">
        <v>126</v>
      </c>
      <c r="CK53" s="16" t="s">
        <v>126</v>
      </c>
      <c r="CL53" s="16" t="s">
        <v>126</v>
      </c>
      <c r="CM53" s="16" t="s">
        <v>126</v>
      </c>
      <c r="CN53" s="16" t="s">
        <v>126</v>
      </c>
      <c r="CO53" s="16" t="s">
        <v>126</v>
      </c>
      <c r="CP53" s="16" t="s">
        <v>126</v>
      </c>
      <c r="CQ53" s="16" t="s">
        <v>126</v>
      </c>
      <c r="CR53" s="16" t="s">
        <v>126</v>
      </c>
      <c r="CS53" s="16" t="s">
        <v>126</v>
      </c>
      <c r="CT53" s="16" t="s">
        <v>126</v>
      </c>
      <c r="CU53" s="16" t="s">
        <v>126</v>
      </c>
      <c r="CV53" s="16" t="s">
        <v>126</v>
      </c>
      <c r="CW53" s="16" t="s">
        <v>126</v>
      </c>
      <c r="CX53" s="16" t="s">
        <v>126</v>
      </c>
      <c r="CY53" s="16" t="s">
        <v>126</v>
      </c>
      <c r="CZ53" s="16" t="s">
        <v>126</v>
      </c>
      <c r="DA53" s="16" t="s">
        <v>126</v>
      </c>
      <c r="DB53" s="16" t="s">
        <v>126</v>
      </c>
      <c r="DC53" s="16" t="s">
        <v>126</v>
      </c>
      <c r="DD53" s="16" t="s">
        <v>126</v>
      </c>
      <c r="DE53" s="16" t="s">
        <v>126</v>
      </c>
      <c r="DF53" s="16" t="s">
        <v>126</v>
      </c>
      <c r="DG53" s="16" t="s">
        <v>126</v>
      </c>
      <c r="DH53" s="16" t="s">
        <v>126</v>
      </c>
      <c r="DI53" s="16" t="s">
        <v>126</v>
      </c>
      <c r="DJ53" s="16" t="s">
        <v>126</v>
      </c>
      <c r="DK53" s="16" t="s">
        <v>126</v>
      </c>
      <c r="DL53" s="16" t="s">
        <v>126</v>
      </c>
      <c r="DM53" s="16" t="s">
        <v>126</v>
      </c>
      <c r="DN53" s="16" t="s">
        <v>126</v>
      </c>
      <c r="DO53" s="16" t="s">
        <v>126</v>
      </c>
      <c r="DP53" s="16" t="s">
        <v>126</v>
      </c>
      <c r="DQ53" s="16" t="s">
        <v>126</v>
      </c>
      <c r="DR53" s="16" t="s">
        <v>126</v>
      </c>
      <c r="DS53" s="16" t="s">
        <v>126</v>
      </c>
      <c r="DT53" s="16" t="s">
        <v>126</v>
      </c>
      <c r="DU53" s="16" t="s">
        <v>126</v>
      </c>
      <c r="DV53" s="16" t="s">
        <v>126</v>
      </c>
      <c r="DW53" s="16" t="s">
        <v>126</v>
      </c>
      <c r="DX53" s="16" t="s">
        <v>126</v>
      </c>
      <c r="DY53" s="16" t="s">
        <v>126</v>
      </c>
      <c r="DZ53" s="16" t="s">
        <v>126</v>
      </c>
      <c r="EA53" s="16" t="s">
        <v>126</v>
      </c>
      <c r="EB53" s="16" t="s">
        <v>126</v>
      </c>
      <c r="EC53" s="16" t="s">
        <v>126</v>
      </c>
      <c r="ED53" s="16" t="s">
        <v>126</v>
      </c>
      <c r="EE53" s="16" t="s">
        <v>126</v>
      </c>
      <c r="EF53" s="16" t="s">
        <v>126</v>
      </c>
      <c r="EG53" s="16" t="s">
        <v>126</v>
      </c>
      <c r="EH53" s="16" t="s">
        <v>126</v>
      </c>
      <c r="EI53" s="16" t="s">
        <v>126</v>
      </c>
      <c r="EJ53" s="16" t="s">
        <v>126</v>
      </c>
      <c r="EK53" s="16" t="s">
        <v>126</v>
      </c>
      <c r="EL53" s="16" t="s">
        <v>126</v>
      </c>
      <c r="EM53" s="16" t="s">
        <v>126</v>
      </c>
      <c r="EN53" s="16" t="s">
        <v>126</v>
      </c>
      <c r="EO53" s="16" t="s">
        <v>126</v>
      </c>
      <c r="EP53" s="16" t="s">
        <v>126</v>
      </c>
      <c r="EQ53" s="16" t="s">
        <v>126</v>
      </c>
      <c r="ER53" s="16" t="s">
        <v>126</v>
      </c>
      <c r="ES53" s="16" t="s">
        <v>126</v>
      </c>
      <c r="ET53" s="16" t="s">
        <v>126</v>
      </c>
      <c r="EU53" s="16" t="s">
        <v>126</v>
      </c>
      <c r="EV53" s="16" t="s">
        <v>126</v>
      </c>
      <c r="EW53" s="16" t="s">
        <v>126</v>
      </c>
      <c r="EX53" s="16" t="s">
        <v>126</v>
      </c>
      <c r="EY53" s="16" t="s">
        <v>126</v>
      </c>
      <c r="EZ53" s="16" t="s">
        <v>126</v>
      </c>
      <c r="FA53" s="16" t="s">
        <v>126</v>
      </c>
      <c r="FB53" s="16" t="s">
        <v>126</v>
      </c>
      <c r="FC53" s="16" t="s">
        <v>126</v>
      </c>
      <c r="FD53" s="16" t="s">
        <v>126</v>
      </c>
      <c r="FE53" s="16" t="s">
        <v>126</v>
      </c>
      <c r="FF53" s="16" t="s">
        <v>126</v>
      </c>
      <c r="FG53" s="16" t="s">
        <v>126</v>
      </c>
      <c r="FH53" s="16" t="s">
        <v>126</v>
      </c>
      <c r="FI53" s="16" t="s">
        <v>126</v>
      </c>
      <c r="FJ53" s="16" t="s">
        <v>126</v>
      </c>
      <c r="FK53" s="16" t="s">
        <v>126</v>
      </c>
      <c r="FL53" s="16" t="s">
        <v>126</v>
      </c>
      <c r="FM53" s="16" t="s">
        <v>126</v>
      </c>
      <c r="FN53" s="16" t="s">
        <v>126</v>
      </c>
      <c r="FO53" s="16" t="s">
        <v>126</v>
      </c>
      <c r="FP53" s="16" t="s">
        <v>126</v>
      </c>
      <c r="FQ53" s="16" t="s">
        <v>126</v>
      </c>
      <c r="FR53" s="16" t="s">
        <v>126</v>
      </c>
      <c r="FS53" s="16" t="s">
        <v>126</v>
      </c>
      <c r="FT53" s="16" t="s">
        <v>126</v>
      </c>
      <c r="FU53" s="16" t="s">
        <v>126</v>
      </c>
      <c r="FV53" s="16" t="s">
        <v>126</v>
      </c>
      <c r="FW53" s="16" t="s">
        <v>126</v>
      </c>
      <c r="FX53" s="16" t="s">
        <v>126</v>
      </c>
      <c r="FY53" s="16" t="s">
        <v>126</v>
      </c>
      <c r="FZ53" s="16" t="s">
        <v>126</v>
      </c>
      <c r="GA53" s="16" t="s">
        <v>126</v>
      </c>
      <c r="GB53" s="16" t="s">
        <v>126</v>
      </c>
      <c r="GC53" s="16" t="s">
        <v>126</v>
      </c>
      <c r="GD53" s="16" t="s">
        <v>126</v>
      </c>
      <c r="GE53" s="16" t="s">
        <v>126</v>
      </c>
      <c r="GF53" s="16" t="s">
        <v>126</v>
      </c>
      <c r="GG53" s="16" t="s">
        <v>126</v>
      </c>
      <c r="GH53" s="16" t="s">
        <v>126</v>
      </c>
      <c r="GI53" s="16" t="s">
        <v>126</v>
      </c>
      <c r="GJ53" s="16" t="s">
        <v>126</v>
      </c>
      <c r="GK53" s="16" t="s">
        <v>126</v>
      </c>
      <c r="GL53" s="16" t="s">
        <v>126</v>
      </c>
      <c r="GM53" s="16" t="s">
        <v>126</v>
      </c>
      <c r="GN53" s="16" t="s">
        <v>126</v>
      </c>
      <c r="GO53" s="16" t="s">
        <v>126</v>
      </c>
      <c r="GP53" s="16" t="s">
        <v>126</v>
      </c>
      <c r="GQ53" s="16" t="s">
        <v>126</v>
      </c>
      <c r="GR53" s="16" t="s">
        <v>126</v>
      </c>
      <c r="GS53" s="16" t="s">
        <v>126</v>
      </c>
      <c r="GT53" s="16" t="s">
        <v>126</v>
      </c>
      <c r="GU53" s="16" t="s">
        <v>126</v>
      </c>
      <c r="GV53" s="16" t="s">
        <v>126</v>
      </c>
      <c r="GW53" s="16" t="s">
        <v>126</v>
      </c>
      <c r="GX53" s="16" t="s">
        <v>126</v>
      </c>
      <c r="GY53" s="16" t="s">
        <v>126</v>
      </c>
      <c r="GZ53" s="16" t="s">
        <v>126</v>
      </c>
      <c r="HA53" s="16" t="s">
        <v>126</v>
      </c>
      <c r="HB53" s="16" t="s">
        <v>126</v>
      </c>
      <c r="HC53" s="16" t="s">
        <v>126</v>
      </c>
      <c r="HD53" s="16" t="s">
        <v>126</v>
      </c>
      <c r="HE53" s="16" t="s">
        <v>126</v>
      </c>
      <c r="HF53" s="16" t="s">
        <v>126</v>
      </c>
      <c r="HG53" s="16" t="s">
        <v>126</v>
      </c>
      <c r="HH53" s="16" t="s">
        <v>126</v>
      </c>
      <c r="HI53" s="16" t="s">
        <v>126</v>
      </c>
      <c r="HJ53" s="16" t="s">
        <v>126</v>
      </c>
      <c r="HK53" s="16" t="s">
        <v>126</v>
      </c>
      <c r="HL53" s="16" t="s">
        <v>126</v>
      </c>
      <c r="HM53" s="16" t="s">
        <v>126</v>
      </c>
      <c r="HN53" s="16" t="s">
        <v>126</v>
      </c>
      <c r="HO53" s="16" t="s">
        <v>126</v>
      </c>
      <c r="HP53" s="16" t="s">
        <v>126</v>
      </c>
      <c r="HQ53" s="16" t="s">
        <v>126</v>
      </c>
      <c r="HR53" s="16" t="s">
        <v>126</v>
      </c>
      <c r="HS53" s="16" t="s">
        <v>126</v>
      </c>
      <c r="HT53" s="16" t="s">
        <v>126</v>
      </c>
      <c r="HU53" s="16" t="s">
        <v>126</v>
      </c>
      <c r="HV53" s="16" t="s">
        <v>126</v>
      </c>
      <c r="HW53" s="16" t="s">
        <v>126</v>
      </c>
      <c r="HX53" s="16" t="s">
        <v>126</v>
      </c>
      <c r="HY53" s="16" t="s">
        <v>126</v>
      </c>
      <c r="HZ53" s="16" t="s">
        <v>126</v>
      </c>
      <c r="IA53" s="16" t="s">
        <v>126</v>
      </c>
      <c r="IB53" s="16" t="s">
        <v>126</v>
      </c>
      <c r="IC53" s="16" t="s">
        <v>126</v>
      </c>
      <c r="ID53" s="16" t="s">
        <v>126</v>
      </c>
      <c r="IE53" s="16" t="s">
        <v>126</v>
      </c>
      <c r="IF53" s="16" t="s">
        <v>126</v>
      </c>
      <c r="IG53" s="16" t="s">
        <v>126</v>
      </c>
      <c r="IH53" s="16" t="s">
        <v>126</v>
      </c>
      <c r="II53" s="16" t="s">
        <v>126</v>
      </c>
      <c r="IJ53" s="16" t="s">
        <v>126</v>
      </c>
      <c r="IK53" s="16" t="s">
        <v>126</v>
      </c>
      <c r="IL53" s="16" t="s">
        <v>126</v>
      </c>
      <c r="IM53" s="16" t="s">
        <v>126</v>
      </c>
      <c r="IN53" s="16" t="s">
        <v>126</v>
      </c>
      <c r="IO53" s="16" t="s">
        <v>126</v>
      </c>
      <c r="IP53" s="16" t="s">
        <v>126</v>
      </c>
      <c r="IQ53" s="16" t="s">
        <v>126</v>
      </c>
      <c r="IR53" s="16" t="s">
        <v>126</v>
      </c>
      <c r="IS53" s="59">
        <f t="shared" si="2"/>
        <v>0</v>
      </c>
    </row>
    <row r="54" spans="1:273" ht="13.5" hidden="1" customHeight="1">
      <c r="A54" s="97">
        <v>50</v>
      </c>
      <c r="B54" s="77" t="s">
        <v>199</v>
      </c>
      <c r="C54" s="8">
        <v>480</v>
      </c>
      <c r="D54" s="8">
        <v>320</v>
      </c>
      <c r="E54" s="8">
        <v>480</v>
      </c>
      <c r="F54" s="16" t="s">
        <v>126</v>
      </c>
      <c r="G54" s="31" t="s">
        <v>126</v>
      </c>
      <c r="H54" s="31" t="s">
        <v>126</v>
      </c>
      <c r="I54" s="31" t="s">
        <v>126</v>
      </c>
      <c r="J54" s="31" t="s">
        <v>126</v>
      </c>
      <c r="K54" s="31" t="s">
        <v>126</v>
      </c>
      <c r="L54" s="31" t="s">
        <v>126</v>
      </c>
      <c r="M54" s="31" t="s">
        <v>126</v>
      </c>
      <c r="N54" s="31" t="s">
        <v>126</v>
      </c>
      <c r="O54" s="31" t="s">
        <v>126</v>
      </c>
      <c r="P54" s="31" t="s">
        <v>126</v>
      </c>
      <c r="Q54" s="31" t="s">
        <v>126</v>
      </c>
      <c r="R54" s="31" t="s">
        <v>126</v>
      </c>
      <c r="S54" s="31" t="s">
        <v>126</v>
      </c>
      <c r="T54" s="31" t="s">
        <v>126</v>
      </c>
      <c r="U54" s="31" t="s">
        <v>126</v>
      </c>
      <c r="V54" s="31" t="s">
        <v>126</v>
      </c>
      <c r="W54" s="16" t="s">
        <v>126</v>
      </c>
      <c r="X54" s="16" t="s">
        <v>126</v>
      </c>
      <c r="Y54" s="16" t="s">
        <v>126</v>
      </c>
      <c r="Z54" s="16" t="s">
        <v>126</v>
      </c>
      <c r="AA54" s="16" t="s">
        <v>126</v>
      </c>
      <c r="AB54" s="16" t="s">
        <v>126</v>
      </c>
      <c r="AC54" s="16" t="s">
        <v>126</v>
      </c>
      <c r="AD54" s="16" t="s">
        <v>126</v>
      </c>
      <c r="AE54" s="16" t="s">
        <v>126</v>
      </c>
      <c r="AF54" s="16" t="s">
        <v>126</v>
      </c>
      <c r="AG54" s="16" t="s">
        <v>126</v>
      </c>
      <c r="AH54" s="16" t="s">
        <v>126</v>
      </c>
      <c r="AI54" s="16" t="s">
        <v>126</v>
      </c>
      <c r="AJ54" s="16" t="s">
        <v>126</v>
      </c>
      <c r="AK54" s="16" t="s">
        <v>126</v>
      </c>
      <c r="AL54" s="16" t="s">
        <v>126</v>
      </c>
      <c r="AM54" s="16" t="s">
        <v>126</v>
      </c>
      <c r="AN54" s="16" t="s">
        <v>126</v>
      </c>
      <c r="AO54" s="16" t="s">
        <v>126</v>
      </c>
      <c r="AP54" s="16" t="s">
        <v>126</v>
      </c>
      <c r="AQ54" s="16" t="s">
        <v>126</v>
      </c>
      <c r="AR54" s="91"/>
      <c r="AS54" s="16" t="s">
        <v>126</v>
      </c>
      <c r="AT54" s="16" t="s">
        <v>126</v>
      </c>
      <c r="AU54" s="91"/>
      <c r="AV54" s="16" t="s">
        <v>126</v>
      </c>
      <c r="AW54" s="16" t="s">
        <v>126</v>
      </c>
      <c r="AX54" s="16" t="s">
        <v>126</v>
      </c>
      <c r="AY54" s="16" t="s">
        <v>126</v>
      </c>
      <c r="AZ54" s="16" t="s">
        <v>126</v>
      </c>
      <c r="BA54" s="16" t="s">
        <v>126</v>
      </c>
      <c r="BB54" s="16" t="s">
        <v>126</v>
      </c>
      <c r="BC54" s="16" t="s">
        <v>126</v>
      </c>
      <c r="BD54" s="16" t="s">
        <v>126</v>
      </c>
      <c r="BE54" s="6" t="s">
        <v>126</v>
      </c>
      <c r="BF54" s="16" t="s">
        <v>126</v>
      </c>
      <c r="BG54" s="16" t="s">
        <v>126</v>
      </c>
      <c r="BH54" s="16" t="s">
        <v>126</v>
      </c>
      <c r="BI54" s="16" t="s">
        <v>126</v>
      </c>
      <c r="BJ54" s="16" t="s">
        <v>126</v>
      </c>
      <c r="BK54" s="16" t="s">
        <v>126</v>
      </c>
      <c r="BL54" s="16" t="s">
        <v>126</v>
      </c>
      <c r="BM54" s="16" t="s">
        <v>126</v>
      </c>
      <c r="BN54" s="16" t="s">
        <v>126</v>
      </c>
      <c r="BO54" s="16" t="s">
        <v>126</v>
      </c>
      <c r="BP54" s="16" t="s">
        <v>126</v>
      </c>
      <c r="BQ54" s="16" t="s">
        <v>126</v>
      </c>
      <c r="BR54" s="16" t="s">
        <v>126</v>
      </c>
      <c r="BS54" s="16" t="s">
        <v>126</v>
      </c>
      <c r="BT54" s="16" t="s">
        <v>126</v>
      </c>
      <c r="BU54" s="16" t="s">
        <v>126</v>
      </c>
      <c r="BV54" s="6" t="s">
        <v>126</v>
      </c>
      <c r="BW54" s="16" t="s">
        <v>126</v>
      </c>
      <c r="BX54" s="16" t="s">
        <v>126</v>
      </c>
      <c r="BY54" s="16" t="s">
        <v>126</v>
      </c>
      <c r="BZ54" s="16" t="s">
        <v>126</v>
      </c>
      <c r="CA54" s="16" t="s">
        <v>126</v>
      </c>
      <c r="CB54" s="16" t="s">
        <v>126</v>
      </c>
      <c r="CC54" s="16" t="s">
        <v>126</v>
      </c>
      <c r="CD54" s="16" t="s">
        <v>126</v>
      </c>
      <c r="CE54" s="16" t="s">
        <v>126</v>
      </c>
      <c r="CF54" s="16" t="s">
        <v>126</v>
      </c>
      <c r="CG54" s="16" t="s">
        <v>126</v>
      </c>
      <c r="CH54" s="16" t="s">
        <v>126</v>
      </c>
      <c r="CI54" s="16" t="s">
        <v>126</v>
      </c>
      <c r="CJ54" s="16" t="s">
        <v>126</v>
      </c>
      <c r="CK54" s="16" t="s">
        <v>126</v>
      </c>
      <c r="CL54" s="16" t="s">
        <v>126</v>
      </c>
      <c r="CM54" s="16" t="s">
        <v>126</v>
      </c>
      <c r="CN54" s="16" t="s">
        <v>126</v>
      </c>
      <c r="CO54" s="16" t="s">
        <v>126</v>
      </c>
      <c r="CP54" s="16" t="s">
        <v>126</v>
      </c>
      <c r="CQ54" s="16" t="s">
        <v>126</v>
      </c>
      <c r="CR54" s="16" t="s">
        <v>126</v>
      </c>
      <c r="CS54" s="16" t="s">
        <v>126</v>
      </c>
      <c r="CT54" s="16" t="s">
        <v>126</v>
      </c>
      <c r="CU54" s="16" t="s">
        <v>126</v>
      </c>
      <c r="CV54" s="16" t="s">
        <v>126</v>
      </c>
      <c r="CW54" s="16" t="s">
        <v>126</v>
      </c>
      <c r="CX54" s="16" t="s">
        <v>126</v>
      </c>
      <c r="CY54" s="16" t="s">
        <v>126</v>
      </c>
      <c r="CZ54" s="16" t="s">
        <v>126</v>
      </c>
      <c r="DA54" s="16" t="s">
        <v>126</v>
      </c>
      <c r="DB54" s="16" t="s">
        <v>126</v>
      </c>
      <c r="DC54" s="16" t="s">
        <v>126</v>
      </c>
      <c r="DD54" s="16" t="s">
        <v>126</v>
      </c>
      <c r="DE54" s="16" t="s">
        <v>126</v>
      </c>
      <c r="DF54" s="16" t="s">
        <v>126</v>
      </c>
      <c r="DG54" s="16" t="s">
        <v>126</v>
      </c>
      <c r="DH54" s="16" t="s">
        <v>126</v>
      </c>
      <c r="DI54" s="16" t="s">
        <v>126</v>
      </c>
      <c r="DJ54" s="16" t="s">
        <v>126</v>
      </c>
      <c r="DK54" s="16" t="s">
        <v>126</v>
      </c>
      <c r="DL54" s="16" t="s">
        <v>126</v>
      </c>
      <c r="DM54" s="16" t="s">
        <v>126</v>
      </c>
      <c r="DN54" s="16" t="s">
        <v>126</v>
      </c>
      <c r="DO54" s="16" t="s">
        <v>126</v>
      </c>
      <c r="DP54" s="16" t="s">
        <v>126</v>
      </c>
      <c r="DQ54" s="16" t="s">
        <v>126</v>
      </c>
      <c r="DR54" s="16" t="s">
        <v>126</v>
      </c>
      <c r="DS54" s="16" t="s">
        <v>126</v>
      </c>
      <c r="DT54" s="16" t="s">
        <v>126</v>
      </c>
      <c r="DU54" s="16" t="s">
        <v>126</v>
      </c>
      <c r="DV54" s="16" t="s">
        <v>126</v>
      </c>
      <c r="DW54" s="16" t="s">
        <v>126</v>
      </c>
      <c r="DX54" s="16" t="s">
        <v>126</v>
      </c>
      <c r="DY54" s="16" t="s">
        <v>126</v>
      </c>
      <c r="DZ54" s="16" t="s">
        <v>126</v>
      </c>
      <c r="EA54" s="16" t="s">
        <v>126</v>
      </c>
      <c r="EB54" s="16" t="s">
        <v>126</v>
      </c>
      <c r="EC54" s="16" t="s">
        <v>126</v>
      </c>
      <c r="ED54" s="16" t="s">
        <v>126</v>
      </c>
      <c r="EE54" s="16" t="s">
        <v>126</v>
      </c>
      <c r="EF54" s="16" t="s">
        <v>126</v>
      </c>
      <c r="EG54" s="16" t="s">
        <v>126</v>
      </c>
      <c r="EH54" s="16" t="s">
        <v>126</v>
      </c>
      <c r="EI54" s="16" t="s">
        <v>126</v>
      </c>
      <c r="EJ54" s="16" t="s">
        <v>126</v>
      </c>
      <c r="EK54" s="16" t="s">
        <v>126</v>
      </c>
      <c r="EL54" s="16" t="s">
        <v>126</v>
      </c>
      <c r="EM54" s="16" t="s">
        <v>126</v>
      </c>
      <c r="EN54" s="16" t="s">
        <v>126</v>
      </c>
      <c r="EO54" s="16" t="s">
        <v>126</v>
      </c>
      <c r="EP54" s="16" t="s">
        <v>126</v>
      </c>
      <c r="EQ54" s="16" t="s">
        <v>126</v>
      </c>
      <c r="ER54" s="16" t="s">
        <v>126</v>
      </c>
      <c r="ES54" s="16" t="s">
        <v>126</v>
      </c>
      <c r="ET54" s="16" t="s">
        <v>126</v>
      </c>
      <c r="EU54" s="16" t="s">
        <v>126</v>
      </c>
      <c r="EV54" s="16" t="s">
        <v>126</v>
      </c>
      <c r="EW54" s="16" t="s">
        <v>126</v>
      </c>
      <c r="EX54" s="16" t="s">
        <v>126</v>
      </c>
      <c r="EY54" s="16" t="s">
        <v>126</v>
      </c>
      <c r="EZ54" s="16" t="s">
        <v>126</v>
      </c>
      <c r="FA54" s="16" t="s">
        <v>126</v>
      </c>
      <c r="FB54" s="16" t="s">
        <v>126</v>
      </c>
      <c r="FC54" s="16" t="s">
        <v>126</v>
      </c>
      <c r="FD54" s="16" t="s">
        <v>126</v>
      </c>
      <c r="FE54" s="16" t="s">
        <v>126</v>
      </c>
      <c r="FF54" s="16" t="s">
        <v>126</v>
      </c>
      <c r="FG54" s="16" t="s">
        <v>126</v>
      </c>
      <c r="FH54" s="16" t="s">
        <v>126</v>
      </c>
      <c r="FI54" s="16" t="s">
        <v>126</v>
      </c>
      <c r="FJ54" s="16" t="s">
        <v>126</v>
      </c>
      <c r="FK54" s="16" t="s">
        <v>126</v>
      </c>
      <c r="FL54" s="16" t="s">
        <v>126</v>
      </c>
      <c r="FM54" s="16" t="s">
        <v>126</v>
      </c>
      <c r="FN54" s="16" t="s">
        <v>126</v>
      </c>
      <c r="FO54" s="16" t="s">
        <v>126</v>
      </c>
      <c r="FP54" s="16" t="s">
        <v>126</v>
      </c>
      <c r="FQ54" s="16" t="s">
        <v>126</v>
      </c>
      <c r="FR54" s="16" t="s">
        <v>126</v>
      </c>
      <c r="FS54" s="16" t="s">
        <v>126</v>
      </c>
      <c r="FT54" s="16" t="s">
        <v>126</v>
      </c>
      <c r="FU54" s="16" t="s">
        <v>126</v>
      </c>
      <c r="FV54" s="16" t="s">
        <v>126</v>
      </c>
      <c r="FW54" s="16" t="s">
        <v>126</v>
      </c>
      <c r="FX54" s="16" t="s">
        <v>126</v>
      </c>
      <c r="FY54" s="16" t="s">
        <v>126</v>
      </c>
      <c r="FZ54" s="16" t="s">
        <v>126</v>
      </c>
      <c r="GA54" s="16" t="s">
        <v>126</v>
      </c>
      <c r="GB54" s="16" t="s">
        <v>126</v>
      </c>
      <c r="GC54" s="16" t="s">
        <v>126</v>
      </c>
      <c r="GD54" s="16" t="s">
        <v>126</v>
      </c>
      <c r="GE54" s="16" t="s">
        <v>126</v>
      </c>
      <c r="GF54" s="16" t="s">
        <v>126</v>
      </c>
      <c r="GG54" s="16" t="s">
        <v>126</v>
      </c>
      <c r="GH54" s="16" t="s">
        <v>126</v>
      </c>
      <c r="GI54" s="16" t="s">
        <v>126</v>
      </c>
      <c r="GJ54" s="16" t="s">
        <v>126</v>
      </c>
      <c r="GK54" s="16" t="s">
        <v>126</v>
      </c>
      <c r="GL54" s="16" t="s">
        <v>126</v>
      </c>
      <c r="GM54" s="16" t="s">
        <v>126</v>
      </c>
      <c r="GN54" s="16" t="s">
        <v>126</v>
      </c>
      <c r="GO54" s="16" t="s">
        <v>126</v>
      </c>
      <c r="GP54" s="16" t="s">
        <v>126</v>
      </c>
      <c r="GQ54" s="16" t="s">
        <v>126</v>
      </c>
      <c r="GR54" s="16" t="s">
        <v>126</v>
      </c>
      <c r="GS54" s="16" t="s">
        <v>126</v>
      </c>
      <c r="GT54" s="16" t="s">
        <v>126</v>
      </c>
      <c r="GU54" s="16" t="s">
        <v>126</v>
      </c>
      <c r="GV54" s="16" t="s">
        <v>126</v>
      </c>
      <c r="GW54" s="16" t="s">
        <v>126</v>
      </c>
      <c r="GX54" s="16" t="s">
        <v>126</v>
      </c>
      <c r="GY54" s="16" t="s">
        <v>126</v>
      </c>
      <c r="GZ54" s="16" t="s">
        <v>126</v>
      </c>
      <c r="HA54" s="16" t="s">
        <v>126</v>
      </c>
      <c r="HB54" s="16" t="s">
        <v>126</v>
      </c>
      <c r="HC54" s="16" t="s">
        <v>126</v>
      </c>
      <c r="HD54" s="16" t="s">
        <v>126</v>
      </c>
      <c r="HE54" s="16" t="s">
        <v>126</v>
      </c>
      <c r="HF54" s="16" t="s">
        <v>126</v>
      </c>
      <c r="HG54" s="16" t="s">
        <v>126</v>
      </c>
      <c r="HH54" s="16" t="s">
        <v>126</v>
      </c>
      <c r="HI54" s="16" t="s">
        <v>126</v>
      </c>
      <c r="HJ54" s="16" t="s">
        <v>126</v>
      </c>
      <c r="HK54" s="16" t="s">
        <v>126</v>
      </c>
      <c r="HL54" s="16" t="s">
        <v>126</v>
      </c>
      <c r="HM54" s="16" t="s">
        <v>126</v>
      </c>
      <c r="HN54" s="16" t="s">
        <v>126</v>
      </c>
      <c r="HO54" s="16" t="s">
        <v>126</v>
      </c>
      <c r="HP54" s="16" t="s">
        <v>126</v>
      </c>
      <c r="HQ54" s="16" t="s">
        <v>126</v>
      </c>
      <c r="HR54" s="16" t="s">
        <v>126</v>
      </c>
      <c r="HS54" s="16" t="s">
        <v>126</v>
      </c>
      <c r="HT54" s="16" t="s">
        <v>126</v>
      </c>
      <c r="HU54" s="16" t="s">
        <v>126</v>
      </c>
      <c r="HV54" s="16" t="s">
        <v>126</v>
      </c>
      <c r="HW54" s="16" t="s">
        <v>126</v>
      </c>
      <c r="HX54" s="16" t="s">
        <v>126</v>
      </c>
      <c r="HY54" s="16" t="s">
        <v>126</v>
      </c>
      <c r="HZ54" s="16" t="s">
        <v>126</v>
      </c>
      <c r="IA54" s="16" t="s">
        <v>126</v>
      </c>
      <c r="IB54" s="16" t="s">
        <v>126</v>
      </c>
      <c r="IC54" s="16" t="s">
        <v>126</v>
      </c>
      <c r="ID54" s="16" t="s">
        <v>126</v>
      </c>
      <c r="IE54" s="16" t="s">
        <v>126</v>
      </c>
      <c r="IF54" s="16" t="s">
        <v>126</v>
      </c>
      <c r="IG54" s="16" t="s">
        <v>126</v>
      </c>
      <c r="IH54" s="16" t="s">
        <v>126</v>
      </c>
      <c r="II54" s="16" t="s">
        <v>126</v>
      </c>
      <c r="IJ54" s="16" t="s">
        <v>126</v>
      </c>
      <c r="IK54" s="16" t="s">
        <v>126</v>
      </c>
      <c r="IL54" s="16" t="s">
        <v>126</v>
      </c>
      <c r="IM54" s="16" t="s">
        <v>126</v>
      </c>
      <c r="IN54" s="16" t="s">
        <v>126</v>
      </c>
      <c r="IO54" s="16" t="s">
        <v>126</v>
      </c>
      <c r="IP54" s="16" t="s">
        <v>126</v>
      </c>
      <c r="IQ54" s="16" t="s">
        <v>126</v>
      </c>
      <c r="IR54" s="16" t="s">
        <v>126</v>
      </c>
      <c r="IS54" s="59">
        <f t="shared" si="2"/>
        <v>0</v>
      </c>
    </row>
    <row r="55" spans="1:273" ht="13.5" hidden="1" customHeight="1">
      <c r="A55" s="97">
        <v>51</v>
      </c>
      <c r="B55" s="77" t="s">
        <v>200</v>
      </c>
      <c r="C55" s="8">
        <v>390</v>
      </c>
      <c r="D55" s="8">
        <v>480</v>
      </c>
      <c r="E55" s="8">
        <v>320</v>
      </c>
      <c r="F55" s="16" t="s">
        <v>126</v>
      </c>
      <c r="G55" s="31" t="s">
        <v>126</v>
      </c>
      <c r="H55" s="31" t="s">
        <v>126</v>
      </c>
      <c r="I55" s="31" t="s">
        <v>126</v>
      </c>
      <c r="J55" s="31" t="s">
        <v>126</v>
      </c>
      <c r="K55" s="31" t="s">
        <v>126</v>
      </c>
      <c r="L55" s="31" t="s">
        <v>126</v>
      </c>
      <c r="M55" s="31" t="s">
        <v>126</v>
      </c>
      <c r="N55" s="31" t="s">
        <v>126</v>
      </c>
      <c r="O55" s="31" t="s">
        <v>126</v>
      </c>
      <c r="P55" s="31" t="s">
        <v>126</v>
      </c>
      <c r="Q55" s="31" t="s">
        <v>126</v>
      </c>
      <c r="R55" s="31" t="s">
        <v>126</v>
      </c>
      <c r="S55" s="31" t="s">
        <v>126</v>
      </c>
      <c r="T55" s="31" t="s">
        <v>126</v>
      </c>
      <c r="U55" s="31" t="s">
        <v>126</v>
      </c>
      <c r="V55" s="31" t="s">
        <v>126</v>
      </c>
      <c r="W55" s="16" t="s">
        <v>126</v>
      </c>
      <c r="X55" s="16" t="s">
        <v>126</v>
      </c>
      <c r="Y55" s="16" t="s">
        <v>126</v>
      </c>
      <c r="Z55" s="16" t="s">
        <v>126</v>
      </c>
      <c r="AA55" s="16" t="s">
        <v>126</v>
      </c>
      <c r="AB55" s="16" t="s">
        <v>126</v>
      </c>
      <c r="AC55" s="16" t="s">
        <v>126</v>
      </c>
      <c r="AD55" s="16" t="s">
        <v>126</v>
      </c>
      <c r="AE55" s="16" t="s">
        <v>126</v>
      </c>
      <c r="AF55" s="16" t="s">
        <v>126</v>
      </c>
      <c r="AG55" s="16" t="s">
        <v>126</v>
      </c>
      <c r="AH55" s="16" t="s">
        <v>126</v>
      </c>
      <c r="AI55" s="16" t="s">
        <v>126</v>
      </c>
      <c r="AJ55" s="16" t="s">
        <v>126</v>
      </c>
      <c r="AK55" s="16" t="s">
        <v>126</v>
      </c>
      <c r="AL55" s="16" t="s">
        <v>126</v>
      </c>
      <c r="AM55" s="16" t="s">
        <v>126</v>
      </c>
      <c r="AN55" s="16" t="s">
        <v>126</v>
      </c>
      <c r="AO55" s="16" t="s">
        <v>126</v>
      </c>
      <c r="AP55" s="16" t="s">
        <v>126</v>
      </c>
      <c r="AQ55" s="16" t="s">
        <v>126</v>
      </c>
      <c r="AR55" s="91"/>
      <c r="AS55" s="16" t="s">
        <v>126</v>
      </c>
      <c r="AT55" s="16" t="s">
        <v>126</v>
      </c>
      <c r="AU55" s="91"/>
      <c r="AV55" s="16" t="s">
        <v>126</v>
      </c>
      <c r="AW55" s="16" t="s">
        <v>126</v>
      </c>
      <c r="AX55" s="16" t="s">
        <v>126</v>
      </c>
      <c r="AY55" s="16" t="s">
        <v>126</v>
      </c>
      <c r="AZ55" s="16" t="s">
        <v>126</v>
      </c>
      <c r="BA55" s="16" t="s">
        <v>126</v>
      </c>
      <c r="BB55" s="16" t="s">
        <v>126</v>
      </c>
      <c r="BC55" s="16" t="s">
        <v>126</v>
      </c>
      <c r="BD55" s="16" t="s">
        <v>126</v>
      </c>
      <c r="BE55" s="6" t="s">
        <v>126</v>
      </c>
      <c r="BF55" s="16" t="s">
        <v>126</v>
      </c>
      <c r="BG55" s="16" t="s">
        <v>126</v>
      </c>
      <c r="BH55" s="16" t="s">
        <v>126</v>
      </c>
      <c r="BI55" s="16" t="s">
        <v>126</v>
      </c>
      <c r="BJ55" s="16" t="s">
        <v>126</v>
      </c>
      <c r="BK55" s="16" t="s">
        <v>126</v>
      </c>
      <c r="BL55" s="16" t="s">
        <v>126</v>
      </c>
      <c r="BM55" s="16" t="s">
        <v>126</v>
      </c>
      <c r="BN55" s="16" t="s">
        <v>126</v>
      </c>
      <c r="BO55" s="16" t="s">
        <v>126</v>
      </c>
      <c r="BP55" s="16" t="s">
        <v>126</v>
      </c>
      <c r="BQ55" s="16" t="s">
        <v>126</v>
      </c>
      <c r="BR55" s="16" t="s">
        <v>126</v>
      </c>
      <c r="BS55" s="16" t="s">
        <v>126</v>
      </c>
      <c r="BT55" s="16" t="s">
        <v>126</v>
      </c>
      <c r="BU55" s="16" t="s">
        <v>126</v>
      </c>
      <c r="BV55" s="6" t="s">
        <v>126</v>
      </c>
      <c r="BW55" s="16" t="s">
        <v>126</v>
      </c>
      <c r="BX55" s="16" t="s">
        <v>126</v>
      </c>
      <c r="BY55" s="16" t="s">
        <v>126</v>
      </c>
      <c r="BZ55" s="16" t="s">
        <v>126</v>
      </c>
      <c r="CA55" s="16" t="s">
        <v>126</v>
      </c>
      <c r="CB55" s="16" t="s">
        <v>126</v>
      </c>
      <c r="CC55" s="16" t="s">
        <v>126</v>
      </c>
      <c r="CD55" s="16" t="s">
        <v>126</v>
      </c>
      <c r="CE55" s="16" t="s">
        <v>126</v>
      </c>
      <c r="CF55" s="16" t="s">
        <v>126</v>
      </c>
      <c r="CG55" s="16" t="s">
        <v>126</v>
      </c>
      <c r="CH55" s="16" t="s">
        <v>126</v>
      </c>
      <c r="CI55" s="16" t="s">
        <v>126</v>
      </c>
      <c r="CJ55" s="16" t="s">
        <v>126</v>
      </c>
      <c r="CK55" s="16" t="s">
        <v>126</v>
      </c>
      <c r="CL55" s="16" t="s">
        <v>126</v>
      </c>
      <c r="CM55" s="16" t="s">
        <v>126</v>
      </c>
      <c r="CN55" s="16" t="s">
        <v>126</v>
      </c>
      <c r="CO55" s="16" t="s">
        <v>126</v>
      </c>
      <c r="CP55" s="16" t="s">
        <v>126</v>
      </c>
      <c r="CQ55" s="16" t="s">
        <v>126</v>
      </c>
      <c r="CR55" s="16" t="s">
        <v>126</v>
      </c>
      <c r="CS55" s="16" t="s">
        <v>126</v>
      </c>
      <c r="CT55" s="16" t="s">
        <v>126</v>
      </c>
      <c r="CU55" s="16" t="s">
        <v>126</v>
      </c>
      <c r="CV55" s="16" t="s">
        <v>126</v>
      </c>
      <c r="CW55" s="16" t="s">
        <v>126</v>
      </c>
      <c r="CX55" s="16" t="s">
        <v>126</v>
      </c>
      <c r="CY55" s="16" t="s">
        <v>126</v>
      </c>
      <c r="CZ55" s="16" t="s">
        <v>126</v>
      </c>
      <c r="DA55" s="16" t="s">
        <v>126</v>
      </c>
      <c r="DB55" s="16" t="s">
        <v>126</v>
      </c>
      <c r="DC55" s="16" t="s">
        <v>126</v>
      </c>
      <c r="DD55" s="16" t="s">
        <v>126</v>
      </c>
      <c r="DE55" s="16" t="s">
        <v>126</v>
      </c>
      <c r="DF55" s="16" t="s">
        <v>126</v>
      </c>
      <c r="DG55" s="16" t="s">
        <v>126</v>
      </c>
      <c r="DH55" s="16" t="s">
        <v>126</v>
      </c>
      <c r="DI55" s="16" t="s">
        <v>126</v>
      </c>
      <c r="DJ55" s="16" t="s">
        <v>126</v>
      </c>
      <c r="DK55" s="16" t="s">
        <v>126</v>
      </c>
      <c r="DL55" s="16" t="s">
        <v>126</v>
      </c>
      <c r="DM55" s="16" t="s">
        <v>126</v>
      </c>
      <c r="DN55" s="16" t="s">
        <v>126</v>
      </c>
      <c r="DO55" s="16" t="s">
        <v>126</v>
      </c>
      <c r="DP55" s="16" t="s">
        <v>126</v>
      </c>
      <c r="DQ55" s="16" t="s">
        <v>126</v>
      </c>
      <c r="DR55" s="16" t="s">
        <v>126</v>
      </c>
      <c r="DS55" s="16" t="s">
        <v>126</v>
      </c>
      <c r="DT55" s="16" t="s">
        <v>126</v>
      </c>
      <c r="DU55" s="16" t="s">
        <v>126</v>
      </c>
      <c r="DV55" s="16" t="s">
        <v>126</v>
      </c>
      <c r="DW55" s="16" t="s">
        <v>126</v>
      </c>
      <c r="DX55" s="16" t="s">
        <v>126</v>
      </c>
      <c r="DY55" s="16" t="s">
        <v>126</v>
      </c>
      <c r="DZ55" s="16" t="s">
        <v>126</v>
      </c>
      <c r="EA55" s="16" t="s">
        <v>126</v>
      </c>
      <c r="EB55" s="16" t="s">
        <v>126</v>
      </c>
      <c r="EC55" s="16" t="s">
        <v>126</v>
      </c>
      <c r="ED55" s="16" t="s">
        <v>126</v>
      </c>
      <c r="EE55" s="16" t="s">
        <v>126</v>
      </c>
      <c r="EF55" s="16" t="s">
        <v>126</v>
      </c>
      <c r="EG55" s="16" t="s">
        <v>126</v>
      </c>
      <c r="EH55" s="16" t="s">
        <v>126</v>
      </c>
      <c r="EI55" s="16" t="s">
        <v>126</v>
      </c>
      <c r="EJ55" s="16" t="s">
        <v>126</v>
      </c>
      <c r="EK55" s="16" t="s">
        <v>126</v>
      </c>
      <c r="EL55" s="16" t="s">
        <v>126</v>
      </c>
      <c r="EM55" s="16" t="s">
        <v>126</v>
      </c>
      <c r="EN55" s="16" t="s">
        <v>126</v>
      </c>
      <c r="EO55" s="16" t="s">
        <v>126</v>
      </c>
      <c r="EP55" s="16" t="s">
        <v>126</v>
      </c>
      <c r="EQ55" s="16" t="s">
        <v>126</v>
      </c>
      <c r="ER55" s="16" t="s">
        <v>126</v>
      </c>
      <c r="ES55" s="16" t="s">
        <v>126</v>
      </c>
      <c r="ET55" s="16" t="s">
        <v>126</v>
      </c>
      <c r="EU55" s="16" t="s">
        <v>126</v>
      </c>
      <c r="EV55" s="16" t="s">
        <v>126</v>
      </c>
      <c r="EW55" s="16" t="s">
        <v>126</v>
      </c>
      <c r="EX55" s="16" t="s">
        <v>126</v>
      </c>
      <c r="EY55" s="16" t="s">
        <v>126</v>
      </c>
      <c r="EZ55" s="16" t="s">
        <v>126</v>
      </c>
      <c r="FA55" s="16" t="s">
        <v>126</v>
      </c>
      <c r="FB55" s="16" t="s">
        <v>126</v>
      </c>
      <c r="FC55" s="16" t="s">
        <v>126</v>
      </c>
      <c r="FD55" s="16" t="s">
        <v>126</v>
      </c>
      <c r="FE55" s="16" t="s">
        <v>126</v>
      </c>
      <c r="FF55" s="16" t="s">
        <v>126</v>
      </c>
      <c r="FG55" s="16" t="s">
        <v>126</v>
      </c>
      <c r="FH55" s="16" t="s">
        <v>126</v>
      </c>
      <c r="FI55" s="16" t="s">
        <v>126</v>
      </c>
      <c r="FJ55" s="16" t="s">
        <v>126</v>
      </c>
      <c r="FK55" s="16" t="s">
        <v>126</v>
      </c>
      <c r="FL55" s="16" t="s">
        <v>126</v>
      </c>
      <c r="FM55" s="16" t="s">
        <v>126</v>
      </c>
      <c r="FN55" s="16" t="s">
        <v>126</v>
      </c>
      <c r="FO55" s="16" t="s">
        <v>126</v>
      </c>
      <c r="FP55" s="16" t="s">
        <v>126</v>
      </c>
      <c r="FQ55" s="16" t="s">
        <v>126</v>
      </c>
      <c r="FR55" s="16" t="s">
        <v>126</v>
      </c>
      <c r="FS55" s="16" t="s">
        <v>126</v>
      </c>
      <c r="FT55" s="16" t="s">
        <v>126</v>
      </c>
      <c r="FU55" s="16" t="s">
        <v>126</v>
      </c>
      <c r="FV55" s="16" t="s">
        <v>126</v>
      </c>
      <c r="FW55" s="16" t="s">
        <v>126</v>
      </c>
      <c r="FX55" s="16" t="s">
        <v>126</v>
      </c>
      <c r="FY55" s="16" t="s">
        <v>126</v>
      </c>
      <c r="FZ55" s="16" t="s">
        <v>126</v>
      </c>
      <c r="GA55" s="16" t="s">
        <v>126</v>
      </c>
      <c r="GB55" s="16" t="s">
        <v>126</v>
      </c>
      <c r="GC55" s="16" t="s">
        <v>126</v>
      </c>
      <c r="GD55" s="16" t="s">
        <v>126</v>
      </c>
      <c r="GE55" s="16" t="s">
        <v>126</v>
      </c>
      <c r="GF55" s="16" t="s">
        <v>126</v>
      </c>
      <c r="GG55" s="16" t="s">
        <v>126</v>
      </c>
      <c r="GH55" s="16" t="s">
        <v>126</v>
      </c>
      <c r="GI55" s="16" t="s">
        <v>126</v>
      </c>
      <c r="GJ55" s="16" t="s">
        <v>126</v>
      </c>
      <c r="GK55" s="16" t="s">
        <v>126</v>
      </c>
      <c r="GL55" s="16" t="s">
        <v>126</v>
      </c>
      <c r="GM55" s="16" t="s">
        <v>126</v>
      </c>
      <c r="GN55" s="16" t="s">
        <v>126</v>
      </c>
      <c r="GO55" s="16" t="s">
        <v>126</v>
      </c>
      <c r="GP55" s="16" t="s">
        <v>126</v>
      </c>
      <c r="GQ55" s="16" t="s">
        <v>126</v>
      </c>
      <c r="GR55" s="16" t="s">
        <v>126</v>
      </c>
      <c r="GS55" s="16" t="s">
        <v>126</v>
      </c>
      <c r="GT55" s="16" t="s">
        <v>126</v>
      </c>
      <c r="GU55" s="16" t="s">
        <v>126</v>
      </c>
      <c r="GV55" s="16" t="s">
        <v>126</v>
      </c>
      <c r="GW55" s="16" t="s">
        <v>126</v>
      </c>
      <c r="GX55" s="16" t="s">
        <v>126</v>
      </c>
      <c r="GY55" s="16" t="s">
        <v>126</v>
      </c>
      <c r="GZ55" s="16" t="s">
        <v>126</v>
      </c>
      <c r="HA55" s="16" t="s">
        <v>126</v>
      </c>
      <c r="HB55" s="16" t="s">
        <v>126</v>
      </c>
      <c r="HC55" s="16" t="s">
        <v>126</v>
      </c>
      <c r="HD55" s="16" t="s">
        <v>126</v>
      </c>
      <c r="HE55" s="16" t="s">
        <v>126</v>
      </c>
      <c r="HF55" s="16" t="s">
        <v>126</v>
      </c>
      <c r="HG55" s="16" t="s">
        <v>126</v>
      </c>
      <c r="HH55" s="16" t="s">
        <v>126</v>
      </c>
      <c r="HI55" s="16" t="s">
        <v>126</v>
      </c>
      <c r="HJ55" s="16" t="s">
        <v>126</v>
      </c>
      <c r="HK55" s="16" t="s">
        <v>126</v>
      </c>
      <c r="HL55" s="16" t="s">
        <v>126</v>
      </c>
      <c r="HM55" s="16" t="s">
        <v>126</v>
      </c>
      <c r="HN55" s="16" t="s">
        <v>126</v>
      </c>
      <c r="HO55" s="16" t="s">
        <v>126</v>
      </c>
      <c r="HP55" s="16" t="s">
        <v>126</v>
      </c>
      <c r="HQ55" s="16" t="s">
        <v>126</v>
      </c>
      <c r="HR55" s="16" t="s">
        <v>126</v>
      </c>
      <c r="HS55" s="16" t="s">
        <v>126</v>
      </c>
      <c r="HT55" s="16" t="s">
        <v>126</v>
      </c>
      <c r="HU55" s="16" t="s">
        <v>126</v>
      </c>
      <c r="HV55" s="16" t="s">
        <v>126</v>
      </c>
      <c r="HW55" s="16" t="s">
        <v>126</v>
      </c>
      <c r="HX55" s="16" t="s">
        <v>126</v>
      </c>
      <c r="HY55" s="16" t="s">
        <v>126</v>
      </c>
      <c r="HZ55" s="16" t="s">
        <v>126</v>
      </c>
      <c r="IA55" s="16" t="s">
        <v>126</v>
      </c>
      <c r="IB55" s="16" t="s">
        <v>126</v>
      </c>
      <c r="IC55" s="16" t="s">
        <v>126</v>
      </c>
      <c r="ID55" s="16" t="s">
        <v>126</v>
      </c>
      <c r="IE55" s="16" t="s">
        <v>126</v>
      </c>
      <c r="IF55" s="16" t="s">
        <v>126</v>
      </c>
      <c r="IG55" s="16" t="s">
        <v>126</v>
      </c>
      <c r="IH55" s="16" t="s">
        <v>126</v>
      </c>
      <c r="II55" s="16" t="s">
        <v>126</v>
      </c>
      <c r="IJ55" s="16" t="s">
        <v>126</v>
      </c>
      <c r="IK55" s="16" t="s">
        <v>126</v>
      </c>
      <c r="IL55" s="16" t="s">
        <v>126</v>
      </c>
      <c r="IM55" s="16" t="s">
        <v>126</v>
      </c>
      <c r="IN55" s="16" t="s">
        <v>126</v>
      </c>
      <c r="IO55" s="16" t="s">
        <v>126</v>
      </c>
      <c r="IP55" s="16" t="s">
        <v>126</v>
      </c>
      <c r="IQ55" s="16" t="s">
        <v>126</v>
      </c>
      <c r="IR55" s="16" t="s">
        <v>126</v>
      </c>
      <c r="IS55" s="59">
        <f t="shared" si="2"/>
        <v>0</v>
      </c>
    </row>
    <row r="56" spans="1:273" ht="13.5" hidden="1" customHeight="1">
      <c r="A56" s="97">
        <v>52</v>
      </c>
      <c r="B56" s="77" t="s">
        <v>201</v>
      </c>
      <c r="C56" s="6">
        <v>480</v>
      </c>
      <c r="D56" s="6">
        <v>320</v>
      </c>
      <c r="E56" s="6">
        <v>590</v>
      </c>
      <c r="F56" s="16" t="s">
        <v>126</v>
      </c>
      <c r="G56" s="31" t="s">
        <v>126</v>
      </c>
      <c r="H56" s="31" t="s">
        <v>126</v>
      </c>
      <c r="I56" s="31" t="s">
        <v>126</v>
      </c>
      <c r="J56" s="31" t="s">
        <v>126</v>
      </c>
      <c r="K56" s="31" t="s">
        <v>126</v>
      </c>
      <c r="L56" s="31" t="s">
        <v>126</v>
      </c>
      <c r="M56" s="31" t="s">
        <v>126</v>
      </c>
      <c r="N56" s="31" t="s">
        <v>126</v>
      </c>
      <c r="O56" s="31" t="s">
        <v>126</v>
      </c>
      <c r="P56" s="31" t="s">
        <v>126</v>
      </c>
      <c r="Q56" s="31" t="s">
        <v>126</v>
      </c>
      <c r="R56" s="31" t="s">
        <v>126</v>
      </c>
      <c r="S56" s="31" t="s">
        <v>126</v>
      </c>
      <c r="T56" s="31" t="s">
        <v>126</v>
      </c>
      <c r="U56" s="31" t="s">
        <v>126</v>
      </c>
      <c r="V56" s="31" t="s">
        <v>126</v>
      </c>
      <c r="W56" s="16" t="s">
        <v>126</v>
      </c>
      <c r="X56" s="16" t="s">
        <v>126</v>
      </c>
      <c r="Y56" s="16" t="s">
        <v>126</v>
      </c>
      <c r="Z56" s="16" t="s">
        <v>126</v>
      </c>
      <c r="AA56" s="16" t="s">
        <v>126</v>
      </c>
      <c r="AB56" s="16" t="s">
        <v>126</v>
      </c>
      <c r="AC56" s="16" t="s">
        <v>126</v>
      </c>
      <c r="AD56" s="16" t="s">
        <v>126</v>
      </c>
      <c r="AE56" s="16" t="s">
        <v>126</v>
      </c>
      <c r="AF56" s="16" t="s">
        <v>126</v>
      </c>
      <c r="AG56" s="16" t="s">
        <v>126</v>
      </c>
      <c r="AH56" s="16" t="s">
        <v>126</v>
      </c>
      <c r="AI56" s="16" t="s">
        <v>126</v>
      </c>
      <c r="AJ56" s="16" t="s">
        <v>126</v>
      </c>
      <c r="AK56" s="16" t="s">
        <v>126</v>
      </c>
      <c r="AL56" s="16" t="s">
        <v>126</v>
      </c>
      <c r="AM56" s="16" t="s">
        <v>126</v>
      </c>
      <c r="AN56" s="16" t="s">
        <v>126</v>
      </c>
      <c r="AO56" s="16" t="s">
        <v>126</v>
      </c>
      <c r="AP56" s="16" t="s">
        <v>126</v>
      </c>
      <c r="AQ56" s="16">
        <v>85</v>
      </c>
      <c r="AR56" s="91"/>
      <c r="AS56" s="16">
        <v>76</v>
      </c>
      <c r="AT56" s="16">
        <v>68</v>
      </c>
      <c r="AU56" s="91"/>
      <c r="AV56" s="16" t="s">
        <v>126</v>
      </c>
      <c r="AW56" s="16" t="s">
        <v>126</v>
      </c>
      <c r="AX56" s="16" t="s">
        <v>126</v>
      </c>
      <c r="AY56" s="16" t="s">
        <v>126</v>
      </c>
      <c r="AZ56" s="16" t="s">
        <v>126</v>
      </c>
      <c r="BA56" s="16" t="s">
        <v>126</v>
      </c>
      <c r="BB56" s="16" t="s">
        <v>126</v>
      </c>
      <c r="BC56" s="16" t="s">
        <v>126</v>
      </c>
      <c r="BD56" s="16">
        <v>83</v>
      </c>
      <c r="BE56" s="6">
        <v>78</v>
      </c>
      <c r="BF56" s="16">
        <v>76</v>
      </c>
      <c r="BG56" s="16">
        <v>73</v>
      </c>
      <c r="BH56" s="16">
        <v>68</v>
      </c>
      <c r="BI56" s="16" t="s">
        <v>126</v>
      </c>
      <c r="BJ56" s="16" t="s">
        <v>126</v>
      </c>
      <c r="BK56" s="16">
        <v>73</v>
      </c>
      <c r="BL56" s="16" t="s">
        <v>126</v>
      </c>
      <c r="BM56" s="16" t="s">
        <v>126</v>
      </c>
      <c r="BN56" s="16" t="s">
        <v>126</v>
      </c>
      <c r="BO56" s="16" t="s">
        <v>126</v>
      </c>
      <c r="BP56" s="16" t="s">
        <v>126</v>
      </c>
      <c r="BQ56" s="16" t="s">
        <v>126</v>
      </c>
      <c r="BR56" s="16" t="s">
        <v>126</v>
      </c>
      <c r="BS56" s="16">
        <v>36</v>
      </c>
      <c r="BT56" s="16" t="s">
        <v>126</v>
      </c>
      <c r="BU56" s="16" t="s">
        <v>126</v>
      </c>
      <c r="BV56" s="6" t="s">
        <v>126</v>
      </c>
      <c r="BW56" s="16" t="s">
        <v>126</v>
      </c>
      <c r="BX56" s="16" t="s">
        <v>126</v>
      </c>
      <c r="BY56" s="16" t="s">
        <v>126</v>
      </c>
      <c r="BZ56" s="16" t="s">
        <v>126</v>
      </c>
      <c r="CA56" s="16" t="s">
        <v>126</v>
      </c>
      <c r="CB56" s="16" t="s">
        <v>126</v>
      </c>
      <c r="CC56" s="16" t="s">
        <v>126</v>
      </c>
      <c r="CD56" s="16" t="s">
        <v>126</v>
      </c>
      <c r="CE56" s="16" t="s">
        <v>126</v>
      </c>
      <c r="CF56" s="16" t="s">
        <v>126</v>
      </c>
      <c r="CG56" s="16" t="s">
        <v>126</v>
      </c>
      <c r="CH56" s="16" t="s">
        <v>126</v>
      </c>
      <c r="CI56" s="16" t="s">
        <v>126</v>
      </c>
      <c r="CJ56" s="16" t="s">
        <v>126</v>
      </c>
      <c r="CK56" s="16" t="s">
        <v>126</v>
      </c>
      <c r="CL56" s="16" t="s">
        <v>126</v>
      </c>
      <c r="CM56" s="16" t="s">
        <v>126</v>
      </c>
      <c r="CN56" s="16" t="s">
        <v>126</v>
      </c>
      <c r="CO56" s="16" t="s">
        <v>126</v>
      </c>
      <c r="CP56" s="16" t="s">
        <v>126</v>
      </c>
      <c r="CQ56" s="16" t="s">
        <v>126</v>
      </c>
      <c r="CR56" s="16" t="s">
        <v>126</v>
      </c>
      <c r="CS56" s="16" t="s">
        <v>126</v>
      </c>
      <c r="CT56" s="16" t="s">
        <v>126</v>
      </c>
      <c r="CU56" s="16" t="s">
        <v>126</v>
      </c>
      <c r="CV56" s="16" t="s">
        <v>126</v>
      </c>
      <c r="CW56" s="16" t="s">
        <v>126</v>
      </c>
      <c r="CX56" s="16" t="s">
        <v>126</v>
      </c>
      <c r="CY56" s="16" t="s">
        <v>126</v>
      </c>
      <c r="CZ56" s="16" t="s">
        <v>126</v>
      </c>
      <c r="DA56" s="16" t="s">
        <v>126</v>
      </c>
      <c r="DB56" s="16" t="s">
        <v>126</v>
      </c>
      <c r="DC56" s="16" t="s">
        <v>126</v>
      </c>
      <c r="DD56" s="16" t="s">
        <v>126</v>
      </c>
      <c r="DE56" s="16" t="s">
        <v>126</v>
      </c>
      <c r="DF56" s="16" t="s">
        <v>126</v>
      </c>
      <c r="DG56" s="16" t="s">
        <v>126</v>
      </c>
      <c r="DH56" s="16" t="s">
        <v>126</v>
      </c>
      <c r="DI56" s="16" t="s">
        <v>126</v>
      </c>
      <c r="DJ56" s="16" t="s">
        <v>126</v>
      </c>
      <c r="DK56" s="16" t="s">
        <v>126</v>
      </c>
      <c r="DL56" s="16" t="s">
        <v>126</v>
      </c>
      <c r="DM56" s="16" t="s">
        <v>126</v>
      </c>
      <c r="DN56" s="16" t="s">
        <v>126</v>
      </c>
      <c r="DO56" s="16" t="s">
        <v>126</v>
      </c>
      <c r="DP56" s="16" t="s">
        <v>126</v>
      </c>
      <c r="DQ56" s="16" t="s">
        <v>126</v>
      </c>
      <c r="DR56" s="16" t="s">
        <v>126</v>
      </c>
      <c r="DS56" s="16" t="s">
        <v>126</v>
      </c>
      <c r="DT56" s="16" t="s">
        <v>126</v>
      </c>
      <c r="DU56" s="16" t="s">
        <v>126</v>
      </c>
      <c r="DV56" s="16" t="s">
        <v>126</v>
      </c>
      <c r="DW56" s="16" t="s">
        <v>126</v>
      </c>
      <c r="DX56" s="16" t="s">
        <v>126</v>
      </c>
      <c r="DY56" s="16" t="s">
        <v>126</v>
      </c>
      <c r="DZ56" s="16" t="s">
        <v>126</v>
      </c>
      <c r="EA56" s="16" t="s">
        <v>126</v>
      </c>
      <c r="EB56" s="16" t="s">
        <v>126</v>
      </c>
      <c r="EC56" s="16" t="s">
        <v>126</v>
      </c>
      <c r="ED56" s="16" t="s">
        <v>126</v>
      </c>
      <c r="EE56" s="16" t="s">
        <v>126</v>
      </c>
      <c r="EF56" s="16" t="s">
        <v>126</v>
      </c>
      <c r="EG56" s="16" t="s">
        <v>126</v>
      </c>
      <c r="EH56" s="16" t="s">
        <v>126</v>
      </c>
      <c r="EI56" s="16" t="s">
        <v>126</v>
      </c>
      <c r="EJ56" s="16" t="s">
        <v>126</v>
      </c>
      <c r="EK56" s="16" t="s">
        <v>126</v>
      </c>
      <c r="EL56" s="16" t="s">
        <v>126</v>
      </c>
      <c r="EM56" s="16" t="s">
        <v>126</v>
      </c>
      <c r="EN56" s="16" t="s">
        <v>126</v>
      </c>
      <c r="EO56" s="16" t="s">
        <v>126</v>
      </c>
      <c r="EP56" s="16" t="s">
        <v>126</v>
      </c>
      <c r="EQ56" s="16" t="s">
        <v>126</v>
      </c>
      <c r="ER56" s="16" t="s">
        <v>126</v>
      </c>
      <c r="ES56" s="16" t="s">
        <v>126</v>
      </c>
      <c r="ET56" s="16" t="s">
        <v>126</v>
      </c>
      <c r="EU56" s="16" t="s">
        <v>126</v>
      </c>
      <c r="EV56" s="16" t="s">
        <v>126</v>
      </c>
      <c r="EW56" s="16" t="s">
        <v>126</v>
      </c>
      <c r="EX56" s="16" t="s">
        <v>126</v>
      </c>
      <c r="EY56" s="16" t="s">
        <v>126</v>
      </c>
      <c r="EZ56" s="16" t="s">
        <v>126</v>
      </c>
      <c r="FA56" s="16" t="s">
        <v>126</v>
      </c>
      <c r="FB56" s="16" t="s">
        <v>126</v>
      </c>
      <c r="FC56" s="16" t="s">
        <v>126</v>
      </c>
      <c r="FD56" s="16" t="s">
        <v>126</v>
      </c>
      <c r="FE56" s="16" t="s">
        <v>126</v>
      </c>
      <c r="FF56" s="16" t="s">
        <v>126</v>
      </c>
      <c r="FG56" s="16" t="s">
        <v>126</v>
      </c>
      <c r="FH56" s="16" t="s">
        <v>126</v>
      </c>
      <c r="FI56" s="16" t="s">
        <v>126</v>
      </c>
      <c r="FJ56" s="16" t="s">
        <v>126</v>
      </c>
      <c r="FK56" s="16" t="s">
        <v>126</v>
      </c>
      <c r="FL56" s="16" t="s">
        <v>126</v>
      </c>
      <c r="FM56" s="16" t="s">
        <v>126</v>
      </c>
      <c r="FN56" s="16" t="s">
        <v>126</v>
      </c>
      <c r="FO56" s="16" t="s">
        <v>126</v>
      </c>
      <c r="FP56" s="16" t="s">
        <v>126</v>
      </c>
      <c r="FQ56" s="16" t="s">
        <v>126</v>
      </c>
      <c r="FR56" s="16" t="s">
        <v>126</v>
      </c>
      <c r="FS56" s="16" t="s">
        <v>126</v>
      </c>
      <c r="FT56" s="16" t="s">
        <v>126</v>
      </c>
      <c r="FU56" s="16" t="s">
        <v>126</v>
      </c>
      <c r="FV56" s="16" t="s">
        <v>126</v>
      </c>
      <c r="FW56" s="16" t="s">
        <v>126</v>
      </c>
      <c r="FX56" s="16" t="s">
        <v>126</v>
      </c>
      <c r="FY56" s="16" t="s">
        <v>126</v>
      </c>
      <c r="FZ56" s="16" t="s">
        <v>126</v>
      </c>
      <c r="GA56" s="16" t="s">
        <v>126</v>
      </c>
      <c r="GB56" s="16" t="s">
        <v>126</v>
      </c>
      <c r="GC56" s="16" t="s">
        <v>126</v>
      </c>
      <c r="GD56" s="16" t="s">
        <v>126</v>
      </c>
      <c r="GE56" s="16" t="s">
        <v>126</v>
      </c>
      <c r="GF56" s="16" t="s">
        <v>126</v>
      </c>
      <c r="GG56" s="16" t="s">
        <v>126</v>
      </c>
      <c r="GH56" s="16" t="s">
        <v>126</v>
      </c>
      <c r="GI56" s="16" t="s">
        <v>126</v>
      </c>
      <c r="GJ56" s="16" t="s">
        <v>126</v>
      </c>
      <c r="GK56" s="16" t="s">
        <v>126</v>
      </c>
      <c r="GL56" s="16" t="s">
        <v>126</v>
      </c>
      <c r="GM56" s="16" t="s">
        <v>126</v>
      </c>
      <c r="GN56" s="16" t="s">
        <v>126</v>
      </c>
      <c r="GO56" s="16" t="s">
        <v>126</v>
      </c>
      <c r="GP56" s="16" t="s">
        <v>126</v>
      </c>
      <c r="GQ56" s="16" t="s">
        <v>126</v>
      </c>
      <c r="GR56" s="16" t="s">
        <v>126</v>
      </c>
      <c r="GS56" s="16" t="s">
        <v>126</v>
      </c>
      <c r="GT56" s="16" t="s">
        <v>126</v>
      </c>
      <c r="GU56" s="16" t="s">
        <v>126</v>
      </c>
      <c r="GV56" s="16" t="s">
        <v>126</v>
      </c>
      <c r="GW56" s="16" t="s">
        <v>126</v>
      </c>
      <c r="GX56" s="16" t="s">
        <v>126</v>
      </c>
      <c r="GY56" s="16" t="s">
        <v>126</v>
      </c>
      <c r="GZ56" s="16" t="s">
        <v>126</v>
      </c>
      <c r="HA56" s="16" t="s">
        <v>126</v>
      </c>
      <c r="HB56" s="16" t="s">
        <v>126</v>
      </c>
      <c r="HC56" s="16" t="s">
        <v>126</v>
      </c>
      <c r="HD56" s="16" t="s">
        <v>126</v>
      </c>
      <c r="HE56" s="16" t="s">
        <v>126</v>
      </c>
      <c r="HF56" s="16" t="s">
        <v>126</v>
      </c>
      <c r="HG56" s="16" t="s">
        <v>126</v>
      </c>
      <c r="HH56" s="16" t="s">
        <v>126</v>
      </c>
      <c r="HI56" s="16" t="s">
        <v>126</v>
      </c>
      <c r="HJ56" s="16" t="s">
        <v>126</v>
      </c>
      <c r="HK56" s="16" t="s">
        <v>126</v>
      </c>
      <c r="HL56" s="16" t="s">
        <v>126</v>
      </c>
      <c r="HM56" s="16" t="s">
        <v>126</v>
      </c>
      <c r="HN56" s="16" t="s">
        <v>126</v>
      </c>
      <c r="HO56" s="16" t="s">
        <v>126</v>
      </c>
      <c r="HP56" s="16" t="s">
        <v>126</v>
      </c>
      <c r="HQ56" s="16" t="s">
        <v>126</v>
      </c>
      <c r="HR56" s="16" t="s">
        <v>126</v>
      </c>
      <c r="HS56" s="16" t="s">
        <v>126</v>
      </c>
      <c r="HT56" s="16" t="s">
        <v>126</v>
      </c>
      <c r="HU56" s="16" t="s">
        <v>126</v>
      </c>
      <c r="HV56" s="16" t="s">
        <v>126</v>
      </c>
      <c r="HW56" s="16" t="s">
        <v>126</v>
      </c>
      <c r="HX56" s="16" t="s">
        <v>126</v>
      </c>
      <c r="HY56" s="16" t="s">
        <v>126</v>
      </c>
      <c r="HZ56" s="16" t="s">
        <v>126</v>
      </c>
      <c r="IA56" s="16" t="s">
        <v>126</v>
      </c>
      <c r="IB56" s="16" t="s">
        <v>126</v>
      </c>
      <c r="IC56" s="16" t="s">
        <v>126</v>
      </c>
      <c r="ID56" s="16" t="s">
        <v>126</v>
      </c>
      <c r="IE56" s="16" t="s">
        <v>126</v>
      </c>
      <c r="IF56" s="16" t="s">
        <v>126</v>
      </c>
      <c r="IG56" s="16" t="s">
        <v>126</v>
      </c>
      <c r="IH56" s="16" t="s">
        <v>126</v>
      </c>
      <c r="II56" s="16" t="s">
        <v>126</v>
      </c>
      <c r="IJ56" s="16" t="s">
        <v>126</v>
      </c>
      <c r="IK56" s="16" t="s">
        <v>126</v>
      </c>
      <c r="IL56" s="16" t="s">
        <v>126</v>
      </c>
      <c r="IM56" s="16" t="s">
        <v>126</v>
      </c>
      <c r="IN56" s="16" t="s">
        <v>126</v>
      </c>
      <c r="IO56" s="16" t="s">
        <v>126</v>
      </c>
      <c r="IP56" s="16" t="s">
        <v>126</v>
      </c>
      <c r="IQ56" s="16" t="s">
        <v>126</v>
      </c>
      <c r="IR56" s="16" t="s">
        <v>126</v>
      </c>
      <c r="IS56" s="59">
        <f t="shared" si="2"/>
        <v>0</v>
      </c>
    </row>
    <row r="57" spans="1:273" ht="13.5" customHeight="1">
      <c r="A57" s="97">
        <v>53</v>
      </c>
      <c r="B57" s="77" t="s">
        <v>202</v>
      </c>
      <c r="C57" s="6">
        <v>320</v>
      </c>
      <c r="D57" s="6">
        <v>390</v>
      </c>
      <c r="E57" s="6">
        <v>320</v>
      </c>
      <c r="F57" s="16" t="s">
        <v>126</v>
      </c>
      <c r="G57" s="31" t="s">
        <v>126</v>
      </c>
      <c r="H57" s="31" t="s">
        <v>126</v>
      </c>
      <c r="I57" s="31" t="s">
        <v>126</v>
      </c>
      <c r="J57" s="31" t="s">
        <v>126</v>
      </c>
      <c r="K57" s="31" t="s">
        <v>126</v>
      </c>
      <c r="L57" s="31" t="s">
        <v>126</v>
      </c>
      <c r="M57" s="31" t="s">
        <v>126</v>
      </c>
      <c r="N57" s="31" t="s">
        <v>126</v>
      </c>
      <c r="O57" s="31" t="s">
        <v>126</v>
      </c>
      <c r="P57" s="31" t="s">
        <v>126</v>
      </c>
      <c r="Q57" s="31" t="s">
        <v>126</v>
      </c>
      <c r="R57" s="31" t="s">
        <v>126</v>
      </c>
      <c r="S57" s="31" t="s">
        <v>126</v>
      </c>
      <c r="T57" s="31" t="s">
        <v>126</v>
      </c>
      <c r="U57" s="31" t="s">
        <v>126</v>
      </c>
      <c r="V57" s="31" t="s">
        <v>126</v>
      </c>
      <c r="W57" s="16" t="s">
        <v>126</v>
      </c>
      <c r="X57" s="16" t="s">
        <v>126</v>
      </c>
      <c r="Y57" s="16" t="s">
        <v>126</v>
      </c>
      <c r="Z57" s="16" t="s">
        <v>126</v>
      </c>
      <c r="AA57" s="16" t="s">
        <v>126</v>
      </c>
      <c r="AB57" s="16" t="s">
        <v>126</v>
      </c>
      <c r="AC57" s="16" t="s">
        <v>126</v>
      </c>
      <c r="AD57" s="16" t="s">
        <v>126</v>
      </c>
      <c r="AE57" s="16" t="s">
        <v>126</v>
      </c>
      <c r="AF57" s="16" t="s">
        <v>126</v>
      </c>
      <c r="AG57" s="16" t="s">
        <v>126</v>
      </c>
      <c r="AH57" s="16" t="s">
        <v>126</v>
      </c>
      <c r="AI57" s="16" t="s">
        <v>126</v>
      </c>
      <c r="AJ57" s="16" t="s">
        <v>126</v>
      </c>
      <c r="AK57" s="16" t="s">
        <v>126</v>
      </c>
      <c r="AL57" s="16" t="s">
        <v>126</v>
      </c>
      <c r="AM57" s="16" t="s">
        <v>126</v>
      </c>
      <c r="AN57" s="16" t="s">
        <v>126</v>
      </c>
      <c r="AO57" s="16" t="s">
        <v>126</v>
      </c>
      <c r="AP57" s="16" t="s">
        <v>126</v>
      </c>
      <c r="AQ57" s="16" t="s">
        <v>126</v>
      </c>
      <c r="AR57" s="91"/>
      <c r="AS57" s="16" t="s">
        <v>126</v>
      </c>
      <c r="AT57" s="16" t="s">
        <v>126</v>
      </c>
      <c r="AU57" s="91"/>
      <c r="AV57" s="16" t="s">
        <v>126</v>
      </c>
      <c r="AW57" s="16" t="s">
        <v>126</v>
      </c>
      <c r="AX57" s="16" t="s">
        <v>126</v>
      </c>
      <c r="AY57" s="16" t="s">
        <v>126</v>
      </c>
      <c r="AZ57" s="16" t="s">
        <v>126</v>
      </c>
      <c r="BA57" s="16" t="s">
        <v>126</v>
      </c>
      <c r="BB57" s="16" t="s">
        <v>126</v>
      </c>
      <c r="BC57" s="16" t="s">
        <v>126</v>
      </c>
      <c r="BD57" s="16" t="s">
        <v>126</v>
      </c>
      <c r="BE57" s="6" t="s">
        <v>126</v>
      </c>
      <c r="BF57" s="16" t="s">
        <v>126</v>
      </c>
      <c r="BG57" s="16" t="s">
        <v>126</v>
      </c>
      <c r="BH57" s="16" t="s">
        <v>126</v>
      </c>
      <c r="BI57" s="16" t="s">
        <v>126</v>
      </c>
      <c r="BJ57" s="16" t="s">
        <v>126</v>
      </c>
      <c r="BK57" s="16" t="s">
        <v>126</v>
      </c>
      <c r="BL57" s="16" t="s">
        <v>126</v>
      </c>
      <c r="BM57" s="16" t="s">
        <v>126</v>
      </c>
      <c r="BN57" s="16" t="s">
        <v>126</v>
      </c>
      <c r="BO57" s="16" t="s">
        <v>126</v>
      </c>
      <c r="BP57" s="16" t="s">
        <v>126</v>
      </c>
      <c r="BQ57" s="16" t="s">
        <v>126</v>
      </c>
      <c r="BR57" s="16" t="s">
        <v>126</v>
      </c>
      <c r="BS57" s="16" t="s">
        <v>126</v>
      </c>
      <c r="BT57" s="16" t="s">
        <v>126</v>
      </c>
      <c r="BU57" s="16" t="s">
        <v>126</v>
      </c>
      <c r="BV57" s="6" t="s">
        <v>126</v>
      </c>
      <c r="BW57" s="16" t="s">
        <v>126</v>
      </c>
      <c r="BX57" s="16" t="s">
        <v>126</v>
      </c>
      <c r="BY57" s="16" t="s">
        <v>126</v>
      </c>
      <c r="BZ57" s="16" t="s">
        <v>126</v>
      </c>
      <c r="CA57" s="16" t="s">
        <v>126</v>
      </c>
      <c r="CB57" s="16" t="s">
        <v>126</v>
      </c>
      <c r="CC57" s="16" t="s">
        <v>126</v>
      </c>
      <c r="CD57" s="16" t="s">
        <v>126</v>
      </c>
      <c r="CE57" s="16" t="s">
        <v>126</v>
      </c>
      <c r="CF57" s="16" t="s">
        <v>126</v>
      </c>
      <c r="CG57" s="16" t="s">
        <v>126</v>
      </c>
      <c r="CH57" s="16" t="s">
        <v>126</v>
      </c>
      <c r="CI57" s="16" t="s">
        <v>126</v>
      </c>
      <c r="CJ57" s="16" t="s">
        <v>126</v>
      </c>
      <c r="CK57" s="16" t="s">
        <v>126</v>
      </c>
      <c r="CL57" s="16" t="s">
        <v>126</v>
      </c>
      <c r="CM57" s="16" t="s">
        <v>126</v>
      </c>
      <c r="CN57" s="16" t="s">
        <v>126</v>
      </c>
      <c r="CO57" s="16" t="s">
        <v>126</v>
      </c>
      <c r="CP57" s="16" t="s">
        <v>126</v>
      </c>
      <c r="CQ57" s="16" t="s">
        <v>126</v>
      </c>
      <c r="CR57" s="16" t="s">
        <v>126</v>
      </c>
      <c r="CS57" s="16" t="s">
        <v>126</v>
      </c>
      <c r="CT57" s="16" t="s">
        <v>126</v>
      </c>
      <c r="CU57" s="16" t="s">
        <v>126</v>
      </c>
      <c r="CV57" s="16" t="s">
        <v>126</v>
      </c>
      <c r="CW57" s="16" t="s">
        <v>126</v>
      </c>
      <c r="CX57" s="16" t="s">
        <v>126</v>
      </c>
      <c r="CY57" s="16" t="s">
        <v>126</v>
      </c>
      <c r="CZ57" s="16" t="s">
        <v>126</v>
      </c>
      <c r="DA57" s="16" t="s">
        <v>126</v>
      </c>
      <c r="DB57" s="16" t="s">
        <v>126</v>
      </c>
      <c r="DC57" s="16" t="s">
        <v>126</v>
      </c>
      <c r="DD57" s="16" t="s">
        <v>126</v>
      </c>
      <c r="DE57" s="16" t="s">
        <v>126</v>
      </c>
      <c r="DF57" s="16" t="s">
        <v>126</v>
      </c>
      <c r="DG57" s="16" t="s">
        <v>126</v>
      </c>
      <c r="DH57" s="16" t="s">
        <v>126</v>
      </c>
      <c r="DI57" s="16" t="s">
        <v>126</v>
      </c>
      <c r="DJ57" s="16" t="s">
        <v>126</v>
      </c>
      <c r="DK57" s="16" t="s">
        <v>126</v>
      </c>
      <c r="DL57" s="16" t="s">
        <v>126</v>
      </c>
      <c r="DM57" s="16" t="s">
        <v>126</v>
      </c>
      <c r="DN57" s="16" t="s">
        <v>126</v>
      </c>
      <c r="DO57" s="16" t="s">
        <v>126</v>
      </c>
      <c r="DP57" s="16" t="s">
        <v>126</v>
      </c>
      <c r="DQ57" s="16" t="s">
        <v>126</v>
      </c>
      <c r="DR57" s="16" t="s">
        <v>126</v>
      </c>
      <c r="DS57" s="16" t="s">
        <v>126</v>
      </c>
      <c r="DT57" s="16" t="s">
        <v>126</v>
      </c>
      <c r="DU57" s="16" t="s">
        <v>126</v>
      </c>
      <c r="DV57" s="16" t="s">
        <v>126</v>
      </c>
      <c r="DW57" s="16" t="s">
        <v>126</v>
      </c>
      <c r="DX57" s="16" t="s">
        <v>126</v>
      </c>
      <c r="DY57" s="16" t="s">
        <v>126</v>
      </c>
      <c r="DZ57" s="16" t="s">
        <v>126</v>
      </c>
      <c r="EA57" s="16" t="s">
        <v>126</v>
      </c>
      <c r="EB57" s="16" t="s">
        <v>126</v>
      </c>
      <c r="EC57" s="16" t="s">
        <v>126</v>
      </c>
      <c r="ED57" s="16" t="s">
        <v>126</v>
      </c>
      <c r="EE57" s="16" t="s">
        <v>126</v>
      </c>
      <c r="EF57" s="16" t="s">
        <v>126</v>
      </c>
      <c r="EG57" s="16" t="s">
        <v>126</v>
      </c>
      <c r="EH57" s="16" t="s">
        <v>126</v>
      </c>
      <c r="EI57" s="16" t="s">
        <v>126</v>
      </c>
      <c r="EJ57" s="16" t="s">
        <v>126</v>
      </c>
      <c r="EK57" s="16" t="s">
        <v>126</v>
      </c>
      <c r="EL57" s="16" t="s">
        <v>126</v>
      </c>
      <c r="EM57" s="16" t="s">
        <v>126</v>
      </c>
      <c r="EN57" s="16" t="s">
        <v>126</v>
      </c>
      <c r="EO57" s="16" t="s">
        <v>126</v>
      </c>
      <c r="EP57" s="16" t="s">
        <v>126</v>
      </c>
      <c r="EQ57" s="16" t="s">
        <v>126</v>
      </c>
      <c r="ER57" s="16" t="s">
        <v>126</v>
      </c>
      <c r="ES57" s="16" t="s">
        <v>126</v>
      </c>
      <c r="ET57" s="16" t="s">
        <v>126</v>
      </c>
      <c r="EU57" s="16" t="s">
        <v>126</v>
      </c>
      <c r="EV57" s="16" t="s">
        <v>126</v>
      </c>
      <c r="EW57" s="16" t="s">
        <v>126</v>
      </c>
      <c r="EX57" s="16" t="s">
        <v>126</v>
      </c>
      <c r="EY57" s="16" t="s">
        <v>126</v>
      </c>
      <c r="EZ57" s="16" t="s">
        <v>126</v>
      </c>
      <c r="FA57" s="16" t="s">
        <v>126</v>
      </c>
      <c r="FB57" s="16" t="s">
        <v>126</v>
      </c>
      <c r="FC57" s="16" t="s">
        <v>126</v>
      </c>
      <c r="FD57" s="16" t="s">
        <v>126</v>
      </c>
      <c r="FE57" s="16" t="s">
        <v>126</v>
      </c>
      <c r="FF57" s="16" t="s">
        <v>126</v>
      </c>
      <c r="FG57" s="16" t="s">
        <v>126</v>
      </c>
      <c r="FH57" s="16" t="s">
        <v>126</v>
      </c>
      <c r="FI57" s="16" t="s">
        <v>126</v>
      </c>
      <c r="FJ57" s="16" t="s">
        <v>126</v>
      </c>
      <c r="FK57" s="16" t="s">
        <v>126</v>
      </c>
      <c r="FL57" s="16" t="s">
        <v>126</v>
      </c>
      <c r="FM57" s="16" t="s">
        <v>126</v>
      </c>
      <c r="FN57" s="16" t="s">
        <v>126</v>
      </c>
      <c r="FO57" s="16" t="s">
        <v>126</v>
      </c>
      <c r="FP57" s="16" t="s">
        <v>126</v>
      </c>
      <c r="FQ57" s="16" t="s">
        <v>126</v>
      </c>
      <c r="FR57" s="16" t="s">
        <v>126</v>
      </c>
      <c r="FS57" s="16" t="s">
        <v>126</v>
      </c>
      <c r="FT57" s="16" t="s">
        <v>126</v>
      </c>
      <c r="FU57" s="16" t="s">
        <v>126</v>
      </c>
      <c r="FV57" s="16" t="s">
        <v>126</v>
      </c>
      <c r="FW57" s="16" t="s">
        <v>126</v>
      </c>
      <c r="FX57" s="16" t="s">
        <v>126</v>
      </c>
      <c r="FY57" s="16" t="s">
        <v>126</v>
      </c>
      <c r="FZ57" s="16" t="s">
        <v>126</v>
      </c>
      <c r="GA57" s="16" t="s">
        <v>126</v>
      </c>
      <c r="GB57" s="16" t="s">
        <v>126</v>
      </c>
      <c r="GC57" s="16" t="s">
        <v>126</v>
      </c>
      <c r="GD57" s="16" t="s">
        <v>126</v>
      </c>
      <c r="GE57" s="16" t="s">
        <v>126</v>
      </c>
      <c r="GF57" s="16" t="s">
        <v>126</v>
      </c>
      <c r="GG57" s="16" t="s">
        <v>126</v>
      </c>
      <c r="GH57" s="16" t="s">
        <v>126</v>
      </c>
      <c r="GI57" s="16" t="s">
        <v>126</v>
      </c>
      <c r="GJ57" s="16" t="s">
        <v>126</v>
      </c>
      <c r="GK57" s="16" t="s">
        <v>126</v>
      </c>
      <c r="GL57" s="16" t="s">
        <v>126</v>
      </c>
      <c r="GM57" s="16" t="s">
        <v>126</v>
      </c>
      <c r="GN57" s="16" t="s">
        <v>126</v>
      </c>
      <c r="GO57" s="16" t="s">
        <v>126</v>
      </c>
      <c r="GP57" s="16" t="s">
        <v>126</v>
      </c>
      <c r="GQ57" s="16" t="s">
        <v>126</v>
      </c>
      <c r="GR57" s="16" t="s">
        <v>126</v>
      </c>
      <c r="GS57" s="16" t="s">
        <v>126</v>
      </c>
      <c r="GT57" s="16" t="s">
        <v>126</v>
      </c>
      <c r="GU57" s="16" t="s">
        <v>126</v>
      </c>
      <c r="GV57" s="16" t="s">
        <v>126</v>
      </c>
      <c r="GW57" s="16" t="s">
        <v>126</v>
      </c>
      <c r="GX57" s="16" t="s">
        <v>126</v>
      </c>
      <c r="GY57" s="16" t="s">
        <v>126</v>
      </c>
      <c r="GZ57" s="16" t="s">
        <v>126</v>
      </c>
      <c r="HA57" s="16" t="s">
        <v>126</v>
      </c>
      <c r="HB57" s="16" t="s">
        <v>126</v>
      </c>
      <c r="HC57" s="16" t="s">
        <v>126</v>
      </c>
      <c r="HD57" s="16" t="s">
        <v>126</v>
      </c>
      <c r="HE57" s="16" t="s">
        <v>126</v>
      </c>
      <c r="HF57" s="16" t="s">
        <v>126</v>
      </c>
      <c r="HG57" s="16" t="s">
        <v>126</v>
      </c>
      <c r="HH57" s="16" t="s">
        <v>126</v>
      </c>
      <c r="HI57" s="16" t="s">
        <v>126</v>
      </c>
      <c r="HJ57" s="16" t="s">
        <v>126</v>
      </c>
      <c r="HK57" s="16" t="s">
        <v>126</v>
      </c>
      <c r="HL57" s="16" t="s">
        <v>126</v>
      </c>
      <c r="HM57" s="16" t="s">
        <v>126</v>
      </c>
      <c r="HN57" s="16" t="s">
        <v>126</v>
      </c>
      <c r="HO57" s="16" t="s">
        <v>126</v>
      </c>
      <c r="HP57" s="16" t="s">
        <v>126</v>
      </c>
      <c r="HQ57" s="16" t="s">
        <v>126</v>
      </c>
      <c r="HR57" s="16" t="s">
        <v>126</v>
      </c>
      <c r="HS57" s="16" t="s">
        <v>126</v>
      </c>
      <c r="HT57" s="16" t="s">
        <v>126</v>
      </c>
      <c r="HU57" s="16" t="s">
        <v>126</v>
      </c>
      <c r="HV57" s="16" t="s">
        <v>126</v>
      </c>
      <c r="HW57" s="16" t="s">
        <v>126</v>
      </c>
      <c r="HX57" s="16" t="s">
        <v>126</v>
      </c>
      <c r="HY57" s="16" t="s">
        <v>126</v>
      </c>
      <c r="HZ57" s="16" t="s">
        <v>126</v>
      </c>
      <c r="IA57" s="16" t="s">
        <v>126</v>
      </c>
      <c r="IB57" s="16" t="s">
        <v>126</v>
      </c>
      <c r="IC57" s="16" t="s">
        <v>126</v>
      </c>
      <c r="ID57" s="16" t="s">
        <v>126</v>
      </c>
      <c r="IE57" s="16" t="s">
        <v>126</v>
      </c>
      <c r="IF57" s="16" t="s">
        <v>126</v>
      </c>
      <c r="IG57" s="16" t="s">
        <v>126</v>
      </c>
      <c r="IH57" s="16" t="s">
        <v>126</v>
      </c>
      <c r="II57" s="16" t="s">
        <v>126</v>
      </c>
      <c r="IJ57" s="16" t="s">
        <v>126</v>
      </c>
      <c r="IK57" s="16" t="s">
        <v>126</v>
      </c>
      <c r="IL57" s="16" t="s">
        <v>126</v>
      </c>
      <c r="IM57" s="16" t="s">
        <v>126</v>
      </c>
      <c r="IN57" s="16" t="s">
        <v>126</v>
      </c>
      <c r="IO57" s="16" t="s">
        <v>126</v>
      </c>
      <c r="IP57" s="16" t="s">
        <v>126</v>
      </c>
      <c r="IQ57" s="16" t="s">
        <v>126</v>
      </c>
      <c r="IR57" s="16" t="s">
        <v>126</v>
      </c>
      <c r="IS57" s="59">
        <f t="shared" si="2"/>
        <v>0</v>
      </c>
    </row>
    <row r="58" spans="1:273" ht="13.5" customHeight="1">
      <c r="A58" s="97">
        <v>54</v>
      </c>
      <c r="B58" s="77" t="s">
        <v>203</v>
      </c>
      <c r="C58" s="6">
        <v>480</v>
      </c>
      <c r="D58" s="6">
        <v>590</v>
      </c>
      <c r="E58" s="6">
        <v>590</v>
      </c>
      <c r="F58" s="16" t="s">
        <v>126</v>
      </c>
      <c r="G58" s="31" t="s">
        <v>126</v>
      </c>
      <c r="H58" s="31" t="s">
        <v>126</v>
      </c>
      <c r="I58" s="31" t="s">
        <v>126</v>
      </c>
      <c r="J58" s="31" t="s">
        <v>126</v>
      </c>
      <c r="K58" s="31" t="s">
        <v>126</v>
      </c>
      <c r="L58" s="31" t="s">
        <v>126</v>
      </c>
      <c r="M58" s="31" t="s">
        <v>126</v>
      </c>
      <c r="N58" s="31" t="s">
        <v>126</v>
      </c>
      <c r="O58" s="31" t="s">
        <v>126</v>
      </c>
      <c r="P58" s="31" t="s">
        <v>126</v>
      </c>
      <c r="Q58" s="31" t="s">
        <v>126</v>
      </c>
      <c r="R58" s="31" t="s">
        <v>126</v>
      </c>
      <c r="S58" s="31" t="s">
        <v>126</v>
      </c>
      <c r="T58" s="31" t="s">
        <v>126</v>
      </c>
      <c r="U58" s="31" t="s">
        <v>126</v>
      </c>
      <c r="V58" s="31" t="s">
        <v>126</v>
      </c>
      <c r="W58" s="16" t="s">
        <v>126</v>
      </c>
      <c r="X58" s="16" t="s">
        <v>126</v>
      </c>
      <c r="Y58" s="16" t="s">
        <v>126</v>
      </c>
      <c r="Z58" s="16" t="s">
        <v>126</v>
      </c>
      <c r="AA58" s="16" t="s">
        <v>126</v>
      </c>
      <c r="AB58" s="16" t="s">
        <v>126</v>
      </c>
      <c r="AC58" s="16" t="s">
        <v>126</v>
      </c>
      <c r="AD58" s="16" t="s">
        <v>126</v>
      </c>
      <c r="AE58" s="16" t="s">
        <v>126</v>
      </c>
      <c r="AF58" s="16" t="s">
        <v>126</v>
      </c>
      <c r="AG58" s="16" t="s">
        <v>126</v>
      </c>
      <c r="AH58" s="16" t="s">
        <v>126</v>
      </c>
      <c r="AI58" s="16" t="s">
        <v>126</v>
      </c>
      <c r="AJ58" s="16" t="s">
        <v>126</v>
      </c>
      <c r="AK58" s="16" t="s">
        <v>126</v>
      </c>
      <c r="AL58" s="16" t="s">
        <v>126</v>
      </c>
      <c r="AM58" s="16" t="s">
        <v>126</v>
      </c>
      <c r="AN58" s="16" t="s">
        <v>126</v>
      </c>
      <c r="AO58" s="16" t="s">
        <v>126</v>
      </c>
      <c r="AP58" s="16" t="s">
        <v>126</v>
      </c>
      <c r="AQ58" s="16" t="s">
        <v>126</v>
      </c>
      <c r="AR58" s="91"/>
      <c r="AS58" s="16" t="s">
        <v>126</v>
      </c>
      <c r="AT58" s="16" t="s">
        <v>126</v>
      </c>
      <c r="AU58" s="91"/>
      <c r="AV58" s="16" t="s">
        <v>126</v>
      </c>
      <c r="AW58" s="16" t="s">
        <v>126</v>
      </c>
      <c r="AX58" s="16" t="s">
        <v>126</v>
      </c>
      <c r="AY58" s="16" t="s">
        <v>126</v>
      </c>
      <c r="AZ58" s="16" t="s">
        <v>126</v>
      </c>
      <c r="BA58" s="16" t="s">
        <v>126</v>
      </c>
      <c r="BB58" s="16" t="s">
        <v>126</v>
      </c>
      <c r="BC58" s="16" t="s">
        <v>126</v>
      </c>
      <c r="BD58" s="16" t="s">
        <v>126</v>
      </c>
      <c r="BE58" s="6" t="s">
        <v>126</v>
      </c>
      <c r="BF58" s="16" t="s">
        <v>126</v>
      </c>
      <c r="BG58" s="16" t="s">
        <v>126</v>
      </c>
      <c r="BH58" s="16" t="s">
        <v>126</v>
      </c>
      <c r="BI58" s="16" t="s">
        <v>126</v>
      </c>
      <c r="BJ58" s="16" t="s">
        <v>126</v>
      </c>
      <c r="BK58" s="16" t="s">
        <v>126</v>
      </c>
      <c r="BL58" s="16" t="s">
        <v>126</v>
      </c>
      <c r="BM58" s="16" t="s">
        <v>126</v>
      </c>
      <c r="BN58" s="16" t="s">
        <v>126</v>
      </c>
      <c r="BO58" s="16" t="s">
        <v>126</v>
      </c>
      <c r="BP58" s="16" t="s">
        <v>126</v>
      </c>
      <c r="BQ58" s="16" t="s">
        <v>126</v>
      </c>
      <c r="BR58" s="16" t="s">
        <v>126</v>
      </c>
      <c r="BS58" s="16" t="s">
        <v>126</v>
      </c>
      <c r="BT58" s="16" t="s">
        <v>126</v>
      </c>
      <c r="BU58" s="16" t="s">
        <v>126</v>
      </c>
      <c r="BV58" s="6" t="s">
        <v>126</v>
      </c>
      <c r="BW58" s="16" t="s">
        <v>126</v>
      </c>
      <c r="BX58" s="16" t="s">
        <v>126</v>
      </c>
      <c r="BY58" s="16" t="s">
        <v>126</v>
      </c>
      <c r="BZ58" s="16" t="s">
        <v>126</v>
      </c>
      <c r="CA58" s="16" t="s">
        <v>126</v>
      </c>
      <c r="CB58" s="16" t="s">
        <v>126</v>
      </c>
      <c r="CC58" s="16" t="s">
        <v>126</v>
      </c>
      <c r="CD58" s="16" t="s">
        <v>126</v>
      </c>
      <c r="CE58" s="16" t="s">
        <v>126</v>
      </c>
      <c r="CF58" s="16" t="s">
        <v>126</v>
      </c>
      <c r="CG58" s="16" t="s">
        <v>126</v>
      </c>
      <c r="CH58" s="16" t="s">
        <v>126</v>
      </c>
      <c r="CI58" s="16" t="s">
        <v>126</v>
      </c>
      <c r="CJ58" s="16" t="s">
        <v>126</v>
      </c>
      <c r="CK58" s="16" t="s">
        <v>126</v>
      </c>
      <c r="CL58" s="16" t="s">
        <v>126</v>
      </c>
      <c r="CM58" s="16" t="s">
        <v>126</v>
      </c>
      <c r="CN58" s="16" t="s">
        <v>126</v>
      </c>
      <c r="CO58" s="16" t="s">
        <v>126</v>
      </c>
      <c r="CP58" s="16" t="s">
        <v>126</v>
      </c>
      <c r="CQ58" s="16" t="s">
        <v>126</v>
      </c>
      <c r="CR58" s="16" t="s">
        <v>126</v>
      </c>
      <c r="CS58" s="16" t="s">
        <v>126</v>
      </c>
      <c r="CT58" s="16" t="s">
        <v>126</v>
      </c>
      <c r="CU58" s="16" t="s">
        <v>126</v>
      </c>
      <c r="CV58" s="16" t="s">
        <v>126</v>
      </c>
      <c r="CW58" s="16" t="s">
        <v>126</v>
      </c>
      <c r="CX58" s="16" t="s">
        <v>126</v>
      </c>
      <c r="CY58" s="16" t="s">
        <v>126</v>
      </c>
      <c r="CZ58" s="16" t="s">
        <v>126</v>
      </c>
      <c r="DA58" s="16" t="s">
        <v>126</v>
      </c>
      <c r="DB58" s="16" t="s">
        <v>126</v>
      </c>
      <c r="DC58" s="16" t="s">
        <v>126</v>
      </c>
      <c r="DD58" s="16" t="s">
        <v>126</v>
      </c>
      <c r="DE58" s="16" t="s">
        <v>126</v>
      </c>
      <c r="DF58" s="16" t="s">
        <v>126</v>
      </c>
      <c r="DG58" s="16" t="s">
        <v>126</v>
      </c>
      <c r="DH58" s="16" t="s">
        <v>126</v>
      </c>
      <c r="DI58" s="16" t="s">
        <v>126</v>
      </c>
      <c r="DJ58" s="16" t="s">
        <v>126</v>
      </c>
      <c r="DK58" s="16" t="s">
        <v>126</v>
      </c>
      <c r="DL58" s="16" t="s">
        <v>126</v>
      </c>
      <c r="DM58" s="16" t="s">
        <v>126</v>
      </c>
      <c r="DN58" s="16" t="s">
        <v>126</v>
      </c>
      <c r="DO58" s="16" t="s">
        <v>126</v>
      </c>
      <c r="DP58" s="16" t="s">
        <v>126</v>
      </c>
      <c r="DQ58" s="16" t="s">
        <v>126</v>
      </c>
      <c r="DR58" s="16" t="s">
        <v>126</v>
      </c>
      <c r="DS58" s="16" t="s">
        <v>126</v>
      </c>
      <c r="DT58" s="16" t="s">
        <v>126</v>
      </c>
      <c r="DU58" s="16" t="s">
        <v>126</v>
      </c>
      <c r="DV58" s="16" t="s">
        <v>126</v>
      </c>
      <c r="DW58" s="16" t="s">
        <v>126</v>
      </c>
      <c r="DX58" s="16" t="s">
        <v>126</v>
      </c>
      <c r="DY58" s="16" t="s">
        <v>126</v>
      </c>
      <c r="DZ58" s="16" t="s">
        <v>126</v>
      </c>
      <c r="EA58" s="16" t="s">
        <v>126</v>
      </c>
      <c r="EB58" s="16" t="s">
        <v>126</v>
      </c>
      <c r="EC58" s="16" t="s">
        <v>126</v>
      </c>
      <c r="ED58" s="16" t="s">
        <v>126</v>
      </c>
      <c r="EE58" s="16" t="s">
        <v>126</v>
      </c>
      <c r="EF58" s="16" t="s">
        <v>126</v>
      </c>
      <c r="EG58" s="16" t="s">
        <v>126</v>
      </c>
      <c r="EH58" s="16" t="s">
        <v>126</v>
      </c>
      <c r="EI58" s="16" t="s">
        <v>126</v>
      </c>
      <c r="EJ58" s="16" t="s">
        <v>126</v>
      </c>
      <c r="EK58" s="16" t="s">
        <v>126</v>
      </c>
      <c r="EL58" s="16" t="s">
        <v>126</v>
      </c>
      <c r="EM58" s="16" t="s">
        <v>126</v>
      </c>
      <c r="EN58" s="16" t="s">
        <v>126</v>
      </c>
      <c r="EO58" s="16" t="s">
        <v>126</v>
      </c>
      <c r="EP58" s="16" t="s">
        <v>126</v>
      </c>
      <c r="EQ58" s="16" t="s">
        <v>126</v>
      </c>
      <c r="ER58" s="16" t="s">
        <v>126</v>
      </c>
      <c r="ES58" s="16" t="s">
        <v>126</v>
      </c>
      <c r="ET58" s="16" t="s">
        <v>126</v>
      </c>
      <c r="EU58" s="16" t="s">
        <v>126</v>
      </c>
      <c r="EV58" s="16" t="s">
        <v>126</v>
      </c>
      <c r="EW58" s="16" t="s">
        <v>126</v>
      </c>
      <c r="EX58" s="16" t="s">
        <v>126</v>
      </c>
      <c r="EY58" s="16" t="s">
        <v>126</v>
      </c>
      <c r="EZ58" s="16" t="s">
        <v>126</v>
      </c>
      <c r="FA58" s="16" t="s">
        <v>126</v>
      </c>
      <c r="FB58" s="16" t="s">
        <v>126</v>
      </c>
      <c r="FC58" s="16" t="s">
        <v>126</v>
      </c>
      <c r="FD58" s="16" t="s">
        <v>126</v>
      </c>
      <c r="FE58" s="16" t="s">
        <v>126</v>
      </c>
      <c r="FF58" s="16" t="s">
        <v>126</v>
      </c>
      <c r="FG58" s="16" t="s">
        <v>126</v>
      </c>
      <c r="FH58" s="16" t="s">
        <v>126</v>
      </c>
      <c r="FI58" s="16" t="s">
        <v>126</v>
      </c>
      <c r="FJ58" s="16" t="s">
        <v>126</v>
      </c>
      <c r="FK58" s="16" t="s">
        <v>126</v>
      </c>
      <c r="FL58" s="16" t="s">
        <v>126</v>
      </c>
      <c r="FM58" s="16" t="s">
        <v>126</v>
      </c>
      <c r="FN58" s="16" t="s">
        <v>126</v>
      </c>
      <c r="FO58" s="16" t="s">
        <v>126</v>
      </c>
      <c r="FP58" s="16" t="s">
        <v>126</v>
      </c>
      <c r="FQ58" s="16" t="s">
        <v>126</v>
      </c>
      <c r="FR58" s="16" t="s">
        <v>126</v>
      </c>
      <c r="FS58" s="16" t="s">
        <v>126</v>
      </c>
      <c r="FT58" s="16" t="s">
        <v>126</v>
      </c>
      <c r="FU58" s="16" t="s">
        <v>126</v>
      </c>
      <c r="FV58" s="16" t="s">
        <v>126</v>
      </c>
      <c r="FW58" s="16" t="s">
        <v>126</v>
      </c>
      <c r="FX58" s="16" t="s">
        <v>126</v>
      </c>
      <c r="FY58" s="16" t="s">
        <v>126</v>
      </c>
      <c r="FZ58" s="16" t="s">
        <v>126</v>
      </c>
      <c r="GA58" s="16" t="s">
        <v>126</v>
      </c>
      <c r="GB58" s="16" t="s">
        <v>126</v>
      </c>
      <c r="GC58" s="16" t="s">
        <v>126</v>
      </c>
      <c r="GD58" s="16" t="s">
        <v>126</v>
      </c>
      <c r="GE58" s="16" t="s">
        <v>126</v>
      </c>
      <c r="GF58" s="16" t="s">
        <v>126</v>
      </c>
      <c r="GG58" s="16" t="s">
        <v>126</v>
      </c>
      <c r="GH58" s="16" t="s">
        <v>126</v>
      </c>
      <c r="GI58" s="16" t="s">
        <v>126</v>
      </c>
      <c r="GJ58" s="16" t="s">
        <v>126</v>
      </c>
      <c r="GK58" s="16" t="s">
        <v>126</v>
      </c>
      <c r="GL58" s="16" t="s">
        <v>126</v>
      </c>
      <c r="GM58" s="16" t="s">
        <v>126</v>
      </c>
      <c r="GN58" s="16" t="s">
        <v>126</v>
      </c>
      <c r="GO58" s="16" t="s">
        <v>126</v>
      </c>
      <c r="GP58" s="16" t="s">
        <v>126</v>
      </c>
      <c r="GQ58" s="16" t="s">
        <v>126</v>
      </c>
      <c r="GR58" s="16" t="s">
        <v>126</v>
      </c>
      <c r="GS58" s="16" t="s">
        <v>126</v>
      </c>
      <c r="GT58" s="16" t="s">
        <v>126</v>
      </c>
      <c r="GU58" s="16" t="s">
        <v>126</v>
      </c>
      <c r="GV58" s="16" t="s">
        <v>126</v>
      </c>
      <c r="GW58" s="16" t="s">
        <v>126</v>
      </c>
      <c r="GX58" s="16" t="s">
        <v>126</v>
      </c>
      <c r="GY58" s="16" t="s">
        <v>126</v>
      </c>
      <c r="GZ58" s="16" t="s">
        <v>126</v>
      </c>
      <c r="HA58" s="16" t="s">
        <v>126</v>
      </c>
      <c r="HB58" s="16" t="s">
        <v>126</v>
      </c>
      <c r="HC58" s="16" t="s">
        <v>126</v>
      </c>
      <c r="HD58" s="16" t="s">
        <v>126</v>
      </c>
      <c r="HE58" s="16" t="s">
        <v>126</v>
      </c>
      <c r="HF58" s="16" t="s">
        <v>126</v>
      </c>
      <c r="HG58" s="16" t="s">
        <v>126</v>
      </c>
      <c r="HH58" s="16" t="s">
        <v>126</v>
      </c>
      <c r="HI58" s="16" t="s">
        <v>126</v>
      </c>
      <c r="HJ58" s="16" t="s">
        <v>126</v>
      </c>
      <c r="HK58" s="16" t="s">
        <v>126</v>
      </c>
      <c r="HL58" s="16" t="s">
        <v>126</v>
      </c>
      <c r="HM58" s="16" t="s">
        <v>126</v>
      </c>
      <c r="HN58" s="16" t="s">
        <v>126</v>
      </c>
      <c r="HO58" s="16" t="s">
        <v>126</v>
      </c>
      <c r="HP58" s="16" t="s">
        <v>126</v>
      </c>
      <c r="HQ58" s="16" t="s">
        <v>126</v>
      </c>
      <c r="HR58" s="16" t="s">
        <v>126</v>
      </c>
      <c r="HS58" s="16" t="s">
        <v>126</v>
      </c>
      <c r="HT58" s="16" t="s">
        <v>126</v>
      </c>
      <c r="HU58" s="16" t="s">
        <v>126</v>
      </c>
      <c r="HV58" s="16" t="s">
        <v>126</v>
      </c>
      <c r="HW58" s="16" t="s">
        <v>126</v>
      </c>
      <c r="HX58" s="16" t="s">
        <v>126</v>
      </c>
      <c r="HY58" s="16" t="s">
        <v>126</v>
      </c>
      <c r="HZ58" s="16" t="s">
        <v>126</v>
      </c>
      <c r="IA58" s="16" t="s">
        <v>126</v>
      </c>
      <c r="IB58" s="16" t="s">
        <v>126</v>
      </c>
      <c r="IC58" s="16" t="s">
        <v>126</v>
      </c>
      <c r="ID58" s="16" t="s">
        <v>126</v>
      </c>
      <c r="IE58" s="16" t="s">
        <v>126</v>
      </c>
      <c r="IF58" s="16" t="s">
        <v>126</v>
      </c>
      <c r="IG58" s="16" t="s">
        <v>126</v>
      </c>
      <c r="IH58" s="16" t="s">
        <v>126</v>
      </c>
      <c r="II58" s="16" t="s">
        <v>126</v>
      </c>
      <c r="IJ58" s="16" t="s">
        <v>126</v>
      </c>
      <c r="IK58" s="16" t="s">
        <v>126</v>
      </c>
      <c r="IL58" s="16" t="s">
        <v>126</v>
      </c>
      <c r="IM58" s="16" t="s">
        <v>126</v>
      </c>
      <c r="IN58" s="16" t="s">
        <v>126</v>
      </c>
      <c r="IO58" s="16" t="s">
        <v>126</v>
      </c>
      <c r="IP58" s="16" t="s">
        <v>126</v>
      </c>
      <c r="IQ58" s="16" t="s">
        <v>126</v>
      </c>
      <c r="IR58" s="16" t="s">
        <v>126</v>
      </c>
      <c r="IS58" s="59">
        <f t="shared" si="2"/>
        <v>0</v>
      </c>
    </row>
    <row r="59" spans="1:273" ht="13.5" customHeight="1">
      <c r="A59" s="97">
        <v>55</v>
      </c>
      <c r="B59" s="77" t="s">
        <v>204</v>
      </c>
      <c r="C59" s="6">
        <v>390</v>
      </c>
      <c r="D59" s="6">
        <v>590</v>
      </c>
      <c r="E59" s="6">
        <v>390</v>
      </c>
      <c r="F59" s="16" t="s">
        <v>126</v>
      </c>
      <c r="G59" s="31" t="s">
        <v>126</v>
      </c>
      <c r="H59" s="31" t="s">
        <v>126</v>
      </c>
      <c r="I59" s="31" t="s">
        <v>126</v>
      </c>
      <c r="J59" s="31" t="s">
        <v>126</v>
      </c>
      <c r="K59" s="31" t="s">
        <v>126</v>
      </c>
      <c r="L59" s="31" t="s">
        <v>126</v>
      </c>
      <c r="M59" s="31" t="s">
        <v>126</v>
      </c>
      <c r="N59" s="31" t="s">
        <v>126</v>
      </c>
      <c r="O59" s="31" t="s">
        <v>126</v>
      </c>
      <c r="P59" s="31" t="s">
        <v>126</v>
      </c>
      <c r="Q59" s="31" t="s">
        <v>126</v>
      </c>
      <c r="R59" s="31" t="s">
        <v>126</v>
      </c>
      <c r="S59" s="31" t="s">
        <v>126</v>
      </c>
      <c r="T59" s="31" t="s">
        <v>126</v>
      </c>
      <c r="U59" s="31" t="s">
        <v>126</v>
      </c>
      <c r="V59" s="31" t="s">
        <v>126</v>
      </c>
      <c r="W59" s="16" t="s">
        <v>126</v>
      </c>
      <c r="X59" s="16" t="s">
        <v>126</v>
      </c>
      <c r="Y59" s="16" t="s">
        <v>126</v>
      </c>
      <c r="Z59" s="16" t="s">
        <v>126</v>
      </c>
      <c r="AA59" s="16" t="s">
        <v>126</v>
      </c>
      <c r="AB59" s="16" t="s">
        <v>126</v>
      </c>
      <c r="AC59" s="16" t="s">
        <v>126</v>
      </c>
      <c r="AD59" s="16" t="s">
        <v>126</v>
      </c>
      <c r="AE59" s="16" t="s">
        <v>126</v>
      </c>
      <c r="AF59" s="16" t="s">
        <v>126</v>
      </c>
      <c r="AG59" s="16" t="s">
        <v>126</v>
      </c>
      <c r="AH59" s="16" t="s">
        <v>126</v>
      </c>
      <c r="AI59" s="16" t="s">
        <v>126</v>
      </c>
      <c r="AJ59" s="16" t="s">
        <v>126</v>
      </c>
      <c r="AK59" s="16" t="s">
        <v>126</v>
      </c>
      <c r="AL59" s="16" t="s">
        <v>126</v>
      </c>
      <c r="AM59" s="16" t="s">
        <v>126</v>
      </c>
      <c r="AN59" s="16" t="s">
        <v>126</v>
      </c>
      <c r="AO59" s="16" t="s">
        <v>126</v>
      </c>
      <c r="AP59" s="16" t="s">
        <v>126</v>
      </c>
      <c r="AQ59" s="16" t="s">
        <v>126</v>
      </c>
      <c r="AR59" s="91"/>
      <c r="AS59" s="16" t="s">
        <v>126</v>
      </c>
      <c r="AT59" s="16" t="s">
        <v>126</v>
      </c>
      <c r="AU59" s="91"/>
      <c r="AV59" s="16" t="s">
        <v>126</v>
      </c>
      <c r="AW59" s="16" t="s">
        <v>126</v>
      </c>
      <c r="AX59" s="16" t="s">
        <v>126</v>
      </c>
      <c r="AY59" s="16" t="s">
        <v>126</v>
      </c>
      <c r="AZ59" s="16" t="s">
        <v>126</v>
      </c>
      <c r="BA59" s="16" t="s">
        <v>126</v>
      </c>
      <c r="BB59" s="16" t="s">
        <v>126</v>
      </c>
      <c r="BC59" s="16" t="s">
        <v>126</v>
      </c>
      <c r="BD59" s="16" t="s">
        <v>126</v>
      </c>
      <c r="BE59" s="6" t="s">
        <v>126</v>
      </c>
      <c r="BF59" s="16" t="s">
        <v>126</v>
      </c>
      <c r="BG59" s="16" t="s">
        <v>126</v>
      </c>
      <c r="BH59" s="16" t="s">
        <v>126</v>
      </c>
      <c r="BI59" s="16" t="s">
        <v>126</v>
      </c>
      <c r="BJ59" s="16" t="s">
        <v>126</v>
      </c>
      <c r="BK59" s="16" t="s">
        <v>126</v>
      </c>
      <c r="BL59" s="16" t="s">
        <v>126</v>
      </c>
      <c r="BM59" s="16" t="s">
        <v>126</v>
      </c>
      <c r="BN59" s="16" t="s">
        <v>126</v>
      </c>
      <c r="BO59" s="16" t="s">
        <v>126</v>
      </c>
      <c r="BP59" s="16" t="s">
        <v>126</v>
      </c>
      <c r="BQ59" s="16" t="s">
        <v>126</v>
      </c>
      <c r="BR59" s="16" t="s">
        <v>126</v>
      </c>
      <c r="BS59" s="16" t="s">
        <v>126</v>
      </c>
      <c r="BT59" s="16" t="s">
        <v>126</v>
      </c>
      <c r="BU59" s="16" t="s">
        <v>126</v>
      </c>
      <c r="BV59" s="6" t="s">
        <v>126</v>
      </c>
      <c r="BW59" s="16" t="s">
        <v>126</v>
      </c>
      <c r="BX59" s="16" t="s">
        <v>126</v>
      </c>
      <c r="BY59" s="16" t="s">
        <v>126</v>
      </c>
      <c r="BZ59" s="16" t="s">
        <v>126</v>
      </c>
      <c r="CA59" s="16" t="s">
        <v>126</v>
      </c>
      <c r="CB59" s="16" t="s">
        <v>126</v>
      </c>
      <c r="CC59" s="16" t="s">
        <v>126</v>
      </c>
      <c r="CD59" s="16" t="s">
        <v>126</v>
      </c>
      <c r="CE59" s="16" t="s">
        <v>126</v>
      </c>
      <c r="CF59" s="16" t="s">
        <v>126</v>
      </c>
      <c r="CG59" s="16" t="s">
        <v>126</v>
      </c>
      <c r="CH59" s="16" t="s">
        <v>126</v>
      </c>
      <c r="CI59" s="16" t="s">
        <v>126</v>
      </c>
      <c r="CJ59" s="16" t="s">
        <v>126</v>
      </c>
      <c r="CK59" s="16" t="s">
        <v>126</v>
      </c>
      <c r="CL59" s="16" t="s">
        <v>126</v>
      </c>
      <c r="CM59" s="16" t="s">
        <v>126</v>
      </c>
      <c r="CN59" s="16" t="s">
        <v>126</v>
      </c>
      <c r="CO59" s="16" t="s">
        <v>126</v>
      </c>
      <c r="CP59" s="16" t="s">
        <v>126</v>
      </c>
      <c r="CQ59" s="16" t="s">
        <v>126</v>
      </c>
      <c r="CR59" s="16" t="s">
        <v>126</v>
      </c>
      <c r="CS59" s="16" t="s">
        <v>126</v>
      </c>
      <c r="CT59" s="16" t="s">
        <v>126</v>
      </c>
      <c r="CU59" s="16" t="s">
        <v>126</v>
      </c>
      <c r="CV59" s="16" t="s">
        <v>126</v>
      </c>
      <c r="CW59" s="16" t="s">
        <v>126</v>
      </c>
      <c r="CX59" s="16" t="s">
        <v>126</v>
      </c>
      <c r="CY59" s="16" t="s">
        <v>126</v>
      </c>
      <c r="CZ59" s="16" t="s">
        <v>126</v>
      </c>
      <c r="DA59" s="16" t="s">
        <v>126</v>
      </c>
      <c r="DB59" s="16" t="s">
        <v>126</v>
      </c>
      <c r="DC59" s="16" t="s">
        <v>126</v>
      </c>
      <c r="DD59" s="16" t="s">
        <v>126</v>
      </c>
      <c r="DE59" s="16" t="s">
        <v>126</v>
      </c>
      <c r="DF59" s="16" t="s">
        <v>126</v>
      </c>
      <c r="DG59" s="16" t="s">
        <v>126</v>
      </c>
      <c r="DH59" s="16" t="s">
        <v>126</v>
      </c>
      <c r="DI59" s="16" t="s">
        <v>126</v>
      </c>
      <c r="DJ59" s="16" t="s">
        <v>126</v>
      </c>
      <c r="DK59" s="16" t="s">
        <v>126</v>
      </c>
      <c r="DL59" s="16" t="s">
        <v>126</v>
      </c>
      <c r="DM59" s="16" t="s">
        <v>126</v>
      </c>
      <c r="DN59" s="16" t="s">
        <v>126</v>
      </c>
      <c r="DO59" s="16" t="s">
        <v>126</v>
      </c>
      <c r="DP59" s="16" t="s">
        <v>126</v>
      </c>
      <c r="DQ59" s="16" t="s">
        <v>126</v>
      </c>
      <c r="DR59" s="16" t="s">
        <v>126</v>
      </c>
      <c r="DS59" s="16" t="s">
        <v>126</v>
      </c>
      <c r="DT59" s="16" t="s">
        <v>126</v>
      </c>
      <c r="DU59" s="16" t="s">
        <v>126</v>
      </c>
      <c r="DV59" s="16" t="s">
        <v>126</v>
      </c>
      <c r="DW59" s="16" t="s">
        <v>126</v>
      </c>
      <c r="DX59" s="16" t="s">
        <v>126</v>
      </c>
      <c r="DY59" s="16" t="s">
        <v>126</v>
      </c>
      <c r="DZ59" s="16" t="s">
        <v>126</v>
      </c>
      <c r="EA59" s="16" t="s">
        <v>126</v>
      </c>
      <c r="EB59" s="16" t="s">
        <v>126</v>
      </c>
      <c r="EC59" s="16" t="s">
        <v>126</v>
      </c>
      <c r="ED59" s="16" t="s">
        <v>126</v>
      </c>
      <c r="EE59" s="16" t="s">
        <v>126</v>
      </c>
      <c r="EF59" s="16" t="s">
        <v>126</v>
      </c>
      <c r="EG59" s="16" t="s">
        <v>126</v>
      </c>
      <c r="EH59" s="16" t="s">
        <v>126</v>
      </c>
      <c r="EI59" s="16" t="s">
        <v>126</v>
      </c>
      <c r="EJ59" s="16" t="s">
        <v>126</v>
      </c>
      <c r="EK59" s="16" t="s">
        <v>126</v>
      </c>
      <c r="EL59" s="16" t="s">
        <v>126</v>
      </c>
      <c r="EM59" s="16" t="s">
        <v>126</v>
      </c>
      <c r="EN59" s="16" t="s">
        <v>126</v>
      </c>
      <c r="EO59" s="16" t="s">
        <v>126</v>
      </c>
      <c r="EP59" s="16" t="s">
        <v>126</v>
      </c>
      <c r="EQ59" s="16" t="s">
        <v>126</v>
      </c>
      <c r="ER59" s="16" t="s">
        <v>126</v>
      </c>
      <c r="ES59" s="16" t="s">
        <v>126</v>
      </c>
      <c r="ET59" s="16" t="s">
        <v>126</v>
      </c>
      <c r="EU59" s="16" t="s">
        <v>126</v>
      </c>
      <c r="EV59" s="16" t="s">
        <v>126</v>
      </c>
      <c r="EW59" s="16" t="s">
        <v>126</v>
      </c>
      <c r="EX59" s="16" t="s">
        <v>126</v>
      </c>
      <c r="EY59" s="16" t="s">
        <v>126</v>
      </c>
      <c r="EZ59" s="16" t="s">
        <v>126</v>
      </c>
      <c r="FA59" s="16" t="s">
        <v>126</v>
      </c>
      <c r="FB59" s="16" t="s">
        <v>126</v>
      </c>
      <c r="FC59" s="16" t="s">
        <v>126</v>
      </c>
      <c r="FD59" s="16" t="s">
        <v>126</v>
      </c>
      <c r="FE59" s="16" t="s">
        <v>126</v>
      </c>
      <c r="FF59" s="16" t="s">
        <v>126</v>
      </c>
      <c r="FG59" s="16" t="s">
        <v>126</v>
      </c>
      <c r="FH59" s="16" t="s">
        <v>126</v>
      </c>
      <c r="FI59" s="16" t="s">
        <v>126</v>
      </c>
      <c r="FJ59" s="16" t="s">
        <v>126</v>
      </c>
      <c r="FK59" s="16" t="s">
        <v>126</v>
      </c>
      <c r="FL59" s="16" t="s">
        <v>126</v>
      </c>
      <c r="FM59" s="16" t="s">
        <v>126</v>
      </c>
      <c r="FN59" s="16" t="s">
        <v>126</v>
      </c>
      <c r="FO59" s="16" t="s">
        <v>126</v>
      </c>
      <c r="FP59" s="16" t="s">
        <v>126</v>
      </c>
      <c r="FQ59" s="16" t="s">
        <v>126</v>
      </c>
      <c r="FR59" s="16" t="s">
        <v>126</v>
      </c>
      <c r="FS59" s="16" t="s">
        <v>126</v>
      </c>
      <c r="FT59" s="16" t="s">
        <v>126</v>
      </c>
      <c r="FU59" s="16" t="s">
        <v>126</v>
      </c>
      <c r="FV59" s="16" t="s">
        <v>126</v>
      </c>
      <c r="FW59" s="16" t="s">
        <v>126</v>
      </c>
      <c r="FX59" s="16" t="s">
        <v>126</v>
      </c>
      <c r="FY59" s="16" t="s">
        <v>126</v>
      </c>
      <c r="FZ59" s="16" t="s">
        <v>126</v>
      </c>
      <c r="GA59" s="16" t="s">
        <v>126</v>
      </c>
      <c r="GB59" s="16" t="s">
        <v>126</v>
      </c>
      <c r="GC59" s="16" t="s">
        <v>126</v>
      </c>
      <c r="GD59" s="16" t="s">
        <v>126</v>
      </c>
      <c r="GE59" s="16" t="s">
        <v>126</v>
      </c>
      <c r="GF59" s="16" t="s">
        <v>126</v>
      </c>
      <c r="GG59" s="16" t="s">
        <v>126</v>
      </c>
      <c r="GH59" s="16" t="s">
        <v>126</v>
      </c>
      <c r="GI59" s="16" t="s">
        <v>126</v>
      </c>
      <c r="GJ59" s="16" t="s">
        <v>126</v>
      </c>
      <c r="GK59" s="16" t="s">
        <v>126</v>
      </c>
      <c r="GL59" s="16" t="s">
        <v>126</v>
      </c>
      <c r="GM59" s="16" t="s">
        <v>126</v>
      </c>
      <c r="GN59" s="16" t="s">
        <v>126</v>
      </c>
      <c r="GO59" s="16" t="s">
        <v>126</v>
      </c>
      <c r="GP59" s="16" t="s">
        <v>126</v>
      </c>
      <c r="GQ59" s="16" t="s">
        <v>126</v>
      </c>
      <c r="GR59" s="16" t="s">
        <v>126</v>
      </c>
      <c r="GS59" s="16" t="s">
        <v>126</v>
      </c>
      <c r="GT59" s="16" t="s">
        <v>126</v>
      </c>
      <c r="GU59" s="16" t="s">
        <v>126</v>
      </c>
      <c r="GV59" s="16" t="s">
        <v>126</v>
      </c>
      <c r="GW59" s="16" t="s">
        <v>126</v>
      </c>
      <c r="GX59" s="16" t="s">
        <v>126</v>
      </c>
      <c r="GY59" s="16" t="s">
        <v>126</v>
      </c>
      <c r="GZ59" s="16" t="s">
        <v>126</v>
      </c>
      <c r="HA59" s="16" t="s">
        <v>126</v>
      </c>
      <c r="HB59" s="16" t="s">
        <v>126</v>
      </c>
      <c r="HC59" s="16" t="s">
        <v>126</v>
      </c>
      <c r="HD59" s="16" t="s">
        <v>126</v>
      </c>
      <c r="HE59" s="16" t="s">
        <v>126</v>
      </c>
      <c r="HF59" s="16" t="s">
        <v>126</v>
      </c>
      <c r="HG59" s="16" t="s">
        <v>126</v>
      </c>
      <c r="HH59" s="16" t="s">
        <v>126</v>
      </c>
      <c r="HI59" s="16" t="s">
        <v>126</v>
      </c>
      <c r="HJ59" s="16" t="s">
        <v>126</v>
      </c>
      <c r="HK59" s="16" t="s">
        <v>126</v>
      </c>
      <c r="HL59" s="16" t="s">
        <v>126</v>
      </c>
      <c r="HM59" s="16" t="s">
        <v>126</v>
      </c>
      <c r="HN59" s="16" t="s">
        <v>126</v>
      </c>
      <c r="HO59" s="16" t="s">
        <v>126</v>
      </c>
      <c r="HP59" s="16" t="s">
        <v>126</v>
      </c>
      <c r="HQ59" s="16" t="s">
        <v>126</v>
      </c>
      <c r="HR59" s="16" t="s">
        <v>126</v>
      </c>
      <c r="HS59" s="16" t="s">
        <v>126</v>
      </c>
      <c r="HT59" s="16" t="s">
        <v>126</v>
      </c>
      <c r="HU59" s="16" t="s">
        <v>126</v>
      </c>
      <c r="HV59" s="16" t="s">
        <v>126</v>
      </c>
      <c r="HW59" s="16" t="s">
        <v>126</v>
      </c>
      <c r="HX59" s="16" t="s">
        <v>126</v>
      </c>
      <c r="HY59" s="16" t="s">
        <v>126</v>
      </c>
      <c r="HZ59" s="16" t="s">
        <v>126</v>
      </c>
      <c r="IA59" s="16" t="s">
        <v>126</v>
      </c>
      <c r="IB59" s="16" t="s">
        <v>126</v>
      </c>
      <c r="IC59" s="16" t="s">
        <v>126</v>
      </c>
      <c r="ID59" s="16" t="s">
        <v>126</v>
      </c>
      <c r="IE59" s="16" t="s">
        <v>126</v>
      </c>
      <c r="IF59" s="16" t="s">
        <v>126</v>
      </c>
      <c r="IG59" s="16" t="s">
        <v>126</v>
      </c>
      <c r="IH59" s="16" t="s">
        <v>126</v>
      </c>
      <c r="II59" s="16" t="s">
        <v>126</v>
      </c>
      <c r="IJ59" s="16" t="s">
        <v>126</v>
      </c>
      <c r="IK59" s="16" t="s">
        <v>126</v>
      </c>
      <c r="IL59" s="16" t="s">
        <v>126</v>
      </c>
      <c r="IM59" s="16" t="s">
        <v>126</v>
      </c>
      <c r="IN59" s="16" t="s">
        <v>126</v>
      </c>
      <c r="IO59" s="16" t="s">
        <v>126</v>
      </c>
      <c r="IP59" s="16" t="s">
        <v>126</v>
      </c>
      <c r="IQ59" s="16" t="s">
        <v>126</v>
      </c>
      <c r="IR59" s="16" t="s">
        <v>126</v>
      </c>
      <c r="IS59" s="59">
        <f t="shared" si="2"/>
        <v>0</v>
      </c>
    </row>
    <row r="60" spans="1:273" ht="13.5" customHeight="1">
      <c r="A60" s="97">
        <v>56</v>
      </c>
      <c r="B60" s="92" t="s">
        <v>205</v>
      </c>
      <c r="C60" s="6">
        <v>390</v>
      </c>
      <c r="D60" s="6">
        <v>320</v>
      </c>
      <c r="E60" s="6">
        <v>880</v>
      </c>
      <c r="F60" s="16" t="s">
        <v>126</v>
      </c>
      <c r="G60" s="31" t="s">
        <v>126</v>
      </c>
      <c r="H60" s="31" t="s">
        <v>126</v>
      </c>
      <c r="I60" s="31" t="s">
        <v>126</v>
      </c>
      <c r="J60" s="31" t="s">
        <v>126</v>
      </c>
      <c r="K60" s="31" t="s">
        <v>126</v>
      </c>
      <c r="L60" s="31" t="s">
        <v>126</v>
      </c>
      <c r="M60" s="31" t="s">
        <v>126</v>
      </c>
      <c r="N60" s="31" t="s">
        <v>126</v>
      </c>
      <c r="O60" s="31" t="s">
        <v>126</v>
      </c>
      <c r="P60" s="31" t="s">
        <v>126</v>
      </c>
      <c r="Q60" s="31" t="s">
        <v>126</v>
      </c>
      <c r="R60" s="31" t="s">
        <v>126</v>
      </c>
      <c r="S60" s="31" t="s">
        <v>126</v>
      </c>
      <c r="T60" s="31" t="s">
        <v>126</v>
      </c>
      <c r="U60" s="31" t="s">
        <v>126</v>
      </c>
      <c r="V60" s="31" t="s">
        <v>126</v>
      </c>
      <c r="W60" s="16" t="s">
        <v>126</v>
      </c>
      <c r="X60" s="16" t="s">
        <v>126</v>
      </c>
      <c r="Y60" s="16" t="s">
        <v>126</v>
      </c>
      <c r="Z60" s="16" t="s">
        <v>126</v>
      </c>
      <c r="AA60" s="16" t="s">
        <v>126</v>
      </c>
      <c r="AB60" s="16" t="s">
        <v>126</v>
      </c>
      <c r="AC60" s="16" t="s">
        <v>126</v>
      </c>
      <c r="AD60" s="16" t="s">
        <v>126</v>
      </c>
      <c r="AE60" s="16" t="s">
        <v>126</v>
      </c>
      <c r="AF60" s="16" t="s">
        <v>126</v>
      </c>
      <c r="AG60" s="16" t="s">
        <v>126</v>
      </c>
      <c r="AH60" s="16" t="s">
        <v>126</v>
      </c>
      <c r="AI60" s="16" t="s">
        <v>126</v>
      </c>
      <c r="AJ60" s="16" t="s">
        <v>126</v>
      </c>
      <c r="AK60" s="16" t="s">
        <v>126</v>
      </c>
      <c r="AL60" s="16" t="s">
        <v>126</v>
      </c>
      <c r="AM60" s="16">
        <v>64</v>
      </c>
      <c r="AN60" s="16">
        <v>43</v>
      </c>
      <c r="AO60" s="16">
        <v>41</v>
      </c>
      <c r="AP60" s="16">
        <v>39</v>
      </c>
      <c r="AQ60" s="16">
        <v>32</v>
      </c>
      <c r="AR60" s="91"/>
      <c r="AS60" s="16">
        <v>34</v>
      </c>
      <c r="AT60" s="16">
        <v>23</v>
      </c>
      <c r="AU60" s="91"/>
      <c r="AV60" s="16">
        <v>22</v>
      </c>
      <c r="AW60" s="16">
        <v>19</v>
      </c>
      <c r="AX60" s="16">
        <v>24</v>
      </c>
      <c r="AY60" s="16">
        <v>22</v>
      </c>
      <c r="AZ60" s="16">
        <v>19</v>
      </c>
      <c r="BA60" s="16">
        <v>15</v>
      </c>
      <c r="BB60" s="16">
        <v>19</v>
      </c>
      <c r="BC60" s="16">
        <v>26</v>
      </c>
      <c r="BD60" s="16">
        <v>24</v>
      </c>
      <c r="BE60" s="6">
        <v>28</v>
      </c>
      <c r="BF60" s="16">
        <v>58</v>
      </c>
      <c r="BG60" s="16">
        <v>49</v>
      </c>
      <c r="BH60" s="16">
        <v>43</v>
      </c>
      <c r="BI60" s="16">
        <v>55</v>
      </c>
      <c r="BJ60" s="16">
        <v>34</v>
      </c>
      <c r="BK60" s="16">
        <v>47</v>
      </c>
      <c r="BL60" s="16" t="s">
        <v>126</v>
      </c>
      <c r="BM60" s="16" t="s">
        <v>126</v>
      </c>
      <c r="BN60" s="16" t="s">
        <v>126</v>
      </c>
      <c r="BO60" s="16" t="s">
        <v>126</v>
      </c>
      <c r="BP60" s="16" t="s">
        <v>126</v>
      </c>
      <c r="BQ60" s="16" t="s">
        <v>126</v>
      </c>
      <c r="BR60" s="16" t="s">
        <v>126</v>
      </c>
      <c r="BS60" s="16" t="s">
        <v>126</v>
      </c>
      <c r="BT60" s="16" t="s">
        <v>126</v>
      </c>
      <c r="BU60" s="16" t="s">
        <v>126</v>
      </c>
      <c r="BV60" s="6" t="s">
        <v>126</v>
      </c>
      <c r="BW60" s="16" t="s">
        <v>126</v>
      </c>
      <c r="BX60" s="16" t="s">
        <v>126</v>
      </c>
      <c r="BY60" s="16" t="s">
        <v>126</v>
      </c>
      <c r="BZ60" s="16">
        <v>72</v>
      </c>
      <c r="CA60" s="16" t="s">
        <v>126</v>
      </c>
      <c r="CB60" s="16" t="s">
        <v>126</v>
      </c>
      <c r="CC60" s="16" t="s">
        <v>126</v>
      </c>
      <c r="CD60" s="16" t="s">
        <v>126</v>
      </c>
      <c r="CE60" s="16" t="s">
        <v>126</v>
      </c>
      <c r="CF60" s="16" t="s">
        <v>126</v>
      </c>
      <c r="CG60" s="16" t="s">
        <v>126</v>
      </c>
      <c r="CH60" s="16" t="s">
        <v>126</v>
      </c>
      <c r="CI60" s="16" t="s">
        <v>126</v>
      </c>
      <c r="CJ60" s="16" t="s">
        <v>126</v>
      </c>
      <c r="CK60" s="16" t="s">
        <v>126</v>
      </c>
      <c r="CL60" s="16" t="s">
        <v>126</v>
      </c>
      <c r="CM60" s="16" t="s">
        <v>126</v>
      </c>
      <c r="CN60" s="16" t="s">
        <v>126</v>
      </c>
      <c r="CO60" s="16" t="s">
        <v>126</v>
      </c>
      <c r="CP60" s="16" t="s">
        <v>126</v>
      </c>
      <c r="CQ60" s="16" t="s">
        <v>126</v>
      </c>
      <c r="CR60" s="16" t="s">
        <v>126</v>
      </c>
      <c r="CS60" s="16" t="s">
        <v>126</v>
      </c>
      <c r="CT60" s="16" t="s">
        <v>126</v>
      </c>
      <c r="CU60" s="16" t="s">
        <v>126</v>
      </c>
      <c r="CV60" s="16" t="s">
        <v>126</v>
      </c>
      <c r="CW60" s="16" t="s">
        <v>126</v>
      </c>
      <c r="CX60" s="16" t="s">
        <v>126</v>
      </c>
      <c r="CY60" s="16" t="s">
        <v>126</v>
      </c>
      <c r="CZ60" s="16" t="s">
        <v>126</v>
      </c>
      <c r="DA60" s="16" t="s">
        <v>126</v>
      </c>
      <c r="DB60" s="16" t="s">
        <v>126</v>
      </c>
      <c r="DC60" s="16" t="s">
        <v>126</v>
      </c>
      <c r="DD60" s="16" t="s">
        <v>126</v>
      </c>
      <c r="DE60" s="16" t="s">
        <v>126</v>
      </c>
      <c r="DF60" s="16" t="s">
        <v>126</v>
      </c>
      <c r="DG60" s="16" t="s">
        <v>126</v>
      </c>
      <c r="DH60" s="16" t="s">
        <v>126</v>
      </c>
      <c r="DI60" s="16" t="s">
        <v>126</v>
      </c>
      <c r="DJ60" s="16" t="s">
        <v>126</v>
      </c>
      <c r="DK60" s="16" t="s">
        <v>126</v>
      </c>
      <c r="DL60" s="16" t="s">
        <v>126</v>
      </c>
      <c r="DM60" s="16" t="s">
        <v>126</v>
      </c>
      <c r="DN60" s="16" t="s">
        <v>126</v>
      </c>
      <c r="DO60" s="16" t="s">
        <v>126</v>
      </c>
      <c r="DP60" s="16" t="s">
        <v>126</v>
      </c>
      <c r="DQ60" s="16" t="s">
        <v>126</v>
      </c>
      <c r="DR60" s="16" t="s">
        <v>126</v>
      </c>
      <c r="DS60" s="16" t="s">
        <v>126</v>
      </c>
      <c r="DT60" s="16" t="s">
        <v>126</v>
      </c>
      <c r="DU60" s="16" t="s">
        <v>126</v>
      </c>
      <c r="DV60" s="16" t="s">
        <v>126</v>
      </c>
      <c r="DW60" s="16" t="s">
        <v>126</v>
      </c>
      <c r="DX60" s="16" t="s">
        <v>126</v>
      </c>
      <c r="DY60" s="16" t="s">
        <v>126</v>
      </c>
      <c r="DZ60" s="16" t="s">
        <v>126</v>
      </c>
      <c r="EA60" s="16" t="s">
        <v>126</v>
      </c>
      <c r="EB60" s="16" t="s">
        <v>126</v>
      </c>
      <c r="EC60" s="16" t="s">
        <v>126</v>
      </c>
      <c r="ED60" s="16" t="s">
        <v>126</v>
      </c>
      <c r="EE60" s="16" t="s">
        <v>126</v>
      </c>
      <c r="EF60" s="16" t="s">
        <v>126</v>
      </c>
      <c r="EG60" s="16" t="s">
        <v>126</v>
      </c>
      <c r="EH60" s="16" t="s">
        <v>126</v>
      </c>
      <c r="EI60" s="16" t="s">
        <v>126</v>
      </c>
      <c r="EJ60" s="16" t="s">
        <v>126</v>
      </c>
      <c r="EK60" s="16" t="s">
        <v>126</v>
      </c>
      <c r="EL60" s="16" t="s">
        <v>126</v>
      </c>
      <c r="EM60" s="16" t="s">
        <v>126</v>
      </c>
      <c r="EN60" s="16" t="s">
        <v>126</v>
      </c>
      <c r="EO60" s="16" t="s">
        <v>126</v>
      </c>
      <c r="EP60" s="16" t="s">
        <v>126</v>
      </c>
      <c r="EQ60" s="16" t="s">
        <v>126</v>
      </c>
      <c r="ER60" s="16" t="s">
        <v>126</v>
      </c>
      <c r="ES60" s="16" t="s">
        <v>126</v>
      </c>
      <c r="ET60" s="16" t="s">
        <v>126</v>
      </c>
      <c r="EU60" s="16" t="s">
        <v>126</v>
      </c>
      <c r="EV60" s="16" t="s">
        <v>126</v>
      </c>
      <c r="EW60" s="16" t="s">
        <v>126</v>
      </c>
      <c r="EX60" s="16" t="s">
        <v>126</v>
      </c>
      <c r="EY60" s="16" t="s">
        <v>126</v>
      </c>
      <c r="EZ60" s="16" t="s">
        <v>126</v>
      </c>
      <c r="FA60" s="16" t="s">
        <v>126</v>
      </c>
      <c r="FB60" s="16" t="s">
        <v>126</v>
      </c>
      <c r="FC60" s="16" t="s">
        <v>126</v>
      </c>
      <c r="FD60" s="16" t="s">
        <v>126</v>
      </c>
      <c r="FE60" s="16" t="s">
        <v>126</v>
      </c>
      <c r="FF60" s="16" t="s">
        <v>126</v>
      </c>
      <c r="FG60" s="16" t="s">
        <v>126</v>
      </c>
      <c r="FH60" s="16" t="s">
        <v>126</v>
      </c>
      <c r="FI60" s="16" t="s">
        <v>126</v>
      </c>
      <c r="FJ60" s="16" t="s">
        <v>126</v>
      </c>
      <c r="FK60" s="16" t="s">
        <v>126</v>
      </c>
      <c r="FL60" s="16" t="s">
        <v>126</v>
      </c>
      <c r="FM60" s="16" t="s">
        <v>126</v>
      </c>
      <c r="FN60" s="16" t="s">
        <v>126</v>
      </c>
      <c r="FO60" s="16" t="s">
        <v>126</v>
      </c>
      <c r="FP60" s="16" t="s">
        <v>126</v>
      </c>
      <c r="FQ60" s="16" t="s">
        <v>126</v>
      </c>
      <c r="FR60" s="16" t="s">
        <v>126</v>
      </c>
      <c r="FS60" s="16" t="s">
        <v>126</v>
      </c>
      <c r="FT60" s="16" t="s">
        <v>126</v>
      </c>
      <c r="FU60" s="16" t="s">
        <v>126</v>
      </c>
      <c r="FV60" s="16" t="s">
        <v>126</v>
      </c>
      <c r="FW60" s="16" t="s">
        <v>126</v>
      </c>
      <c r="FX60" s="16" t="s">
        <v>126</v>
      </c>
      <c r="FY60" s="16" t="s">
        <v>126</v>
      </c>
      <c r="FZ60" s="16" t="s">
        <v>126</v>
      </c>
      <c r="GA60" s="16" t="s">
        <v>126</v>
      </c>
      <c r="GB60" s="16" t="s">
        <v>126</v>
      </c>
      <c r="GC60" s="16" t="s">
        <v>126</v>
      </c>
      <c r="GD60" s="16" t="s">
        <v>126</v>
      </c>
      <c r="GE60" s="16" t="s">
        <v>126</v>
      </c>
      <c r="GF60" s="16" t="s">
        <v>126</v>
      </c>
      <c r="GG60" s="16" t="s">
        <v>126</v>
      </c>
      <c r="GH60" s="16" t="s">
        <v>126</v>
      </c>
      <c r="GI60" s="16" t="s">
        <v>126</v>
      </c>
      <c r="GJ60" s="16" t="s">
        <v>126</v>
      </c>
      <c r="GK60" s="16" t="s">
        <v>126</v>
      </c>
      <c r="GL60" s="16" t="s">
        <v>126</v>
      </c>
      <c r="GM60" s="16" t="s">
        <v>126</v>
      </c>
      <c r="GN60" s="16" t="s">
        <v>126</v>
      </c>
      <c r="GO60" s="16" t="s">
        <v>126</v>
      </c>
      <c r="GP60" s="16" t="s">
        <v>126</v>
      </c>
      <c r="GQ60" s="16" t="s">
        <v>126</v>
      </c>
      <c r="GR60" s="16" t="s">
        <v>126</v>
      </c>
      <c r="GS60" s="16" t="s">
        <v>126</v>
      </c>
      <c r="GT60" s="16" t="s">
        <v>126</v>
      </c>
      <c r="GU60" s="16" t="s">
        <v>126</v>
      </c>
      <c r="GV60" s="16" t="s">
        <v>126</v>
      </c>
      <c r="GW60" s="16" t="s">
        <v>126</v>
      </c>
      <c r="GX60" s="16" t="s">
        <v>126</v>
      </c>
      <c r="GY60" s="16" t="s">
        <v>126</v>
      </c>
      <c r="GZ60" s="16" t="s">
        <v>126</v>
      </c>
      <c r="HA60" s="16" t="s">
        <v>126</v>
      </c>
      <c r="HB60" s="16" t="s">
        <v>126</v>
      </c>
      <c r="HC60" s="16" t="s">
        <v>126</v>
      </c>
      <c r="HD60" s="16" t="s">
        <v>126</v>
      </c>
      <c r="HE60" s="16" t="s">
        <v>126</v>
      </c>
      <c r="HF60" s="16" t="s">
        <v>126</v>
      </c>
      <c r="HG60" s="16" t="s">
        <v>126</v>
      </c>
      <c r="HH60" s="16" t="s">
        <v>126</v>
      </c>
      <c r="HI60" s="16" t="s">
        <v>126</v>
      </c>
      <c r="HJ60" s="16" t="s">
        <v>126</v>
      </c>
      <c r="HK60" s="16" t="s">
        <v>126</v>
      </c>
      <c r="HL60" s="16" t="s">
        <v>126</v>
      </c>
      <c r="HM60" s="16" t="s">
        <v>126</v>
      </c>
      <c r="HN60" s="16" t="s">
        <v>126</v>
      </c>
      <c r="HO60" s="16" t="s">
        <v>126</v>
      </c>
      <c r="HP60" s="16" t="s">
        <v>126</v>
      </c>
      <c r="HQ60" s="16" t="s">
        <v>126</v>
      </c>
      <c r="HR60" s="16" t="s">
        <v>126</v>
      </c>
      <c r="HS60" s="16" t="s">
        <v>126</v>
      </c>
      <c r="HT60" s="16" t="s">
        <v>126</v>
      </c>
      <c r="HU60" s="16" t="s">
        <v>126</v>
      </c>
      <c r="HV60" s="16" t="s">
        <v>126</v>
      </c>
      <c r="HW60" s="16" t="s">
        <v>126</v>
      </c>
      <c r="HX60" s="16" t="s">
        <v>126</v>
      </c>
      <c r="HY60" s="16" t="s">
        <v>126</v>
      </c>
      <c r="HZ60" s="16" t="s">
        <v>126</v>
      </c>
      <c r="IA60" s="16" t="s">
        <v>126</v>
      </c>
      <c r="IB60" s="16" t="s">
        <v>126</v>
      </c>
      <c r="IC60" s="16" t="s">
        <v>126</v>
      </c>
      <c r="ID60" s="16" t="s">
        <v>126</v>
      </c>
      <c r="IE60" s="16" t="s">
        <v>126</v>
      </c>
      <c r="IF60" s="16" t="s">
        <v>126</v>
      </c>
      <c r="IG60" s="16" t="s">
        <v>126</v>
      </c>
      <c r="IH60" s="16" t="s">
        <v>126</v>
      </c>
      <c r="II60" s="16" t="s">
        <v>126</v>
      </c>
      <c r="IJ60" s="16" t="s">
        <v>126</v>
      </c>
      <c r="IK60" s="16" t="s">
        <v>126</v>
      </c>
      <c r="IL60" s="16" t="s">
        <v>126</v>
      </c>
      <c r="IM60" s="16" t="s">
        <v>126</v>
      </c>
      <c r="IN60" s="16" t="s">
        <v>126</v>
      </c>
      <c r="IO60" s="16" t="s">
        <v>126</v>
      </c>
      <c r="IP60" s="16" t="s">
        <v>126</v>
      </c>
      <c r="IQ60" s="16" t="s">
        <v>126</v>
      </c>
      <c r="IR60" s="16" t="s">
        <v>126</v>
      </c>
      <c r="IS60" s="59">
        <f t="shared" si="2"/>
        <v>0</v>
      </c>
    </row>
    <row r="61" spans="1:273" ht="13.5" customHeight="1">
      <c r="A61" s="97">
        <v>57</v>
      </c>
      <c r="B61" s="77" t="s">
        <v>206</v>
      </c>
      <c r="C61" s="6">
        <v>170</v>
      </c>
      <c r="D61" s="6">
        <v>320</v>
      </c>
      <c r="E61" s="6">
        <v>210</v>
      </c>
      <c r="F61" s="16" t="s">
        <v>126</v>
      </c>
      <c r="G61" s="31" t="s">
        <v>126</v>
      </c>
      <c r="H61" s="31" t="s">
        <v>126</v>
      </c>
      <c r="I61" s="31" t="s">
        <v>126</v>
      </c>
      <c r="J61" s="31" t="s">
        <v>126</v>
      </c>
      <c r="K61" s="31" t="s">
        <v>126</v>
      </c>
      <c r="L61" s="31" t="s">
        <v>126</v>
      </c>
      <c r="M61" s="31" t="s">
        <v>126</v>
      </c>
      <c r="N61" s="31" t="s">
        <v>126</v>
      </c>
      <c r="O61" s="31" t="s">
        <v>126</v>
      </c>
      <c r="P61" s="31" t="s">
        <v>126</v>
      </c>
      <c r="Q61" s="31" t="s">
        <v>126</v>
      </c>
      <c r="R61" s="31" t="s">
        <v>126</v>
      </c>
      <c r="S61" s="31" t="s">
        <v>126</v>
      </c>
      <c r="T61" s="31" t="s">
        <v>126</v>
      </c>
      <c r="U61" s="31" t="s">
        <v>126</v>
      </c>
      <c r="V61" s="31" t="s">
        <v>126</v>
      </c>
      <c r="W61" s="16" t="s">
        <v>126</v>
      </c>
      <c r="X61" s="16" t="s">
        <v>126</v>
      </c>
      <c r="Y61" s="16" t="s">
        <v>126</v>
      </c>
      <c r="Z61" s="16" t="s">
        <v>126</v>
      </c>
      <c r="AA61" s="16" t="s">
        <v>126</v>
      </c>
      <c r="AB61" s="16" t="s">
        <v>126</v>
      </c>
      <c r="AC61" s="16" t="s">
        <v>126</v>
      </c>
      <c r="AD61" s="16" t="s">
        <v>126</v>
      </c>
      <c r="AE61" s="16" t="s">
        <v>126</v>
      </c>
      <c r="AF61" s="16" t="s">
        <v>126</v>
      </c>
      <c r="AG61" s="16" t="s">
        <v>126</v>
      </c>
      <c r="AH61" s="16" t="s">
        <v>126</v>
      </c>
      <c r="AI61" s="16" t="s">
        <v>126</v>
      </c>
      <c r="AJ61" s="16" t="s">
        <v>126</v>
      </c>
      <c r="AK61" s="16" t="s">
        <v>126</v>
      </c>
      <c r="AL61" s="16" t="s">
        <v>126</v>
      </c>
      <c r="AM61" s="16" t="s">
        <v>126</v>
      </c>
      <c r="AN61" s="16" t="s">
        <v>126</v>
      </c>
      <c r="AO61" s="16" t="s">
        <v>126</v>
      </c>
      <c r="AP61" s="16" t="s">
        <v>126</v>
      </c>
      <c r="AQ61" s="16" t="s">
        <v>126</v>
      </c>
      <c r="AR61" s="91"/>
      <c r="AS61" s="16" t="s">
        <v>126</v>
      </c>
      <c r="AT61" s="16" t="s">
        <v>126</v>
      </c>
      <c r="AU61" s="91"/>
      <c r="AV61" s="16" t="s">
        <v>126</v>
      </c>
      <c r="AW61" s="16" t="s">
        <v>126</v>
      </c>
      <c r="AX61" s="16" t="s">
        <v>126</v>
      </c>
      <c r="AY61" s="16" t="s">
        <v>126</v>
      </c>
      <c r="AZ61" s="16" t="s">
        <v>126</v>
      </c>
      <c r="BA61" s="16" t="s">
        <v>126</v>
      </c>
      <c r="BB61" s="16" t="s">
        <v>126</v>
      </c>
      <c r="BC61" s="16" t="s">
        <v>126</v>
      </c>
      <c r="BD61" s="16" t="s">
        <v>126</v>
      </c>
      <c r="BE61" s="6" t="s">
        <v>126</v>
      </c>
      <c r="BF61" s="16" t="s">
        <v>126</v>
      </c>
      <c r="BG61" s="16" t="s">
        <v>126</v>
      </c>
      <c r="BH61" s="16" t="s">
        <v>126</v>
      </c>
      <c r="BI61" s="16" t="s">
        <v>126</v>
      </c>
      <c r="BJ61" s="16" t="s">
        <v>126</v>
      </c>
      <c r="BK61" s="16" t="s">
        <v>126</v>
      </c>
      <c r="BL61" s="16" t="s">
        <v>126</v>
      </c>
      <c r="BM61" s="16" t="s">
        <v>126</v>
      </c>
      <c r="BN61" s="16" t="s">
        <v>126</v>
      </c>
      <c r="BO61" s="16" t="s">
        <v>126</v>
      </c>
      <c r="BP61" s="16" t="s">
        <v>126</v>
      </c>
      <c r="BQ61" s="16" t="s">
        <v>126</v>
      </c>
      <c r="BR61" s="16" t="s">
        <v>126</v>
      </c>
      <c r="BS61" s="16" t="s">
        <v>126</v>
      </c>
      <c r="BT61" s="16" t="s">
        <v>126</v>
      </c>
      <c r="BU61" s="16" t="s">
        <v>126</v>
      </c>
      <c r="BV61" s="6" t="s">
        <v>126</v>
      </c>
      <c r="BW61" s="16" t="s">
        <v>126</v>
      </c>
      <c r="BX61" s="16" t="s">
        <v>126</v>
      </c>
      <c r="BY61" s="16" t="s">
        <v>126</v>
      </c>
      <c r="BZ61" s="16" t="s">
        <v>126</v>
      </c>
      <c r="CA61" s="16" t="s">
        <v>126</v>
      </c>
      <c r="CB61" s="16" t="s">
        <v>126</v>
      </c>
      <c r="CC61" s="16" t="s">
        <v>126</v>
      </c>
      <c r="CD61" s="16" t="s">
        <v>126</v>
      </c>
      <c r="CE61" s="16" t="s">
        <v>126</v>
      </c>
      <c r="CF61" s="16" t="s">
        <v>126</v>
      </c>
      <c r="CG61" s="16" t="s">
        <v>126</v>
      </c>
      <c r="CH61" s="16" t="s">
        <v>126</v>
      </c>
      <c r="CI61" s="16" t="s">
        <v>126</v>
      </c>
      <c r="CJ61" s="16" t="s">
        <v>126</v>
      </c>
      <c r="CK61" s="16" t="s">
        <v>126</v>
      </c>
      <c r="CL61" s="16" t="s">
        <v>126</v>
      </c>
      <c r="CM61" s="16" t="s">
        <v>126</v>
      </c>
      <c r="CN61" s="16" t="s">
        <v>126</v>
      </c>
      <c r="CO61" s="16" t="s">
        <v>126</v>
      </c>
      <c r="CP61" s="16" t="s">
        <v>126</v>
      </c>
      <c r="CQ61" s="16" t="s">
        <v>126</v>
      </c>
      <c r="CR61" s="16" t="s">
        <v>126</v>
      </c>
      <c r="CS61" s="16" t="s">
        <v>126</v>
      </c>
      <c r="CT61" s="16" t="s">
        <v>126</v>
      </c>
      <c r="CU61" s="16" t="s">
        <v>126</v>
      </c>
      <c r="CV61" s="16" t="s">
        <v>126</v>
      </c>
      <c r="CW61" s="16" t="s">
        <v>126</v>
      </c>
      <c r="CX61" s="16" t="s">
        <v>126</v>
      </c>
      <c r="CY61" s="16" t="s">
        <v>126</v>
      </c>
      <c r="CZ61" s="16" t="s">
        <v>126</v>
      </c>
      <c r="DA61" s="16" t="s">
        <v>126</v>
      </c>
      <c r="DB61" s="16" t="s">
        <v>126</v>
      </c>
      <c r="DC61" s="16" t="s">
        <v>126</v>
      </c>
      <c r="DD61" s="16" t="s">
        <v>126</v>
      </c>
      <c r="DE61" s="16" t="s">
        <v>126</v>
      </c>
      <c r="DF61" s="16" t="s">
        <v>126</v>
      </c>
      <c r="DG61" s="16" t="s">
        <v>126</v>
      </c>
      <c r="DH61" s="16" t="s">
        <v>126</v>
      </c>
      <c r="DI61" s="16" t="s">
        <v>126</v>
      </c>
      <c r="DJ61" s="16" t="s">
        <v>126</v>
      </c>
      <c r="DK61" s="16" t="s">
        <v>126</v>
      </c>
      <c r="DL61" s="16" t="s">
        <v>126</v>
      </c>
      <c r="DM61" s="16" t="s">
        <v>126</v>
      </c>
      <c r="DN61" s="16" t="s">
        <v>126</v>
      </c>
      <c r="DO61" s="16" t="s">
        <v>126</v>
      </c>
      <c r="DP61" s="16" t="s">
        <v>126</v>
      </c>
      <c r="DQ61" s="16" t="s">
        <v>126</v>
      </c>
      <c r="DR61" s="16" t="s">
        <v>126</v>
      </c>
      <c r="DS61" s="16" t="s">
        <v>126</v>
      </c>
      <c r="DT61" s="16" t="s">
        <v>126</v>
      </c>
      <c r="DU61" s="16" t="s">
        <v>126</v>
      </c>
      <c r="DV61" s="16" t="s">
        <v>126</v>
      </c>
      <c r="DW61" s="16" t="s">
        <v>126</v>
      </c>
      <c r="DX61" s="16" t="s">
        <v>126</v>
      </c>
      <c r="DY61" s="16" t="s">
        <v>126</v>
      </c>
      <c r="DZ61" s="16" t="s">
        <v>126</v>
      </c>
      <c r="EA61" s="16" t="s">
        <v>126</v>
      </c>
      <c r="EB61" s="16" t="s">
        <v>126</v>
      </c>
      <c r="EC61" s="16" t="s">
        <v>126</v>
      </c>
      <c r="ED61" s="16" t="s">
        <v>126</v>
      </c>
      <c r="EE61" s="16" t="s">
        <v>126</v>
      </c>
      <c r="EF61" s="16" t="s">
        <v>126</v>
      </c>
      <c r="EG61" s="16" t="s">
        <v>126</v>
      </c>
      <c r="EH61" s="16" t="s">
        <v>126</v>
      </c>
      <c r="EI61" s="16" t="s">
        <v>126</v>
      </c>
      <c r="EJ61" s="16" t="s">
        <v>126</v>
      </c>
      <c r="EK61" s="16" t="s">
        <v>126</v>
      </c>
      <c r="EL61" s="16" t="s">
        <v>126</v>
      </c>
      <c r="EM61" s="16" t="s">
        <v>126</v>
      </c>
      <c r="EN61" s="16" t="s">
        <v>126</v>
      </c>
      <c r="EO61" s="16" t="s">
        <v>126</v>
      </c>
      <c r="EP61" s="16" t="s">
        <v>126</v>
      </c>
      <c r="EQ61" s="16" t="s">
        <v>126</v>
      </c>
      <c r="ER61" s="16" t="s">
        <v>126</v>
      </c>
      <c r="ES61" s="16" t="s">
        <v>126</v>
      </c>
      <c r="ET61" s="16" t="s">
        <v>126</v>
      </c>
      <c r="EU61" s="16" t="s">
        <v>126</v>
      </c>
      <c r="EV61" s="16" t="s">
        <v>126</v>
      </c>
      <c r="EW61" s="16" t="s">
        <v>126</v>
      </c>
      <c r="EX61" s="16" t="s">
        <v>126</v>
      </c>
      <c r="EY61" s="16" t="s">
        <v>126</v>
      </c>
      <c r="EZ61" s="16" t="s">
        <v>126</v>
      </c>
      <c r="FA61" s="16" t="s">
        <v>126</v>
      </c>
      <c r="FB61" s="16" t="s">
        <v>126</v>
      </c>
      <c r="FC61" s="16" t="s">
        <v>126</v>
      </c>
      <c r="FD61" s="16" t="s">
        <v>126</v>
      </c>
      <c r="FE61" s="16" t="s">
        <v>126</v>
      </c>
      <c r="FF61" s="16" t="s">
        <v>126</v>
      </c>
      <c r="FG61" s="16" t="s">
        <v>126</v>
      </c>
      <c r="FH61" s="16" t="s">
        <v>126</v>
      </c>
      <c r="FI61" s="16" t="s">
        <v>126</v>
      </c>
      <c r="FJ61" s="16" t="s">
        <v>126</v>
      </c>
      <c r="FK61" s="16" t="s">
        <v>126</v>
      </c>
      <c r="FL61" s="16" t="s">
        <v>126</v>
      </c>
      <c r="FM61" s="16" t="s">
        <v>126</v>
      </c>
      <c r="FN61" s="16" t="s">
        <v>126</v>
      </c>
      <c r="FO61" s="16" t="s">
        <v>126</v>
      </c>
      <c r="FP61" s="16" t="s">
        <v>126</v>
      </c>
      <c r="FQ61" s="16" t="s">
        <v>126</v>
      </c>
      <c r="FR61" s="16" t="s">
        <v>126</v>
      </c>
      <c r="FS61" s="16" t="s">
        <v>126</v>
      </c>
      <c r="FT61" s="16" t="s">
        <v>126</v>
      </c>
      <c r="FU61" s="16" t="s">
        <v>126</v>
      </c>
      <c r="FV61" s="16" t="s">
        <v>126</v>
      </c>
      <c r="FW61" s="16" t="s">
        <v>126</v>
      </c>
      <c r="FX61" s="16" t="s">
        <v>126</v>
      </c>
      <c r="FY61" s="16" t="s">
        <v>126</v>
      </c>
      <c r="FZ61" s="16" t="s">
        <v>126</v>
      </c>
      <c r="GA61" s="16" t="s">
        <v>126</v>
      </c>
      <c r="GB61" s="16" t="s">
        <v>126</v>
      </c>
      <c r="GC61" s="16" t="s">
        <v>126</v>
      </c>
      <c r="GD61" s="16" t="s">
        <v>126</v>
      </c>
      <c r="GE61" s="16" t="s">
        <v>126</v>
      </c>
      <c r="GF61" s="16" t="s">
        <v>126</v>
      </c>
      <c r="GG61" s="16" t="s">
        <v>126</v>
      </c>
      <c r="GH61" s="16" t="s">
        <v>126</v>
      </c>
      <c r="GI61" s="16" t="s">
        <v>126</v>
      </c>
      <c r="GJ61" s="16" t="s">
        <v>126</v>
      </c>
      <c r="GK61" s="16" t="s">
        <v>126</v>
      </c>
      <c r="GL61" s="16" t="s">
        <v>126</v>
      </c>
      <c r="GM61" s="16" t="s">
        <v>126</v>
      </c>
      <c r="GN61" s="16" t="s">
        <v>126</v>
      </c>
      <c r="GO61" s="16" t="s">
        <v>126</v>
      </c>
      <c r="GP61" s="16" t="s">
        <v>126</v>
      </c>
      <c r="GQ61" s="16" t="s">
        <v>126</v>
      </c>
      <c r="GR61" s="16" t="s">
        <v>126</v>
      </c>
      <c r="GS61" s="16" t="s">
        <v>126</v>
      </c>
      <c r="GT61" s="16" t="s">
        <v>126</v>
      </c>
      <c r="GU61" s="16" t="s">
        <v>126</v>
      </c>
      <c r="GV61" s="16" t="s">
        <v>126</v>
      </c>
      <c r="GW61" s="16" t="s">
        <v>126</v>
      </c>
      <c r="GX61" s="16" t="s">
        <v>126</v>
      </c>
      <c r="GY61" s="16" t="s">
        <v>126</v>
      </c>
      <c r="GZ61" s="16" t="s">
        <v>126</v>
      </c>
      <c r="HA61" s="16" t="s">
        <v>126</v>
      </c>
      <c r="HB61" s="16" t="s">
        <v>126</v>
      </c>
      <c r="HC61" s="16" t="s">
        <v>126</v>
      </c>
      <c r="HD61" s="16" t="s">
        <v>126</v>
      </c>
      <c r="HE61" s="16" t="s">
        <v>126</v>
      </c>
      <c r="HF61" s="16" t="s">
        <v>126</v>
      </c>
      <c r="HG61" s="16" t="s">
        <v>126</v>
      </c>
      <c r="HH61" s="16" t="s">
        <v>126</v>
      </c>
      <c r="HI61" s="16" t="s">
        <v>126</v>
      </c>
      <c r="HJ61" s="16" t="s">
        <v>126</v>
      </c>
      <c r="HK61" s="16" t="s">
        <v>126</v>
      </c>
      <c r="HL61" s="16" t="s">
        <v>126</v>
      </c>
      <c r="HM61" s="16" t="s">
        <v>126</v>
      </c>
      <c r="HN61" s="16" t="s">
        <v>126</v>
      </c>
      <c r="HO61" s="16" t="s">
        <v>126</v>
      </c>
      <c r="HP61" s="16" t="s">
        <v>126</v>
      </c>
      <c r="HQ61" s="16" t="s">
        <v>126</v>
      </c>
      <c r="HR61" s="16" t="s">
        <v>126</v>
      </c>
      <c r="HS61" s="16" t="s">
        <v>126</v>
      </c>
      <c r="HT61" s="16" t="s">
        <v>126</v>
      </c>
      <c r="HU61" s="16" t="s">
        <v>126</v>
      </c>
      <c r="HV61" s="16" t="s">
        <v>126</v>
      </c>
      <c r="HW61" s="16" t="s">
        <v>126</v>
      </c>
      <c r="HX61" s="16" t="s">
        <v>126</v>
      </c>
      <c r="HY61" s="16" t="s">
        <v>126</v>
      </c>
      <c r="HZ61" s="16" t="s">
        <v>126</v>
      </c>
      <c r="IA61" s="16" t="s">
        <v>126</v>
      </c>
      <c r="IB61" s="16" t="s">
        <v>126</v>
      </c>
      <c r="IC61" s="16" t="s">
        <v>126</v>
      </c>
      <c r="ID61" s="16" t="s">
        <v>126</v>
      </c>
      <c r="IE61" s="16" t="s">
        <v>126</v>
      </c>
      <c r="IF61" s="16" t="s">
        <v>126</v>
      </c>
      <c r="IG61" s="16" t="s">
        <v>126</v>
      </c>
      <c r="IH61" s="16" t="s">
        <v>126</v>
      </c>
      <c r="II61" s="16" t="s">
        <v>126</v>
      </c>
      <c r="IJ61" s="16" t="s">
        <v>126</v>
      </c>
      <c r="IK61" s="16" t="s">
        <v>126</v>
      </c>
      <c r="IL61" s="16" t="s">
        <v>126</v>
      </c>
      <c r="IM61" s="16" t="s">
        <v>126</v>
      </c>
      <c r="IN61" s="16" t="s">
        <v>126</v>
      </c>
      <c r="IO61" s="16" t="s">
        <v>126</v>
      </c>
      <c r="IP61" s="16" t="s">
        <v>126</v>
      </c>
      <c r="IQ61" s="16" t="s">
        <v>126</v>
      </c>
      <c r="IR61" s="16" t="s">
        <v>126</v>
      </c>
      <c r="IS61" s="59">
        <f t="shared" si="2"/>
        <v>0</v>
      </c>
    </row>
    <row r="62" spans="1:273" ht="13.5" customHeight="1">
      <c r="A62" s="97">
        <v>58</v>
      </c>
      <c r="B62" s="77" t="s">
        <v>207</v>
      </c>
      <c r="C62" s="6">
        <v>140</v>
      </c>
      <c r="D62" s="6">
        <v>210</v>
      </c>
      <c r="E62" s="6">
        <v>210</v>
      </c>
      <c r="F62" s="16" t="s">
        <v>126</v>
      </c>
      <c r="G62" s="31" t="s">
        <v>126</v>
      </c>
      <c r="H62" s="31" t="s">
        <v>126</v>
      </c>
      <c r="I62" s="31" t="s">
        <v>126</v>
      </c>
      <c r="J62" s="31" t="s">
        <v>126</v>
      </c>
      <c r="K62" s="31" t="s">
        <v>126</v>
      </c>
      <c r="L62" s="31" t="s">
        <v>126</v>
      </c>
      <c r="M62" s="31" t="s">
        <v>126</v>
      </c>
      <c r="N62" s="31" t="s">
        <v>126</v>
      </c>
      <c r="O62" s="31" t="s">
        <v>126</v>
      </c>
      <c r="P62" s="31" t="s">
        <v>126</v>
      </c>
      <c r="Q62" s="31" t="s">
        <v>126</v>
      </c>
      <c r="R62" s="31" t="s">
        <v>126</v>
      </c>
      <c r="S62" s="31" t="s">
        <v>126</v>
      </c>
      <c r="T62" s="31" t="s">
        <v>126</v>
      </c>
      <c r="U62" s="31" t="s">
        <v>126</v>
      </c>
      <c r="V62" s="31" t="s">
        <v>126</v>
      </c>
      <c r="W62" s="16" t="s">
        <v>126</v>
      </c>
      <c r="X62" s="16" t="s">
        <v>126</v>
      </c>
      <c r="Y62" s="16" t="s">
        <v>126</v>
      </c>
      <c r="Z62" s="16" t="s">
        <v>126</v>
      </c>
      <c r="AA62" s="16" t="s">
        <v>126</v>
      </c>
      <c r="AB62" s="16" t="s">
        <v>126</v>
      </c>
      <c r="AC62" s="16" t="s">
        <v>126</v>
      </c>
      <c r="AD62" s="16" t="s">
        <v>126</v>
      </c>
      <c r="AE62" s="16" t="s">
        <v>126</v>
      </c>
      <c r="AF62" s="16" t="s">
        <v>126</v>
      </c>
      <c r="AG62" s="16" t="s">
        <v>126</v>
      </c>
      <c r="AH62" s="16" t="s">
        <v>126</v>
      </c>
      <c r="AI62" s="16" t="s">
        <v>126</v>
      </c>
      <c r="AJ62" s="16" t="s">
        <v>126</v>
      </c>
      <c r="AK62" s="16" t="s">
        <v>126</v>
      </c>
      <c r="AL62" s="16" t="s">
        <v>126</v>
      </c>
      <c r="AM62" s="16" t="s">
        <v>126</v>
      </c>
      <c r="AN62" s="16" t="s">
        <v>126</v>
      </c>
      <c r="AO62" s="16" t="s">
        <v>126</v>
      </c>
      <c r="AP62" s="16" t="s">
        <v>126</v>
      </c>
      <c r="AQ62" s="16" t="s">
        <v>126</v>
      </c>
      <c r="AR62" s="91"/>
      <c r="AS62" s="16" t="s">
        <v>126</v>
      </c>
      <c r="AT62" s="16" t="s">
        <v>126</v>
      </c>
      <c r="AU62" s="91"/>
      <c r="AV62" s="16" t="s">
        <v>126</v>
      </c>
      <c r="AW62" s="16" t="s">
        <v>126</v>
      </c>
      <c r="AX62" s="16" t="s">
        <v>126</v>
      </c>
      <c r="AY62" s="16" t="s">
        <v>126</v>
      </c>
      <c r="AZ62" s="16" t="s">
        <v>126</v>
      </c>
      <c r="BA62" s="16" t="s">
        <v>126</v>
      </c>
      <c r="BB62" s="16" t="s">
        <v>126</v>
      </c>
      <c r="BC62" s="16" t="s">
        <v>126</v>
      </c>
      <c r="BD62" s="16" t="s">
        <v>126</v>
      </c>
      <c r="BE62" s="6" t="s">
        <v>126</v>
      </c>
      <c r="BF62" s="16" t="s">
        <v>126</v>
      </c>
      <c r="BG62" s="16" t="s">
        <v>126</v>
      </c>
      <c r="BH62" s="16" t="s">
        <v>126</v>
      </c>
      <c r="BI62" s="16" t="s">
        <v>126</v>
      </c>
      <c r="BJ62" s="16" t="s">
        <v>126</v>
      </c>
      <c r="BK62" s="16" t="s">
        <v>126</v>
      </c>
      <c r="BL62" s="16" t="s">
        <v>126</v>
      </c>
      <c r="BM62" s="16" t="s">
        <v>126</v>
      </c>
      <c r="BN62" s="16" t="s">
        <v>126</v>
      </c>
      <c r="BO62" s="16" t="s">
        <v>126</v>
      </c>
      <c r="BP62" s="16" t="s">
        <v>126</v>
      </c>
      <c r="BQ62" s="16" t="s">
        <v>126</v>
      </c>
      <c r="BR62" s="16" t="s">
        <v>126</v>
      </c>
      <c r="BS62" s="16" t="s">
        <v>126</v>
      </c>
      <c r="BT62" s="16" t="s">
        <v>126</v>
      </c>
      <c r="BU62" s="16" t="s">
        <v>126</v>
      </c>
      <c r="BV62" s="6" t="s">
        <v>126</v>
      </c>
      <c r="BW62" s="16" t="s">
        <v>126</v>
      </c>
      <c r="BX62" s="16" t="s">
        <v>126</v>
      </c>
      <c r="BY62" s="16" t="s">
        <v>126</v>
      </c>
      <c r="BZ62" s="16" t="s">
        <v>126</v>
      </c>
      <c r="CA62" s="16" t="s">
        <v>126</v>
      </c>
      <c r="CB62" s="16" t="s">
        <v>126</v>
      </c>
      <c r="CC62" s="16" t="s">
        <v>126</v>
      </c>
      <c r="CD62" s="16" t="s">
        <v>126</v>
      </c>
      <c r="CE62" s="16" t="s">
        <v>126</v>
      </c>
      <c r="CF62" s="16" t="s">
        <v>126</v>
      </c>
      <c r="CG62" s="16" t="s">
        <v>126</v>
      </c>
      <c r="CH62" s="16" t="s">
        <v>126</v>
      </c>
      <c r="CI62" s="16" t="s">
        <v>126</v>
      </c>
      <c r="CJ62" s="16" t="s">
        <v>126</v>
      </c>
      <c r="CK62" s="16" t="s">
        <v>126</v>
      </c>
      <c r="CL62" s="16" t="s">
        <v>126</v>
      </c>
      <c r="CM62" s="16" t="s">
        <v>126</v>
      </c>
      <c r="CN62" s="16" t="s">
        <v>126</v>
      </c>
      <c r="CO62" s="16" t="s">
        <v>126</v>
      </c>
      <c r="CP62" s="16" t="s">
        <v>126</v>
      </c>
      <c r="CQ62" s="16" t="s">
        <v>126</v>
      </c>
      <c r="CR62" s="16" t="s">
        <v>126</v>
      </c>
      <c r="CS62" s="16" t="s">
        <v>126</v>
      </c>
      <c r="CT62" s="16" t="s">
        <v>126</v>
      </c>
      <c r="CU62" s="16" t="s">
        <v>126</v>
      </c>
      <c r="CV62" s="16" t="s">
        <v>126</v>
      </c>
      <c r="CW62" s="16" t="s">
        <v>126</v>
      </c>
      <c r="CX62" s="16" t="s">
        <v>126</v>
      </c>
      <c r="CY62" s="16" t="s">
        <v>126</v>
      </c>
      <c r="CZ62" s="16" t="s">
        <v>126</v>
      </c>
      <c r="DA62" s="16" t="s">
        <v>126</v>
      </c>
      <c r="DB62" s="16" t="s">
        <v>126</v>
      </c>
      <c r="DC62" s="16" t="s">
        <v>126</v>
      </c>
      <c r="DD62" s="16" t="s">
        <v>126</v>
      </c>
      <c r="DE62" s="16" t="s">
        <v>126</v>
      </c>
      <c r="DF62" s="16" t="s">
        <v>126</v>
      </c>
      <c r="DG62" s="16" t="s">
        <v>126</v>
      </c>
      <c r="DH62" s="16" t="s">
        <v>126</v>
      </c>
      <c r="DI62" s="16" t="s">
        <v>126</v>
      </c>
      <c r="DJ62" s="16" t="s">
        <v>126</v>
      </c>
      <c r="DK62" s="16" t="s">
        <v>126</v>
      </c>
      <c r="DL62" s="16" t="s">
        <v>126</v>
      </c>
      <c r="DM62" s="16" t="s">
        <v>126</v>
      </c>
      <c r="DN62" s="16" t="s">
        <v>126</v>
      </c>
      <c r="DO62" s="16" t="s">
        <v>126</v>
      </c>
      <c r="DP62" s="16" t="s">
        <v>126</v>
      </c>
      <c r="DQ62" s="16" t="s">
        <v>126</v>
      </c>
      <c r="DR62" s="16" t="s">
        <v>126</v>
      </c>
      <c r="DS62" s="16" t="s">
        <v>126</v>
      </c>
      <c r="DT62" s="16" t="s">
        <v>126</v>
      </c>
      <c r="DU62" s="16" t="s">
        <v>126</v>
      </c>
      <c r="DV62" s="16" t="s">
        <v>126</v>
      </c>
      <c r="DW62" s="16" t="s">
        <v>126</v>
      </c>
      <c r="DX62" s="16" t="s">
        <v>126</v>
      </c>
      <c r="DY62" s="16" t="s">
        <v>126</v>
      </c>
      <c r="DZ62" s="16" t="s">
        <v>126</v>
      </c>
      <c r="EA62" s="16" t="s">
        <v>126</v>
      </c>
      <c r="EB62" s="16" t="s">
        <v>126</v>
      </c>
      <c r="EC62" s="16" t="s">
        <v>126</v>
      </c>
      <c r="ED62" s="16" t="s">
        <v>126</v>
      </c>
      <c r="EE62" s="16" t="s">
        <v>126</v>
      </c>
      <c r="EF62" s="16" t="s">
        <v>126</v>
      </c>
      <c r="EG62" s="16" t="s">
        <v>126</v>
      </c>
      <c r="EH62" s="16" t="s">
        <v>126</v>
      </c>
      <c r="EI62" s="16" t="s">
        <v>126</v>
      </c>
      <c r="EJ62" s="16" t="s">
        <v>126</v>
      </c>
      <c r="EK62" s="16" t="s">
        <v>126</v>
      </c>
      <c r="EL62" s="16" t="s">
        <v>126</v>
      </c>
      <c r="EM62" s="16" t="s">
        <v>126</v>
      </c>
      <c r="EN62" s="16" t="s">
        <v>126</v>
      </c>
      <c r="EO62" s="16" t="s">
        <v>126</v>
      </c>
      <c r="EP62" s="16" t="s">
        <v>126</v>
      </c>
      <c r="EQ62" s="16" t="s">
        <v>126</v>
      </c>
      <c r="ER62" s="16" t="s">
        <v>126</v>
      </c>
      <c r="ES62" s="16" t="s">
        <v>126</v>
      </c>
      <c r="ET62" s="16" t="s">
        <v>126</v>
      </c>
      <c r="EU62" s="16" t="s">
        <v>126</v>
      </c>
      <c r="EV62" s="16" t="s">
        <v>126</v>
      </c>
      <c r="EW62" s="16" t="s">
        <v>126</v>
      </c>
      <c r="EX62" s="16" t="s">
        <v>126</v>
      </c>
      <c r="EY62" s="16" t="s">
        <v>126</v>
      </c>
      <c r="EZ62" s="16" t="s">
        <v>126</v>
      </c>
      <c r="FA62" s="16" t="s">
        <v>126</v>
      </c>
      <c r="FB62" s="16" t="s">
        <v>126</v>
      </c>
      <c r="FC62" s="16" t="s">
        <v>126</v>
      </c>
      <c r="FD62" s="16" t="s">
        <v>126</v>
      </c>
      <c r="FE62" s="16" t="s">
        <v>126</v>
      </c>
      <c r="FF62" s="16" t="s">
        <v>126</v>
      </c>
      <c r="FG62" s="16" t="s">
        <v>126</v>
      </c>
      <c r="FH62" s="16" t="s">
        <v>126</v>
      </c>
      <c r="FI62" s="16" t="s">
        <v>126</v>
      </c>
      <c r="FJ62" s="16" t="s">
        <v>126</v>
      </c>
      <c r="FK62" s="16" t="s">
        <v>126</v>
      </c>
      <c r="FL62" s="16" t="s">
        <v>126</v>
      </c>
      <c r="FM62" s="16" t="s">
        <v>126</v>
      </c>
      <c r="FN62" s="16" t="s">
        <v>126</v>
      </c>
      <c r="FO62" s="16" t="s">
        <v>126</v>
      </c>
      <c r="FP62" s="16" t="s">
        <v>126</v>
      </c>
      <c r="FQ62" s="16" t="s">
        <v>126</v>
      </c>
      <c r="FR62" s="16" t="s">
        <v>126</v>
      </c>
      <c r="FS62" s="16" t="s">
        <v>126</v>
      </c>
      <c r="FT62" s="16" t="s">
        <v>126</v>
      </c>
      <c r="FU62" s="16" t="s">
        <v>126</v>
      </c>
      <c r="FV62" s="16" t="s">
        <v>126</v>
      </c>
      <c r="FW62" s="16" t="s">
        <v>126</v>
      </c>
      <c r="FX62" s="16" t="s">
        <v>126</v>
      </c>
      <c r="FY62" s="16" t="s">
        <v>126</v>
      </c>
      <c r="FZ62" s="16" t="s">
        <v>126</v>
      </c>
      <c r="GA62" s="16" t="s">
        <v>126</v>
      </c>
      <c r="GB62" s="16" t="s">
        <v>126</v>
      </c>
      <c r="GC62" s="16" t="s">
        <v>126</v>
      </c>
      <c r="GD62" s="16" t="s">
        <v>126</v>
      </c>
      <c r="GE62" s="16" t="s">
        <v>126</v>
      </c>
      <c r="GF62" s="16" t="s">
        <v>126</v>
      </c>
      <c r="GG62" s="16" t="s">
        <v>126</v>
      </c>
      <c r="GH62" s="16" t="s">
        <v>126</v>
      </c>
      <c r="GI62" s="16" t="s">
        <v>126</v>
      </c>
      <c r="GJ62" s="16" t="s">
        <v>126</v>
      </c>
      <c r="GK62" s="16" t="s">
        <v>126</v>
      </c>
      <c r="GL62" s="16" t="s">
        <v>126</v>
      </c>
      <c r="GM62" s="16" t="s">
        <v>126</v>
      </c>
      <c r="GN62" s="16" t="s">
        <v>126</v>
      </c>
      <c r="GO62" s="16" t="s">
        <v>126</v>
      </c>
      <c r="GP62" s="16" t="s">
        <v>126</v>
      </c>
      <c r="GQ62" s="16" t="s">
        <v>126</v>
      </c>
      <c r="GR62" s="16" t="s">
        <v>126</v>
      </c>
      <c r="GS62" s="16" t="s">
        <v>126</v>
      </c>
      <c r="GT62" s="16" t="s">
        <v>126</v>
      </c>
      <c r="GU62" s="16" t="s">
        <v>126</v>
      </c>
      <c r="GV62" s="16" t="s">
        <v>126</v>
      </c>
      <c r="GW62" s="16" t="s">
        <v>126</v>
      </c>
      <c r="GX62" s="16" t="s">
        <v>126</v>
      </c>
      <c r="GY62" s="16" t="s">
        <v>126</v>
      </c>
      <c r="GZ62" s="16" t="s">
        <v>126</v>
      </c>
      <c r="HA62" s="16" t="s">
        <v>126</v>
      </c>
      <c r="HB62" s="16" t="s">
        <v>126</v>
      </c>
      <c r="HC62" s="16" t="s">
        <v>126</v>
      </c>
      <c r="HD62" s="16" t="s">
        <v>126</v>
      </c>
      <c r="HE62" s="16" t="s">
        <v>126</v>
      </c>
      <c r="HF62" s="16" t="s">
        <v>126</v>
      </c>
      <c r="HG62" s="16" t="s">
        <v>126</v>
      </c>
      <c r="HH62" s="16" t="s">
        <v>126</v>
      </c>
      <c r="HI62" s="16" t="s">
        <v>126</v>
      </c>
      <c r="HJ62" s="16" t="s">
        <v>126</v>
      </c>
      <c r="HK62" s="16" t="s">
        <v>126</v>
      </c>
      <c r="HL62" s="16" t="s">
        <v>126</v>
      </c>
      <c r="HM62" s="16" t="s">
        <v>126</v>
      </c>
      <c r="HN62" s="16" t="s">
        <v>126</v>
      </c>
      <c r="HO62" s="16" t="s">
        <v>126</v>
      </c>
      <c r="HP62" s="16" t="s">
        <v>126</v>
      </c>
      <c r="HQ62" s="16" t="s">
        <v>126</v>
      </c>
      <c r="HR62" s="16" t="s">
        <v>126</v>
      </c>
      <c r="HS62" s="16" t="s">
        <v>126</v>
      </c>
      <c r="HT62" s="16" t="s">
        <v>126</v>
      </c>
      <c r="HU62" s="16" t="s">
        <v>126</v>
      </c>
      <c r="HV62" s="16" t="s">
        <v>126</v>
      </c>
      <c r="HW62" s="16" t="s">
        <v>126</v>
      </c>
      <c r="HX62" s="16" t="s">
        <v>126</v>
      </c>
      <c r="HY62" s="16" t="s">
        <v>126</v>
      </c>
      <c r="HZ62" s="16" t="s">
        <v>126</v>
      </c>
      <c r="IA62" s="16" t="s">
        <v>126</v>
      </c>
      <c r="IB62" s="16" t="s">
        <v>126</v>
      </c>
      <c r="IC62" s="16" t="s">
        <v>126</v>
      </c>
      <c r="ID62" s="16" t="s">
        <v>126</v>
      </c>
      <c r="IE62" s="16" t="s">
        <v>126</v>
      </c>
      <c r="IF62" s="16" t="s">
        <v>126</v>
      </c>
      <c r="IG62" s="16" t="s">
        <v>126</v>
      </c>
      <c r="IH62" s="16" t="s">
        <v>126</v>
      </c>
      <c r="II62" s="16" t="s">
        <v>126</v>
      </c>
      <c r="IJ62" s="16" t="s">
        <v>126</v>
      </c>
      <c r="IK62" s="16" t="s">
        <v>126</v>
      </c>
      <c r="IL62" s="16" t="s">
        <v>126</v>
      </c>
      <c r="IM62" s="16" t="s">
        <v>126</v>
      </c>
      <c r="IN62" s="16" t="s">
        <v>126</v>
      </c>
      <c r="IO62" s="16" t="s">
        <v>126</v>
      </c>
      <c r="IP62" s="16" t="s">
        <v>126</v>
      </c>
      <c r="IQ62" s="16" t="s">
        <v>126</v>
      </c>
      <c r="IR62" s="16" t="s">
        <v>126</v>
      </c>
      <c r="IS62" s="59">
        <f t="shared" si="2"/>
        <v>0</v>
      </c>
    </row>
    <row r="63" spans="1:273" ht="13.5" customHeight="1">
      <c r="A63" s="97">
        <v>59</v>
      </c>
      <c r="B63" s="92" t="s">
        <v>208</v>
      </c>
      <c r="C63" s="6">
        <v>170</v>
      </c>
      <c r="D63" s="6">
        <v>260</v>
      </c>
      <c r="E63" s="6">
        <v>210</v>
      </c>
      <c r="F63" s="16" t="s">
        <v>126</v>
      </c>
      <c r="G63" s="31" t="s">
        <v>126</v>
      </c>
      <c r="H63" s="31" t="s">
        <v>126</v>
      </c>
      <c r="I63" s="31" t="s">
        <v>126</v>
      </c>
      <c r="J63" s="31" t="s">
        <v>126</v>
      </c>
      <c r="K63" s="31" t="s">
        <v>126</v>
      </c>
      <c r="L63" s="31" t="s">
        <v>126</v>
      </c>
      <c r="M63" s="31" t="s">
        <v>126</v>
      </c>
      <c r="N63" s="31" t="s">
        <v>126</v>
      </c>
      <c r="O63" s="31" t="s">
        <v>126</v>
      </c>
      <c r="P63" s="31" t="s">
        <v>126</v>
      </c>
      <c r="Q63" s="31" t="s">
        <v>126</v>
      </c>
      <c r="R63" s="31" t="s">
        <v>126</v>
      </c>
      <c r="S63" s="31" t="s">
        <v>126</v>
      </c>
      <c r="T63" s="31" t="s">
        <v>126</v>
      </c>
      <c r="U63" s="31" t="s">
        <v>126</v>
      </c>
      <c r="V63" s="31" t="s">
        <v>126</v>
      </c>
      <c r="W63" s="16" t="s">
        <v>126</v>
      </c>
      <c r="X63" s="16" t="s">
        <v>126</v>
      </c>
      <c r="Y63" s="16" t="s">
        <v>126</v>
      </c>
      <c r="Z63" s="16" t="s">
        <v>126</v>
      </c>
      <c r="AA63" s="16" t="s">
        <v>126</v>
      </c>
      <c r="AB63" s="16" t="s">
        <v>126</v>
      </c>
      <c r="AC63" s="16" t="s">
        <v>126</v>
      </c>
      <c r="AD63" s="16" t="s">
        <v>126</v>
      </c>
      <c r="AE63" s="16" t="s">
        <v>126</v>
      </c>
      <c r="AF63" s="16" t="s">
        <v>126</v>
      </c>
      <c r="AG63" s="16" t="s">
        <v>126</v>
      </c>
      <c r="AH63" s="16" t="s">
        <v>126</v>
      </c>
      <c r="AI63" s="16" t="s">
        <v>126</v>
      </c>
      <c r="AJ63" s="16" t="s">
        <v>126</v>
      </c>
      <c r="AK63" s="16" t="s">
        <v>126</v>
      </c>
      <c r="AL63" s="16" t="s">
        <v>126</v>
      </c>
      <c r="AM63" s="16" t="s">
        <v>126</v>
      </c>
      <c r="AN63" s="16" t="s">
        <v>126</v>
      </c>
      <c r="AO63" s="16" t="s">
        <v>126</v>
      </c>
      <c r="AP63" s="16" t="s">
        <v>126</v>
      </c>
      <c r="AQ63" s="16" t="s">
        <v>126</v>
      </c>
      <c r="AR63" s="91"/>
      <c r="AS63" s="16" t="s">
        <v>126</v>
      </c>
      <c r="AT63" s="16" t="s">
        <v>126</v>
      </c>
      <c r="AU63" s="91"/>
      <c r="AV63" s="16" t="s">
        <v>126</v>
      </c>
      <c r="AW63" s="16" t="s">
        <v>126</v>
      </c>
      <c r="AX63" s="16" t="s">
        <v>126</v>
      </c>
      <c r="AY63" s="16" t="s">
        <v>126</v>
      </c>
      <c r="AZ63" s="16" t="s">
        <v>126</v>
      </c>
      <c r="BA63" s="16" t="s">
        <v>126</v>
      </c>
      <c r="BB63" s="16" t="s">
        <v>126</v>
      </c>
      <c r="BC63" s="16" t="s">
        <v>126</v>
      </c>
      <c r="BD63" s="16" t="s">
        <v>126</v>
      </c>
      <c r="BE63" s="6" t="s">
        <v>126</v>
      </c>
      <c r="BF63" s="16" t="s">
        <v>126</v>
      </c>
      <c r="BG63" s="16" t="s">
        <v>126</v>
      </c>
      <c r="BH63" s="16" t="s">
        <v>126</v>
      </c>
      <c r="BI63" s="16" t="s">
        <v>126</v>
      </c>
      <c r="BJ63" s="16" t="s">
        <v>126</v>
      </c>
      <c r="BK63" s="16" t="s">
        <v>126</v>
      </c>
      <c r="BL63" s="16" t="s">
        <v>126</v>
      </c>
      <c r="BM63" s="16" t="s">
        <v>126</v>
      </c>
      <c r="BN63" s="16" t="s">
        <v>126</v>
      </c>
      <c r="BO63" s="16" t="s">
        <v>126</v>
      </c>
      <c r="BP63" s="16" t="s">
        <v>126</v>
      </c>
      <c r="BQ63" s="16" t="s">
        <v>126</v>
      </c>
      <c r="BR63" s="16" t="s">
        <v>126</v>
      </c>
      <c r="BS63" s="16" t="s">
        <v>126</v>
      </c>
      <c r="BT63" s="16" t="s">
        <v>126</v>
      </c>
      <c r="BU63" s="16" t="s">
        <v>126</v>
      </c>
      <c r="BV63" s="6" t="s">
        <v>126</v>
      </c>
      <c r="BW63" s="16" t="s">
        <v>126</v>
      </c>
      <c r="BX63" s="16" t="s">
        <v>126</v>
      </c>
      <c r="BY63" s="16" t="s">
        <v>126</v>
      </c>
      <c r="BZ63" s="16" t="s">
        <v>126</v>
      </c>
      <c r="CA63" s="16" t="s">
        <v>126</v>
      </c>
      <c r="CB63" s="16" t="s">
        <v>126</v>
      </c>
      <c r="CC63" s="16" t="s">
        <v>126</v>
      </c>
      <c r="CD63" s="16" t="s">
        <v>126</v>
      </c>
      <c r="CE63" s="16" t="s">
        <v>126</v>
      </c>
      <c r="CF63" s="16" t="s">
        <v>126</v>
      </c>
      <c r="CG63" s="16" t="s">
        <v>126</v>
      </c>
      <c r="CH63" s="16" t="s">
        <v>126</v>
      </c>
      <c r="CI63" s="16" t="s">
        <v>126</v>
      </c>
      <c r="CJ63" s="16" t="s">
        <v>126</v>
      </c>
      <c r="CK63" s="16" t="s">
        <v>126</v>
      </c>
      <c r="CL63" s="16" t="s">
        <v>126</v>
      </c>
      <c r="CM63" s="16" t="s">
        <v>126</v>
      </c>
      <c r="CN63" s="16" t="s">
        <v>126</v>
      </c>
      <c r="CO63" s="16" t="s">
        <v>126</v>
      </c>
      <c r="CP63" s="16" t="s">
        <v>126</v>
      </c>
      <c r="CQ63" s="16" t="s">
        <v>126</v>
      </c>
      <c r="CR63" s="16" t="s">
        <v>126</v>
      </c>
      <c r="CS63" s="16" t="s">
        <v>126</v>
      </c>
      <c r="CT63" s="16" t="s">
        <v>126</v>
      </c>
      <c r="CU63" s="16" t="s">
        <v>126</v>
      </c>
      <c r="CV63" s="16" t="s">
        <v>126</v>
      </c>
      <c r="CW63" s="16" t="s">
        <v>126</v>
      </c>
      <c r="CX63" s="16" t="s">
        <v>126</v>
      </c>
      <c r="CY63" s="16" t="s">
        <v>126</v>
      </c>
      <c r="CZ63" s="16" t="s">
        <v>126</v>
      </c>
      <c r="DA63" s="16" t="s">
        <v>126</v>
      </c>
      <c r="DB63" s="16" t="s">
        <v>126</v>
      </c>
      <c r="DC63" s="16" t="s">
        <v>126</v>
      </c>
      <c r="DD63" s="16" t="s">
        <v>126</v>
      </c>
      <c r="DE63" s="16" t="s">
        <v>126</v>
      </c>
      <c r="DF63" s="16" t="s">
        <v>126</v>
      </c>
      <c r="DG63" s="16" t="s">
        <v>126</v>
      </c>
      <c r="DH63" s="16" t="s">
        <v>126</v>
      </c>
      <c r="DI63" s="16" t="s">
        <v>126</v>
      </c>
      <c r="DJ63" s="16" t="s">
        <v>126</v>
      </c>
      <c r="DK63" s="16" t="s">
        <v>126</v>
      </c>
      <c r="DL63" s="16" t="s">
        <v>126</v>
      </c>
      <c r="DM63" s="16" t="s">
        <v>126</v>
      </c>
      <c r="DN63" s="16" t="s">
        <v>126</v>
      </c>
      <c r="DO63" s="16" t="s">
        <v>126</v>
      </c>
      <c r="DP63" s="16" t="s">
        <v>126</v>
      </c>
      <c r="DQ63" s="16" t="s">
        <v>126</v>
      </c>
      <c r="DR63" s="16" t="s">
        <v>126</v>
      </c>
      <c r="DS63" s="16" t="s">
        <v>126</v>
      </c>
      <c r="DT63" s="16" t="s">
        <v>126</v>
      </c>
      <c r="DU63" s="16" t="s">
        <v>126</v>
      </c>
      <c r="DV63" s="16" t="s">
        <v>126</v>
      </c>
      <c r="DW63" s="16" t="s">
        <v>126</v>
      </c>
      <c r="DX63" s="16" t="s">
        <v>126</v>
      </c>
      <c r="DY63" s="16" t="s">
        <v>126</v>
      </c>
      <c r="DZ63" s="16" t="s">
        <v>126</v>
      </c>
      <c r="EA63" s="16" t="s">
        <v>126</v>
      </c>
      <c r="EB63" s="16" t="s">
        <v>126</v>
      </c>
      <c r="EC63" s="16" t="s">
        <v>126</v>
      </c>
      <c r="ED63" s="16" t="s">
        <v>126</v>
      </c>
      <c r="EE63" s="16" t="s">
        <v>126</v>
      </c>
      <c r="EF63" s="16" t="s">
        <v>126</v>
      </c>
      <c r="EG63" s="16" t="s">
        <v>126</v>
      </c>
      <c r="EH63" s="16" t="s">
        <v>126</v>
      </c>
      <c r="EI63" s="16" t="s">
        <v>126</v>
      </c>
      <c r="EJ63" s="16" t="s">
        <v>126</v>
      </c>
      <c r="EK63" s="16" t="s">
        <v>126</v>
      </c>
      <c r="EL63" s="16" t="s">
        <v>126</v>
      </c>
      <c r="EM63" s="16" t="s">
        <v>126</v>
      </c>
      <c r="EN63" s="16" t="s">
        <v>126</v>
      </c>
      <c r="EO63" s="16" t="s">
        <v>126</v>
      </c>
      <c r="EP63" s="16" t="s">
        <v>126</v>
      </c>
      <c r="EQ63" s="16" t="s">
        <v>126</v>
      </c>
      <c r="ER63" s="16" t="s">
        <v>126</v>
      </c>
      <c r="ES63" s="16" t="s">
        <v>126</v>
      </c>
      <c r="ET63" s="16" t="s">
        <v>126</v>
      </c>
      <c r="EU63" s="16" t="s">
        <v>126</v>
      </c>
      <c r="EV63" s="16" t="s">
        <v>126</v>
      </c>
      <c r="EW63" s="16" t="s">
        <v>126</v>
      </c>
      <c r="EX63" s="16" t="s">
        <v>126</v>
      </c>
      <c r="EY63" s="16" t="s">
        <v>126</v>
      </c>
      <c r="EZ63" s="16" t="s">
        <v>126</v>
      </c>
      <c r="FA63" s="16" t="s">
        <v>126</v>
      </c>
      <c r="FB63" s="16" t="s">
        <v>126</v>
      </c>
      <c r="FC63" s="16" t="s">
        <v>126</v>
      </c>
      <c r="FD63" s="16" t="s">
        <v>126</v>
      </c>
      <c r="FE63" s="16" t="s">
        <v>126</v>
      </c>
      <c r="FF63" s="16" t="s">
        <v>126</v>
      </c>
      <c r="FG63" s="16" t="s">
        <v>126</v>
      </c>
      <c r="FH63" s="16" t="s">
        <v>126</v>
      </c>
      <c r="FI63" s="16" t="s">
        <v>126</v>
      </c>
      <c r="FJ63" s="16" t="s">
        <v>126</v>
      </c>
      <c r="FK63" s="16" t="s">
        <v>126</v>
      </c>
      <c r="FL63" s="16" t="s">
        <v>126</v>
      </c>
      <c r="FM63" s="16" t="s">
        <v>126</v>
      </c>
      <c r="FN63" s="16" t="s">
        <v>126</v>
      </c>
      <c r="FO63" s="16" t="s">
        <v>126</v>
      </c>
      <c r="FP63" s="16" t="s">
        <v>126</v>
      </c>
      <c r="FQ63" s="16" t="s">
        <v>126</v>
      </c>
      <c r="FR63" s="16" t="s">
        <v>126</v>
      </c>
      <c r="FS63" s="16" t="s">
        <v>126</v>
      </c>
      <c r="FT63" s="16" t="s">
        <v>126</v>
      </c>
      <c r="FU63" s="16" t="s">
        <v>126</v>
      </c>
      <c r="FV63" s="16" t="s">
        <v>126</v>
      </c>
      <c r="FW63" s="16" t="s">
        <v>126</v>
      </c>
      <c r="FX63" s="16" t="s">
        <v>126</v>
      </c>
      <c r="FY63" s="16" t="s">
        <v>126</v>
      </c>
      <c r="FZ63" s="16" t="s">
        <v>126</v>
      </c>
      <c r="GA63" s="16" t="s">
        <v>126</v>
      </c>
      <c r="GB63" s="16" t="s">
        <v>126</v>
      </c>
      <c r="GC63" s="16" t="s">
        <v>126</v>
      </c>
      <c r="GD63" s="16" t="s">
        <v>126</v>
      </c>
      <c r="GE63" s="16" t="s">
        <v>126</v>
      </c>
      <c r="GF63" s="16" t="s">
        <v>126</v>
      </c>
      <c r="GG63" s="16" t="s">
        <v>126</v>
      </c>
      <c r="GH63" s="16" t="s">
        <v>126</v>
      </c>
      <c r="GI63" s="16" t="s">
        <v>126</v>
      </c>
      <c r="GJ63" s="16" t="s">
        <v>126</v>
      </c>
      <c r="GK63" s="16" t="s">
        <v>126</v>
      </c>
      <c r="GL63" s="16" t="s">
        <v>126</v>
      </c>
      <c r="GM63" s="16" t="s">
        <v>126</v>
      </c>
      <c r="GN63" s="16" t="s">
        <v>126</v>
      </c>
      <c r="GO63" s="16" t="s">
        <v>126</v>
      </c>
      <c r="GP63" s="16" t="s">
        <v>126</v>
      </c>
      <c r="GQ63" s="16" t="s">
        <v>126</v>
      </c>
      <c r="GR63" s="16" t="s">
        <v>126</v>
      </c>
      <c r="GS63" s="16" t="s">
        <v>126</v>
      </c>
      <c r="GT63" s="16" t="s">
        <v>126</v>
      </c>
      <c r="GU63" s="16" t="s">
        <v>126</v>
      </c>
      <c r="GV63" s="16" t="s">
        <v>126</v>
      </c>
      <c r="GW63" s="16" t="s">
        <v>126</v>
      </c>
      <c r="GX63" s="16" t="s">
        <v>126</v>
      </c>
      <c r="GY63" s="16" t="s">
        <v>126</v>
      </c>
      <c r="GZ63" s="16" t="s">
        <v>126</v>
      </c>
      <c r="HA63" s="16" t="s">
        <v>126</v>
      </c>
      <c r="HB63" s="16" t="s">
        <v>126</v>
      </c>
      <c r="HC63" s="16" t="s">
        <v>126</v>
      </c>
      <c r="HD63" s="16" t="s">
        <v>126</v>
      </c>
      <c r="HE63" s="16" t="s">
        <v>126</v>
      </c>
      <c r="HF63" s="16" t="s">
        <v>126</v>
      </c>
      <c r="HG63" s="16" t="s">
        <v>126</v>
      </c>
      <c r="HH63" s="16" t="s">
        <v>126</v>
      </c>
      <c r="HI63" s="16" t="s">
        <v>126</v>
      </c>
      <c r="HJ63" s="16" t="s">
        <v>126</v>
      </c>
      <c r="HK63" s="16" t="s">
        <v>126</v>
      </c>
      <c r="HL63" s="16" t="s">
        <v>126</v>
      </c>
      <c r="HM63" s="16" t="s">
        <v>126</v>
      </c>
      <c r="HN63" s="16" t="s">
        <v>126</v>
      </c>
      <c r="HO63" s="16" t="s">
        <v>126</v>
      </c>
      <c r="HP63" s="16" t="s">
        <v>126</v>
      </c>
      <c r="HQ63" s="16" t="s">
        <v>126</v>
      </c>
      <c r="HR63" s="16" t="s">
        <v>126</v>
      </c>
      <c r="HS63" s="16" t="s">
        <v>126</v>
      </c>
      <c r="HT63" s="16" t="s">
        <v>126</v>
      </c>
      <c r="HU63" s="16" t="s">
        <v>126</v>
      </c>
      <c r="HV63" s="16" t="s">
        <v>126</v>
      </c>
      <c r="HW63" s="16" t="s">
        <v>126</v>
      </c>
      <c r="HX63" s="16" t="s">
        <v>126</v>
      </c>
      <c r="HY63" s="16" t="s">
        <v>126</v>
      </c>
      <c r="HZ63" s="16" t="s">
        <v>126</v>
      </c>
      <c r="IA63" s="16" t="s">
        <v>126</v>
      </c>
      <c r="IB63" s="16" t="s">
        <v>126</v>
      </c>
      <c r="IC63" s="16" t="s">
        <v>126</v>
      </c>
      <c r="ID63" s="16" t="s">
        <v>126</v>
      </c>
      <c r="IE63" s="16" t="s">
        <v>126</v>
      </c>
      <c r="IF63" s="16" t="s">
        <v>126</v>
      </c>
      <c r="IG63" s="16" t="s">
        <v>126</v>
      </c>
      <c r="IH63" s="16" t="s">
        <v>126</v>
      </c>
      <c r="II63" s="16" t="s">
        <v>126</v>
      </c>
      <c r="IJ63" s="16" t="s">
        <v>126</v>
      </c>
      <c r="IK63" s="16" t="s">
        <v>126</v>
      </c>
      <c r="IL63" s="16" t="s">
        <v>126</v>
      </c>
      <c r="IM63" s="16" t="s">
        <v>126</v>
      </c>
      <c r="IN63" s="16" t="s">
        <v>126</v>
      </c>
      <c r="IO63" s="16" t="s">
        <v>126</v>
      </c>
      <c r="IP63" s="16" t="s">
        <v>126</v>
      </c>
      <c r="IQ63" s="16" t="s">
        <v>126</v>
      </c>
      <c r="IR63" s="16" t="s">
        <v>126</v>
      </c>
      <c r="IS63" s="59">
        <f t="shared" si="2"/>
        <v>0</v>
      </c>
    </row>
    <row r="64" spans="1:273" ht="13.5" customHeight="1">
      <c r="A64" s="97">
        <v>60</v>
      </c>
      <c r="B64" s="77" t="s">
        <v>209</v>
      </c>
      <c r="C64" s="6">
        <v>110</v>
      </c>
      <c r="D64" s="6">
        <v>260</v>
      </c>
      <c r="E64" s="6">
        <v>390</v>
      </c>
      <c r="F64" s="16" t="s">
        <v>126</v>
      </c>
      <c r="G64" s="31" t="s">
        <v>126</v>
      </c>
      <c r="H64" s="31" t="s">
        <v>126</v>
      </c>
      <c r="I64" s="31" t="s">
        <v>126</v>
      </c>
      <c r="J64" s="31" t="s">
        <v>126</v>
      </c>
      <c r="K64" s="31" t="s">
        <v>126</v>
      </c>
      <c r="L64" s="31" t="s">
        <v>126</v>
      </c>
      <c r="M64" s="31" t="s">
        <v>126</v>
      </c>
      <c r="N64" s="31" t="s">
        <v>126</v>
      </c>
      <c r="O64" s="31" t="s">
        <v>126</v>
      </c>
      <c r="P64" s="31" t="s">
        <v>126</v>
      </c>
      <c r="Q64" s="31" t="s">
        <v>126</v>
      </c>
      <c r="R64" s="31" t="s">
        <v>126</v>
      </c>
      <c r="S64" s="31" t="s">
        <v>126</v>
      </c>
      <c r="T64" s="31" t="s">
        <v>126</v>
      </c>
      <c r="U64" s="31" t="s">
        <v>126</v>
      </c>
      <c r="V64" s="31" t="s">
        <v>126</v>
      </c>
      <c r="W64" s="16" t="s">
        <v>126</v>
      </c>
      <c r="X64" s="16" t="s">
        <v>126</v>
      </c>
      <c r="Y64" s="16" t="s">
        <v>126</v>
      </c>
      <c r="Z64" s="16" t="s">
        <v>126</v>
      </c>
      <c r="AA64" s="16" t="s">
        <v>126</v>
      </c>
      <c r="AB64" s="16" t="s">
        <v>126</v>
      </c>
      <c r="AC64" s="16" t="s">
        <v>126</v>
      </c>
      <c r="AD64" s="16" t="s">
        <v>126</v>
      </c>
      <c r="AE64" s="16" t="s">
        <v>126</v>
      </c>
      <c r="AF64" s="16" t="s">
        <v>126</v>
      </c>
      <c r="AG64" s="16" t="s">
        <v>126</v>
      </c>
      <c r="AH64" s="16" t="s">
        <v>126</v>
      </c>
      <c r="AI64" s="16" t="s">
        <v>126</v>
      </c>
      <c r="AJ64" s="16" t="s">
        <v>126</v>
      </c>
      <c r="AK64" s="16" t="s">
        <v>126</v>
      </c>
      <c r="AL64" s="16" t="s">
        <v>126</v>
      </c>
      <c r="AM64" s="16" t="s">
        <v>126</v>
      </c>
      <c r="AN64" s="16" t="s">
        <v>126</v>
      </c>
      <c r="AO64" s="16" t="s">
        <v>126</v>
      </c>
      <c r="AP64" s="16" t="s">
        <v>126</v>
      </c>
      <c r="AQ64" s="16" t="s">
        <v>126</v>
      </c>
      <c r="AR64" s="91"/>
      <c r="AS64" s="16" t="s">
        <v>126</v>
      </c>
      <c r="AT64" s="16" t="s">
        <v>126</v>
      </c>
      <c r="AU64" s="91"/>
      <c r="AV64" s="16" t="s">
        <v>126</v>
      </c>
      <c r="AW64" s="16" t="s">
        <v>126</v>
      </c>
      <c r="AX64" s="16" t="s">
        <v>126</v>
      </c>
      <c r="AY64" s="16" t="s">
        <v>126</v>
      </c>
      <c r="AZ64" s="16" t="s">
        <v>126</v>
      </c>
      <c r="BA64" s="16" t="s">
        <v>126</v>
      </c>
      <c r="BB64" s="16" t="s">
        <v>126</v>
      </c>
      <c r="BC64" s="16" t="s">
        <v>126</v>
      </c>
      <c r="BD64" s="16" t="s">
        <v>126</v>
      </c>
      <c r="BE64" s="6">
        <v>81</v>
      </c>
      <c r="BF64" s="16" t="s">
        <v>126</v>
      </c>
      <c r="BG64" s="16" t="s">
        <v>126</v>
      </c>
      <c r="BH64" s="16" t="s">
        <v>126</v>
      </c>
      <c r="BI64" s="16" t="s">
        <v>126</v>
      </c>
      <c r="BJ64" s="16" t="s">
        <v>126</v>
      </c>
      <c r="BK64" s="16" t="s">
        <v>126</v>
      </c>
      <c r="BL64" s="16" t="s">
        <v>126</v>
      </c>
      <c r="BM64" s="16" t="s">
        <v>126</v>
      </c>
      <c r="BN64" s="16" t="s">
        <v>126</v>
      </c>
      <c r="BO64" s="16" t="s">
        <v>126</v>
      </c>
      <c r="BP64" s="16" t="s">
        <v>126</v>
      </c>
      <c r="BQ64" s="16" t="s">
        <v>126</v>
      </c>
      <c r="BR64" s="16" t="s">
        <v>126</v>
      </c>
      <c r="BS64" s="16" t="s">
        <v>126</v>
      </c>
      <c r="BT64" s="16" t="s">
        <v>126</v>
      </c>
      <c r="BU64" s="16" t="s">
        <v>126</v>
      </c>
      <c r="BV64" s="6" t="s">
        <v>126</v>
      </c>
      <c r="BW64" s="16" t="s">
        <v>126</v>
      </c>
      <c r="BX64" s="16" t="s">
        <v>126</v>
      </c>
      <c r="BY64" s="16" t="s">
        <v>126</v>
      </c>
      <c r="BZ64" s="16" t="s">
        <v>126</v>
      </c>
      <c r="CA64" s="16" t="s">
        <v>126</v>
      </c>
      <c r="CB64" s="16" t="s">
        <v>126</v>
      </c>
      <c r="CC64" s="16" t="s">
        <v>126</v>
      </c>
      <c r="CD64" s="16" t="s">
        <v>126</v>
      </c>
      <c r="CE64" s="16" t="s">
        <v>126</v>
      </c>
      <c r="CF64" s="16" t="s">
        <v>126</v>
      </c>
      <c r="CG64" s="16" t="s">
        <v>126</v>
      </c>
      <c r="CH64" s="16" t="s">
        <v>126</v>
      </c>
      <c r="CI64" s="16" t="s">
        <v>126</v>
      </c>
      <c r="CJ64" s="16" t="s">
        <v>126</v>
      </c>
      <c r="CK64" s="16" t="s">
        <v>126</v>
      </c>
      <c r="CL64" s="16" t="s">
        <v>126</v>
      </c>
      <c r="CM64" s="16" t="s">
        <v>126</v>
      </c>
      <c r="CN64" s="16" t="s">
        <v>126</v>
      </c>
      <c r="CO64" s="16" t="s">
        <v>126</v>
      </c>
      <c r="CP64" s="16" t="s">
        <v>126</v>
      </c>
      <c r="CQ64" s="16" t="s">
        <v>126</v>
      </c>
      <c r="CR64" s="16" t="s">
        <v>126</v>
      </c>
      <c r="CS64" s="16" t="s">
        <v>126</v>
      </c>
      <c r="CT64" s="16" t="s">
        <v>126</v>
      </c>
      <c r="CU64" s="16" t="s">
        <v>126</v>
      </c>
      <c r="CV64" s="16" t="s">
        <v>126</v>
      </c>
      <c r="CW64" s="16" t="s">
        <v>126</v>
      </c>
      <c r="CX64" s="16" t="s">
        <v>126</v>
      </c>
      <c r="CY64" s="16" t="s">
        <v>126</v>
      </c>
      <c r="CZ64" s="16" t="s">
        <v>126</v>
      </c>
      <c r="DA64" s="16" t="s">
        <v>126</v>
      </c>
      <c r="DB64" s="16" t="s">
        <v>126</v>
      </c>
      <c r="DC64" s="16" t="s">
        <v>126</v>
      </c>
      <c r="DD64" s="16" t="s">
        <v>126</v>
      </c>
      <c r="DE64" s="16" t="s">
        <v>126</v>
      </c>
      <c r="DF64" s="16" t="s">
        <v>126</v>
      </c>
      <c r="DG64" s="16" t="s">
        <v>126</v>
      </c>
      <c r="DH64" s="16" t="s">
        <v>126</v>
      </c>
      <c r="DI64" s="16" t="s">
        <v>126</v>
      </c>
      <c r="DJ64" s="16" t="s">
        <v>126</v>
      </c>
      <c r="DK64" s="16" t="s">
        <v>126</v>
      </c>
      <c r="DL64" s="16" t="s">
        <v>126</v>
      </c>
      <c r="DM64" s="16" t="s">
        <v>126</v>
      </c>
      <c r="DN64" s="16" t="s">
        <v>126</v>
      </c>
      <c r="DO64" s="16" t="s">
        <v>126</v>
      </c>
      <c r="DP64" s="16" t="s">
        <v>126</v>
      </c>
      <c r="DQ64" s="16" t="s">
        <v>126</v>
      </c>
      <c r="DR64" s="16" t="s">
        <v>126</v>
      </c>
      <c r="DS64" s="16" t="s">
        <v>126</v>
      </c>
      <c r="DT64" s="16" t="s">
        <v>126</v>
      </c>
      <c r="DU64" s="16" t="s">
        <v>126</v>
      </c>
      <c r="DV64" s="16" t="s">
        <v>126</v>
      </c>
      <c r="DW64" s="16" t="s">
        <v>126</v>
      </c>
      <c r="DX64" s="16" t="s">
        <v>126</v>
      </c>
      <c r="DY64" s="16" t="s">
        <v>126</v>
      </c>
      <c r="DZ64" s="16" t="s">
        <v>126</v>
      </c>
      <c r="EA64" s="16" t="s">
        <v>126</v>
      </c>
      <c r="EB64" s="16" t="s">
        <v>126</v>
      </c>
      <c r="EC64" s="16" t="s">
        <v>126</v>
      </c>
      <c r="ED64" s="16" t="s">
        <v>126</v>
      </c>
      <c r="EE64" s="16" t="s">
        <v>126</v>
      </c>
      <c r="EF64" s="16" t="s">
        <v>126</v>
      </c>
      <c r="EG64" s="16" t="s">
        <v>126</v>
      </c>
      <c r="EH64" s="16" t="s">
        <v>126</v>
      </c>
      <c r="EI64" s="16" t="s">
        <v>126</v>
      </c>
      <c r="EJ64" s="16" t="s">
        <v>126</v>
      </c>
      <c r="EK64" s="16" t="s">
        <v>126</v>
      </c>
      <c r="EL64" s="16" t="s">
        <v>126</v>
      </c>
      <c r="EM64" s="16" t="s">
        <v>126</v>
      </c>
      <c r="EN64" s="16" t="s">
        <v>126</v>
      </c>
      <c r="EO64" s="16" t="s">
        <v>126</v>
      </c>
      <c r="EP64" s="16" t="s">
        <v>126</v>
      </c>
      <c r="EQ64" s="16" t="s">
        <v>126</v>
      </c>
      <c r="ER64" s="16" t="s">
        <v>126</v>
      </c>
      <c r="ES64" s="16" t="s">
        <v>126</v>
      </c>
      <c r="ET64" s="16" t="s">
        <v>126</v>
      </c>
      <c r="EU64" s="16" t="s">
        <v>126</v>
      </c>
      <c r="EV64" s="16" t="s">
        <v>126</v>
      </c>
      <c r="EW64" s="16" t="s">
        <v>126</v>
      </c>
      <c r="EX64" s="16" t="s">
        <v>126</v>
      </c>
      <c r="EY64" s="16" t="s">
        <v>126</v>
      </c>
      <c r="EZ64" s="16" t="s">
        <v>126</v>
      </c>
      <c r="FA64" s="16" t="s">
        <v>126</v>
      </c>
      <c r="FB64" s="16" t="s">
        <v>126</v>
      </c>
      <c r="FC64" s="16" t="s">
        <v>126</v>
      </c>
      <c r="FD64" s="16" t="s">
        <v>126</v>
      </c>
      <c r="FE64" s="16" t="s">
        <v>126</v>
      </c>
      <c r="FF64" s="16" t="s">
        <v>126</v>
      </c>
      <c r="FG64" s="16" t="s">
        <v>126</v>
      </c>
      <c r="FH64" s="16" t="s">
        <v>126</v>
      </c>
      <c r="FI64" s="16" t="s">
        <v>126</v>
      </c>
      <c r="FJ64" s="16" t="s">
        <v>126</v>
      </c>
      <c r="FK64" s="16" t="s">
        <v>126</v>
      </c>
      <c r="FL64" s="16" t="s">
        <v>126</v>
      </c>
      <c r="FM64" s="16" t="s">
        <v>126</v>
      </c>
      <c r="FN64" s="16" t="s">
        <v>126</v>
      </c>
      <c r="FO64" s="16" t="s">
        <v>126</v>
      </c>
      <c r="FP64" s="16" t="s">
        <v>126</v>
      </c>
      <c r="FQ64" s="16" t="s">
        <v>126</v>
      </c>
      <c r="FR64" s="16" t="s">
        <v>126</v>
      </c>
      <c r="FS64" s="16" t="s">
        <v>126</v>
      </c>
      <c r="FT64" s="16" t="s">
        <v>126</v>
      </c>
      <c r="FU64" s="16" t="s">
        <v>126</v>
      </c>
      <c r="FV64" s="16" t="s">
        <v>126</v>
      </c>
      <c r="FW64" s="16" t="s">
        <v>126</v>
      </c>
      <c r="FX64" s="16" t="s">
        <v>126</v>
      </c>
      <c r="FY64" s="16" t="s">
        <v>126</v>
      </c>
      <c r="FZ64" s="16" t="s">
        <v>126</v>
      </c>
      <c r="GA64" s="16" t="s">
        <v>126</v>
      </c>
      <c r="GB64" s="16" t="s">
        <v>126</v>
      </c>
      <c r="GC64" s="16" t="s">
        <v>126</v>
      </c>
      <c r="GD64" s="16" t="s">
        <v>126</v>
      </c>
      <c r="GE64" s="16" t="s">
        <v>126</v>
      </c>
      <c r="GF64" s="16" t="s">
        <v>126</v>
      </c>
      <c r="GG64" s="16" t="s">
        <v>126</v>
      </c>
      <c r="GH64" s="16" t="s">
        <v>126</v>
      </c>
      <c r="GI64" s="16" t="s">
        <v>126</v>
      </c>
      <c r="GJ64" s="16" t="s">
        <v>126</v>
      </c>
      <c r="GK64" s="16" t="s">
        <v>126</v>
      </c>
      <c r="GL64" s="16" t="s">
        <v>126</v>
      </c>
      <c r="GM64" s="16" t="s">
        <v>126</v>
      </c>
      <c r="GN64" s="16" t="s">
        <v>126</v>
      </c>
      <c r="GO64" s="16" t="s">
        <v>126</v>
      </c>
      <c r="GP64" s="16" t="s">
        <v>126</v>
      </c>
      <c r="GQ64" s="16" t="s">
        <v>126</v>
      </c>
      <c r="GR64" s="16" t="s">
        <v>126</v>
      </c>
      <c r="GS64" s="16" t="s">
        <v>126</v>
      </c>
      <c r="GT64" s="16" t="s">
        <v>126</v>
      </c>
      <c r="GU64" s="16" t="s">
        <v>126</v>
      </c>
      <c r="GV64" s="16" t="s">
        <v>126</v>
      </c>
      <c r="GW64" s="16" t="s">
        <v>126</v>
      </c>
      <c r="GX64" s="16" t="s">
        <v>126</v>
      </c>
      <c r="GY64" s="16" t="s">
        <v>126</v>
      </c>
      <c r="GZ64" s="16" t="s">
        <v>126</v>
      </c>
      <c r="HA64" s="16" t="s">
        <v>126</v>
      </c>
      <c r="HB64" s="16" t="s">
        <v>126</v>
      </c>
      <c r="HC64" s="16" t="s">
        <v>126</v>
      </c>
      <c r="HD64" s="16" t="s">
        <v>126</v>
      </c>
      <c r="HE64" s="16" t="s">
        <v>126</v>
      </c>
      <c r="HF64" s="16" t="s">
        <v>126</v>
      </c>
      <c r="HG64" s="16" t="s">
        <v>126</v>
      </c>
      <c r="HH64" s="16" t="s">
        <v>126</v>
      </c>
      <c r="HI64" s="16" t="s">
        <v>126</v>
      </c>
      <c r="HJ64" s="16" t="s">
        <v>126</v>
      </c>
      <c r="HK64" s="16" t="s">
        <v>126</v>
      </c>
      <c r="HL64" s="16" t="s">
        <v>126</v>
      </c>
      <c r="HM64" s="16" t="s">
        <v>126</v>
      </c>
      <c r="HN64" s="16" t="s">
        <v>126</v>
      </c>
      <c r="HO64" s="16" t="s">
        <v>126</v>
      </c>
      <c r="HP64" s="16" t="s">
        <v>126</v>
      </c>
      <c r="HQ64" s="16" t="s">
        <v>126</v>
      </c>
      <c r="HR64" s="16" t="s">
        <v>126</v>
      </c>
      <c r="HS64" s="16" t="s">
        <v>126</v>
      </c>
      <c r="HT64" s="16" t="s">
        <v>126</v>
      </c>
      <c r="HU64" s="16" t="s">
        <v>126</v>
      </c>
      <c r="HV64" s="16" t="s">
        <v>126</v>
      </c>
      <c r="HW64" s="16" t="s">
        <v>126</v>
      </c>
      <c r="HX64" s="16" t="s">
        <v>126</v>
      </c>
      <c r="HY64" s="16" t="s">
        <v>126</v>
      </c>
      <c r="HZ64" s="16" t="s">
        <v>126</v>
      </c>
      <c r="IA64" s="16" t="s">
        <v>126</v>
      </c>
      <c r="IB64" s="16" t="s">
        <v>126</v>
      </c>
      <c r="IC64" s="16" t="s">
        <v>126</v>
      </c>
      <c r="ID64" s="16" t="s">
        <v>126</v>
      </c>
      <c r="IE64" s="16" t="s">
        <v>126</v>
      </c>
      <c r="IF64" s="16" t="s">
        <v>126</v>
      </c>
      <c r="IG64" s="16" t="s">
        <v>126</v>
      </c>
      <c r="IH64" s="16" t="s">
        <v>126</v>
      </c>
      <c r="II64" s="16" t="s">
        <v>126</v>
      </c>
      <c r="IJ64" s="16" t="s">
        <v>126</v>
      </c>
      <c r="IK64" s="16" t="s">
        <v>126</v>
      </c>
      <c r="IL64" s="16" t="s">
        <v>126</v>
      </c>
      <c r="IM64" s="16" t="s">
        <v>126</v>
      </c>
      <c r="IN64" s="16" t="s">
        <v>126</v>
      </c>
      <c r="IO64" s="16" t="s">
        <v>126</v>
      </c>
      <c r="IP64" s="16" t="s">
        <v>126</v>
      </c>
      <c r="IQ64" s="16" t="s">
        <v>126</v>
      </c>
      <c r="IR64" s="16" t="s">
        <v>126</v>
      </c>
      <c r="IS64" s="59">
        <f t="shared" si="2"/>
        <v>0</v>
      </c>
    </row>
    <row r="65" spans="1:253" ht="13.5" customHeight="1">
      <c r="A65" s="97">
        <v>61</v>
      </c>
      <c r="B65" s="93" t="s">
        <v>210</v>
      </c>
      <c r="C65" s="6">
        <v>260</v>
      </c>
      <c r="D65" s="6">
        <v>210</v>
      </c>
      <c r="E65" s="6">
        <v>210</v>
      </c>
      <c r="F65" s="94" t="s">
        <v>126</v>
      </c>
      <c r="G65" s="31" t="s">
        <v>126</v>
      </c>
      <c r="H65" s="31" t="s">
        <v>126</v>
      </c>
      <c r="I65" s="31" t="s">
        <v>126</v>
      </c>
      <c r="J65" s="31" t="s">
        <v>126</v>
      </c>
      <c r="K65" s="31" t="s">
        <v>126</v>
      </c>
      <c r="L65" s="31" t="s">
        <v>126</v>
      </c>
      <c r="M65" s="31" t="s">
        <v>126</v>
      </c>
      <c r="N65" s="31" t="s">
        <v>126</v>
      </c>
      <c r="O65" s="31" t="s">
        <v>126</v>
      </c>
      <c r="P65" s="31" t="s">
        <v>126</v>
      </c>
      <c r="Q65" s="31" t="s">
        <v>126</v>
      </c>
      <c r="R65" s="31" t="s">
        <v>126</v>
      </c>
      <c r="S65" s="31" t="s">
        <v>126</v>
      </c>
      <c r="T65" s="31" t="s">
        <v>126</v>
      </c>
      <c r="U65" s="31" t="s">
        <v>126</v>
      </c>
      <c r="V65" s="31" t="s">
        <v>126</v>
      </c>
      <c r="W65" s="94" t="s">
        <v>126</v>
      </c>
      <c r="X65" s="94" t="s">
        <v>126</v>
      </c>
      <c r="Y65" s="94" t="s">
        <v>126</v>
      </c>
      <c r="Z65" s="94" t="s">
        <v>126</v>
      </c>
      <c r="AA65" s="94" t="s">
        <v>126</v>
      </c>
      <c r="AB65" s="94" t="s">
        <v>126</v>
      </c>
      <c r="AC65" s="94" t="s">
        <v>126</v>
      </c>
      <c r="AD65" s="16" t="s">
        <v>126</v>
      </c>
      <c r="AE65" s="16" t="s">
        <v>126</v>
      </c>
      <c r="AF65" s="16" t="s">
        <v>126</v>
      </c>
      <c r="AG65" s="16" t="s">
        <v>126</v>
      </c>
      <c r="AH65" s="16" t="s">
        <v>126</v>
      </c>
      <c r="AI65" s="94" t="s">
        <v>126</v>
      </c>
      <c r="AJ65" s="94" t="s">
        <v>126</v>
      </c>
      <c r="AK65" s="94" t="s">
        <v>126</v>
      </c>
      <c r="AL65" s="94" t="s">
        <v>126</v>
      </c>
      <c r="AM65" s="94" t="s">
        <v>126</v>
      </c>
      <c r="AN65" s="94" t="s">
        <v>126</v>
      </c>
      <c r="AO65" s="94" t="s">
        <v>126</v>
      </c>
      <c r="AP65" s="94" t="s">
        <v>126</v>
      </c>
      <c r="AQ65" s="94" t="s">
        <v>126</v>
      </c>
      <c r="AR65" s="95"/>
      <c r="AS65" s="94" t="s">
        <v>126</v>
      </c>
      <c r="AT65" s="94" t="s">
        <v>126</v>
      </c>
      <c r="AU65" s="95"/>
      <c r="AV65" s="94" t="s">
        <v>126</v>
      </c>
      <c r="AW65" s="16" t="s">
        <v>126</v>
      </c>
      <c r="AX65" s="16" t="s">
        <v>126</v>
      </c>
      <c r="AY65" s="16" t="s">
        <v>126</v>
      </c>
      <c r="AZ65" s="16" t="s">
        <v>126</v>
      </c>
      <c r="BA65" s="16" t="s">
        <v>126</v>
      </c>
      <c r="BB65" s="16" t="s">
        <v>126</v>
      </c>
      <c r="BC65" s="16" t="s">
        <v>126</v>
      </c>
      <c r="BD65" s="16" t="s">
        <v>126</v>
      </c>
      <c r="BE65" s="6" t="s">
        <v>126</v>
      </c>
      <c r="BF65" s="16" t="s">
        <v>126</v>
      </c>
      <c r="BG65" s="16" t="s">
        <v>126</v>
      </c>
      <c r="BH65" s="16" t="s">
        <v>126</v>
      </c>
      <c r="BI65" s="16" t="s">
        <v>126</v>
      </c>
      <c r="BJ65" s="16" t="s">
        <v>126</v>
      </c>
      <c r="BK65" s="16" t="s">
        <v>126</v>
      </c>
      <c r="BL65" s="16" t="s">
        <v>126</v>
      </c>
      <c r="BM65" s="16" t="s">
        <v>126</v>
      </c>
      <c r="BN65" s="16" t="s">
        <v>126</v>
      </c>
      <c r="BO65" s="16" t="s">
        <v>126</v>
      </c>
      <c r="BP65" s="16" t="s">
        <v>126</v>
      </c>
      <c r="BQ65" s="16" t="s">
        <v>126</v>
      </c>
      <c r="BR65" s="16" t="s">
        <v>126</v>
      </c>
      <c r="BS65" s="16" t="s">
        <v>126</v>
      </c>
      <c r="BT65" s="16" t="s">
        <v>126</v>
      </c>
      <c r="BU65" s="16" t="s">
        <v>126</v>
      </c>
      <c r="BV65" s="6" t="s">
        <v>126</v>
      </c>
      <c r="BW65" s="16" t="s">
        <v>126</v>
      </c>
      <c r="BX65" s="16" t="s">
        <v>126</v>
      </c>
      <c r="BY65" s="16" t="s">
        <v>126</v>
      </c>
      <c r="BZ65" s="16" t="s">
        <v>126</v>
      </c>
      <c r="CA65" s="16" t="s">
        <v>126</v>
      </c>
      <c r="CB65" s="16" t="s">
        <v>126</v>
      </c>
      <c r="CC65" s="16" t="s">
        <v>126</v>
      </c>
      <c r="CD65" s="16" t="s">
        <v>126</v>
      </c>
      <c r="CE65" s="16" t="s">
        <v>126</v>
      </c>
      <c r="CF65" s="16" t="s">
        <v>126</v>
      </c>
      <c r="CG65" s="16" t="s">
        <v>126</v>
      </c>
      <c r="CH65" s="16" t="s">
        <v>126</v>
      </c>
      <c r="CI65" s="16" t="s">
        <v>126</v>
      </c>
      <c r="CJ65" s="16" t="s">
        <v>126</v>
      </c>
      <c r="CK65" s="16" t="s">
        <v>126</v>
      </c>
      <c r="CL65" s="16" t="s">
        <v>126</v>
      </c>
      <c r="CM65" s="16" t="s">
        <v>126</v>
      </c>
      <c r="CN65" s="16" t="s">
        <v>126</v>
      </c>
      <c r="CO65" s="16" t="s">
        <v>126</v>
      </c>
      <c r="CP65" s="16" t="s">
        <v>126</v>
      </c>
      <c r="CQ65" s="16" t="s">
        <v>126</v>
      </c>
      <c r="CR65" s="16" t="s">
        <v>126</v>
      </c>
      <c r="CS65" s="16" t="s">
        <v>126</v>
      </c>
      <c r="CT65" s="16" t="s">
        <v>126</v>
      </c>
      <c r="CU65" s="16" t="s">
        <v>126</v>
      </c>
      <c r="CV65" s="16" t="s">
        <v>126</v>
      </c>
      <c r="CW65" s="16" t="s">
        <v>126</v>
      </c>
      <c r="CX65" s="16" t="s">
        <v>126</v>
      </c>
      <c r="CY65" s="16" t="s">
        <v>126</v>
      </c>
      <c r="CZ65" s="16" t="s">
        <v>126</v>
      </c>
      <c r="DA65" s="16" t="s">
        <v>126</v>
      </c>
      <c r="DB65" s="16" t="s">
        <v>126</v>
      </c>
      <c r="DC65" s="16" t="s">
        <v>126</v>
      </c>
      <c r="DD65" s="16" t="s">
        <v>126</v>
      </c>
      <c r="DE65" s="16" t="s">
        <v>126</v>
      </c>
      <c r="DF65" s="16" t="s">
        <v>126</v>
      </c>
      <c r="DG65" s="16" t="s">
        <v>126</v>
      </c>
      <c r="DH65" s="16" t="s">
        <v>126</v>
      </c>
      <c r="DI65" s="16" t="s">
        <v>126</v>
      </c>
      <c r="DJ65" s="16" t="s">
        <v>126</v>
      </c>
      <c r="DK65" s="16" t="s">
        <v>126</v>
      </c>
      <c r="DL65" s="16" t="s">
        <v>126</v>
      </c>
      <c r="DM65" s="16" t="s">
        <v>126</v>
      </c>
      <c r="DN65" s="16" t="s">
        <v>126</v>
      </c>
      <c r="DO65" s="16" t="s">
        <v>126</v>
      </c>
      <c r="DP65" s="16" t="s">
        <v>126</v>
      </c>
      <c r="DQ65" s="16" t="s">
        <v>126</v>
      </c>
      <c r="DR65" s="16" t="s">
        <v>126</v>
      </c>
      <c r="DS65" s="16" t="s">
        <v>126</v>
      </c>
      <c r="DT65" s="16" t="s">
        <v>126</v>
      </c>
      <c r="DU65" s="16" t="s">
        <v>126</v>
      </c>
      <c r="DV65" s="16" t="s">
        <v>126</v>
      </c>
      <c r="DW65" s="16" t="s">
        <v>126</v>
      </c>
      <c r="DX65" s="16" t="s">
        <v>126</v>
      </c>
      <c r="DY65" s="16" t="s">
        <v>126</v>
      </c>
      <c r="DZ65" s="16" t="s">
        <v>126</v>
      </c>
      <c r="EA65" s="16" t="s">
        <v>126</v>
      </c>
      <c r="EB65" s="16" t="s">
        <v>126</v>
      </c>
      <c r="EC65" s="16" t="s">
        <v>126</v>
      </c>
      <c r="ED65" s="16" t="s">
        <v>126</v>
      </c>
      <c r="EE65" s="16" t="s">
        <v>126</v>
      </c>
      <c r="EF65" s="16" t="s">
        <v>126</v>
      </c>
      <c r="EG65" s="16" t="s">
        <v>126</v>
      </c>
      <c r="EH65" s="16" t="s">
        <v>126</v>
      </c>
      <c r="EI65" s="16" t="s">
        <v>126</v>
      </c>
      <c r="EJ65" s="16" t="s">
        <v>126</v>
      </c>
      <c r="EK65" s="16" t="s">
        <v>126</v>
      </c>
      <c r="EL65" s="16" t="s">
        <v>126</v>
      </c>
      <c r="EM65" s="16" t="s">
        <v>126</v>
      </c>
      <c r="EN65" s="16" t="s">
        <v>126</v>
      </c>
      <c r="EO65" s="16" t="s">
        <v>126</v>
      </c>
      <c r="EP65" s="16" t="s">
        <v>126</v>
      </c>
      <c r="EQ65" s="16" t="s">
        <v>126</v>
      </c>
      <c r="ER65" s="16" t="s">
        <v>126</v>
      </c>
      <c r="ES65" s="16" t="s">
        <v>126</v>
      </c>
      <c r="ET65" s="16" t="s">
        <v>126</v>
      </c>
      <c r="EU65" s="16" t="s">
        <v>126</v>
      </c>
      <c r="EV65" s="16" t="s">
        <v>126</v>
      </c>
      <c r="EW65" s="16" t="s">
        <v>126</v>
      </c>
      <c r="EX65" s="16" t="s">
        <v>126</v>
      </c>
      <c r="EY65" s="16" t="s">
        <v>126</v>
      </c>
      <c r="EZ65" s="16" t="s">
        <v>126</v>
      </c>
      <c r="FA65" s="16" t="s">
        <v>126</v>
      </c>
      <c r="FB65" s="16" t="s">
        <v>126</v>
      </c>
      <c r="FC65" s="16" t="s">
        <v>126</v>
      </c>
      <c r="FD65" s="16" t="s">
        <v>126</v>
      </c>
      <c r="FE65" s="16" t="s">
        <v>126</v>
      </c>
      <c r="FF65" s="16" t="s">
        <v>126</v>
      </c>
      <c r="FG65" s="16" t="s">
        <v>126</v>
      </c>
      <c r="FH65" s="16" t="s">
        <v>126</v>
      </c>
      <c r="FI65" s="16" t="s">
        <v>126</v>
      </c>
      <c r="FJ65" s="16" t="s">
        <v>126</v>
      </c>
      <c r="FK65" s="16" t="s">
        <v>126</v>
      </c>
      <c r="FL65" s="16" t="s">
        <v>126</v>
      </c>
      <c r="FM65" s="16" t="s">
        <v>126</v>
      </c>
      <c r="FN65" s="16" t="s">
        <v>126</v>
      </c>
      <c r="FO65" s="16" t="s">
        <v>126</v>
      </c>
      <c r="FP65" s="16" t="s">
        <v>126</v>
      </c>
      <c r="FQ65" s="16" t="s">
        <v>126</v>
      </c>
      <c r="FR65" s="16" t="s">
        <v>126</v>
      </c>
      <c r="FS65" s="16" t="s">
        <v>126</v>
      </c>
      <c r="FT65" s="16" t="s">
        <v>126</v>
      </c>
      <c r="FU65" s="16" t="s">
        <v>126</v>
      </c>
      <c r="FV65" s="16" t="s">
        <v>126</v>
      </c>
      <c r="FW65" s="16" t="s">
        <v>126</v>
      </c>
      <c r="FX65" s="16" t="s">
        <v>126</v>
      </c>
      <c r="FY65" s="16" t="s">
        <v>126</v>
      </c>
      <c r="FZ65" s="16" t="s">
        <v>126</v>
      </c>
      <c r="GA65" s="16" t="s">
        <v>126</v>
      </c>
      <c r="GB65" s="16" t="s">
        <v>126</v>
      </c>
      <c r="GC65" s="16" t="s">
        <v>126</v>
      </c>
      <c r="GD65" s="16" t="s">
        <v>126</v>
      </c>
      <c r="GE65" s="16" t="s">
        <v>126</v>
      </c>
      <c r="GF65" s="16" t="s">
        <v>126</v>
      </c>
      <c r="GG65" s="16" t="s">
        <v>126</v>
      </c>
      <c r="GH65" s="16" t="s">
        <v>126</v>
      </c>
      <c r="GI65" s="16" t="s">
        <v>126</v>
      </c>
      <c r="GJ65" s="16" t="s">
        <v>126</v>
      </c>
      <c r="GK65" s="16" t="s">
        <v>126</v>
      </c>
      <c r="GL65" s="16" t="s">
        <v>126</v>
      </c>
      <c r="GM65" s="16" t="s">
        <v>126</v>
      </c>
      <c r="GN65" s="16" t="s">
        <v>126</v>
      </c>
      <c r="GO65" s="16" t="s">
        <v>126</v>
      </c>
      <c r="GP65" s="16" t="s">
        <v>126</v>
      </c>
      <c r="GQ65" s="16" t="s">
        <v>126</v>
      </c>
      <c r="GR65" s="16" t="s">
        <v>126</v>
      </c>
      <c r="GS65" s="16" t="s">
        <v>126</v>
      </c>
      <c r="GT65" s="16" t="s">
        <v>126</v>
      </c>
      <c r="GU65" s="16" t="s">
        <v>126</v>
      </c>
      <c r="GV65" s="16" t="s">
        <v>126</v>
      </c>
      <c r="GW65" s="16" t="s">
        <v>126</v>
      </c>
      <c r="GX65" s="16" t="s">
        <v>126</v>
      </c>
      <c r="GY65" s="16" t="s">
        <v>126</v>
      </c>
      <c r="GZ65" s="16" t="s">
        <v>126</v>
      </c>
      <c r="HA65" s="16" t="s">
        <v>126</v>
      </c>
      <c r="HB65" s="16" t="s">
        <v>126</v>
      </c>
      <c r="HC65" s="16" t="s">
        <v>126</v>
      </c>
      <c r="HD65" s="16" t="s">
        <v>126</v>
      </c>
      <c r="HE65" s="16" t="s">
        <v>126</v>
      </c>
      <c r="HF65" s="16" t="s">
        <v>126</v>
      </c>
      <c r="HG65" s="16" t="s">
        <v>126</v>
      </c>
      <c r="HH65" s="16" t="s">
        <v>126</v>
      </c>
      <c r="HI65" s="16" t="s">
        <v>126</v>
      </c>
      <c r="HJ65" s="16" t="s">
        <v>126</v>
      </c>
      <c r="HK65" s="16" t="s">
        <v>126</v>
      </c>
      <c r="HL65" s="16" t="s">
        <v>126</v>
      </c>
      <c r="HM65" s="16" t="s">
        <v>126</v>
      </c>
      <c r="HN65" s="16" t="s">
        <v>126</v>
      </c>
      <c r="HO65" s="16" t="s">
        <v>126</v>
      </c>
      <c r="HP65" s="16" t="s">
        <v>126</v>
      </c>
      <c r="HQ65" s="16" t="s">
        <v>126</v>
      </c>
      <c r="HR65" s="16" t="s">
        <v>126</v>
      </c>
      <c r="HS65" s="16" t="s">
        <v>126</v>
      </c>
      <c r="HT65" s="16" t="s">
        <v>126</v>
      </c>
      <c r="HU65" s="16" t="s">
        <v>126</v>
      </c>
      <c r="HV65" s="16" t="s">
        <v>126</v>
      </c>
      <c r="HW65" s="16" t="s">
        <v>126</v>
      </c>
      <c r="HX65" s="16" t="s">
        <v>126</v>
      </c>
      <c r="HY65" s="16" t="s">
        <v>126</v>
      </c>
      <c r="HZ65" s="16" t="s">
        <v>126</v>
      </c>
      <c r="IA65" s="16" t="s">
        <v>126</v>
      </c>
      <c r="IB65" s="16" t="s">
        <v>126</v>
      </c>
      <c r="IC65" s="16" t="s">
        <v>126</v>
      </c>
      <c r="ID65" s="16" t="s">
        <v>126</v>
      </c>
      <c r="IE65" s="16" t="s">
        <v>126</v>
      </c>
      <c r="IF65" s="16" t="s">
        <v>126</v>
      </c>
      <c r="IG65" s="16" t="s">
        <v>126</v>
      </c>
      <c r="IH65" s="16" t="s">
        <v>126</v>
      </c>
      <c r="II65" s="16" t="s">
        <v>126</v>
      </c>
      <c r="IJ65" s="16" t="s">
        <v>126</v>
      </c>
      <c r="IK65" s="16" t="s">
        <v>126</v>
      </c>
      <c r="IL65" s="16" t="s">
        <v>126</v>
      </c>
      <c r="IM65" s="16" t="s">
        <v>126</v>
      </c>
      <c r="IN65" s="16" t="s">
        <v>126</v>
      </c>
      <c r="IO65" s="16" t="s">
        <v>126</v>
      </c>
      <c r="IP65" s="16" t="s">
        <v>126</v>
      </c>
      <c r="IQ65" s="16" t="s">
        <v>126</v>
      </c>
      <c r="IR65" s="16" t="s">
        <v>126</v>
      </c>
      <c r="IS65" s="59">
        <f t="shared" si="2"/>
        <v>0</v>
      </c>
    </row>
    <row r="66" spans="1:253" ht="13.5" customHeight="1">
      <c r="A66" s="97">
        <v>62</v>
      </c>
      <c r="B66" s="77" t="s">
        <v>211</v>
      </c>
      <c r="C66" s="6">
        <v>320</v>
      </c>
      <c r="D66" s="6">
        <v>260</v>
      </c>
      <c r="E66" s="6">
        <v>880</v>
      </c>
      <c r="F66" s="94" t="s">
        <v>126</v>
      </c>
      <c r="G66" s="31" t="s">
        <v>126</v>
      </c>
      <c r="H66" s="31" t="s">
        <v>126</v>
      </c>
      <c r="I66" s="31" t="s">
        <v>126</v>
      </c>
      <c r="J66" s="31" t="s">
        <v>126</v>
      </c>
      <c r="K66" s="31" t="s">
        <v>126</v>
      </c>
      <c r="L66" s="31" t="s">
        <v>126</v>
      </c>
      <c r="M66" s="31" t="s">
        <v>126</v>
      </c>
      <c r="N66" s="31" t="s">
        <v>126</v>
      </c>
      <c r="O66" s="31" t="s">
        <v>126</v>
      </c>
      <c r="P66" s="31" t="s">
        <v>126</v>
      </c>
      <c r="Q66" s="31" t="s">
        <v>126</v>
      </c>
      <c r="R66" s="31" t="s">
        <v>126</v>
      </c>
      <c r="S66" s="31" t="s">
        <v>126</v>
      </c>
      <c r="T66" s="31" t="s">
        <v>126</v>
      </c>
      <c r="U66" s="31" t="s">
        <v>126</v>
      </c>
      <c r="V66" s="31" t="s">
        <v>126</v>
      </c>
      <c r="W66" s="94" t="s">
        <v>126</v>
      </c>
      <c r="X66" s="94" t="s">
        <v>126</v>
      </c>
      <c r="Y66" s="94" t="s">
        <v>126</v>
      </c>
      <c r="Z66" s="94" t="s">
        <v>126</v>
      </c>
      <c r="AA66" s="94" t="s">
        <v>126</v>
      </c>
      <c r="AB66" s="94" t="s">
        <v>126</v>
      </c>
      <c r="AC66" s="94" t="s">
        <v>126</v>
      </c>
      <c r="AD66" s="16" t="s">
        <v>126</v>
      </c>
      <c r="AE66" s="16" t="s">
        <v>126</v>
      </c>
      <c r="AF66" s="16" t="s">
        <v>126</v>
      </c>
      <c r="AG66" s="16" t="s">
        <v>126</v>
      </c>
      <c r="AH66" s="16" t="s">
        <v>126</v>
      </c>
      <c r="AI66" s="94" t="s">
        <v>126</v>
      </c>
      <c r="AJ66" s="94" t="s">
        <v>126</v>
      </c>
      <c r="AK66" s="94" t="s">
        <v>126</v>
      </c>
      <c r="AL66" s="94">
        <v>59</v>
      </c>
      <c r="AM66" s="94">
        <v>37</v>
      </c>
      <c r="AN66" s="94">
        <v>16</v>
      </c>
      <c r="AO66" s="94">
        <v>13</v>
      </c>
      <c r="AP66" s="94">
        <v>18</v>
      </c>
      <c r="AQ66" s="94">
        <v>13</v>
      </c>
      <c r="AR66" s="95"/>
      <c r="AS66" s="94">
        <v>11</v>
      </c>
      <c r="AT66" s="94">
        <v>10</v>
      </c>
      <c r="AU66" s="95"/>
      <c r="AV66" s="94">
        <v>13</v>
      </c>
      <c r="AW66" s="94">
        <v>17</v>
      </c>
      <c r="AX66" s="94">
        <v>16</v>
      </c>
      <c r="AY66" s="94">
        <v>18</v>
      </c>
      <c r="AZ66" s="94">
        <v>16</v>
      </c>
      <c r="BA66" s="94">
        <v>18</v>
      </c>
      <c r="BB66" s="94">
        <v>22</v>
      </c>
      <c r="BC66" s="94">
        <v>30</v>
      </c>
      <c r="BD66" s="94">
        <v>33</v>
      </c>
      <c r="BE66" s="94">
        <v>28</v>
      </c>
      <c r="BF66" s="94">
        <v>32</v>
      </c>
      <c r="BG66" s="94">
        <v>69</v>
      </c>
      <c r="BH66" s="94">
        <v>85</v>
      </c>
      <c r="BI66" s="94">
        <v>54</v>
      </c>
      <c r="BJ66" s="94">
        <v>57</v>
      </c>
      <c r="BK66" s="94">
        <v>69</v>
      </c>
      <c r="BL66" s="94">
        <v>65</v>
      </c>
      <c r="BM66" s="94">
        <v>63</v>
      </c>
      <c r="BN66" s="94">
        <v>59</v>
      </c>
      <c r="BO66" s="94">
        <v>62</v>
      </c>
      <c r="BP66" s="94">
        <v>56</v>
      </c>
      <c r="BQ66" s="16" t="s">
        <v>126</v>
      </c>
      <c r="BR66" s="16" t="s">
        <v>126</v>
      </c>
      <c r="BS66" s="16" t="s">
        <v>126</v>
      </c>
      <c r="BT66" s="16" t="s">
        <v>126</v>
      </c>
      <c r="BU66" s="16" t="s">
        <v>126</v>
      </c>
      <c r="BV66" s="6" t="s">
        <v>126</v>
      </c>
      <c r="BW66" s="16" t="s">
        <v>126</v>
      </c>
      <c r="BX66" s="16">
        <v>80</v>
      </c>
      <c r="BY66" s="16">
        <v>68</v>
      </c>
      <c r="BZ66" s="16">
        <v>54</v>
      </c>
      <c r="CA66" s="16" t="s">
        <v>126</v>
      </c>
      <c r="CB66" s="16" t="s">
        <v>126</v>
      </c>
      <c r="CC66" s="16" t="s">
        <v>126</v>
      </c>
      <c r="CD66" s="16" t="s">
        <v>126</v>
      </c>
      <c r="CE66" s="16" t="s">
        <v>126</v>
      </c>
      <c r="CF66" s="16" t="s">
        <v>126</v>
      </c>
      <c r="CG66" s="16" t="s">
        <v>126</v>
      </c>
      <c r="CH66" s="16" t="s">
        <v>126</v>
      </c>
      <c r="CI66" s="16" t="s">
        <v>126</v>
      </c>
      <c r="CJ66" s="16" t="s">
        <v>126</v>
      </c>
      <c r="CK66" s="16" t="s">
        <v>126</v>
      </c>
      <c r="CL66" s="16" t="s">
        <v>126</v>
      </c>
      <c r="CM66" s="16" t="s">
        <v>126</v>
      </c>
      <c r="CN66" s="16" t="s">
        <v>126</v>
      </c>
      <c r="CO66" s="16" t="s">
        <v>126</v>
      </c>
      <c r="CP66" s="16" t="s">
        <v>126</v>
      </c>
      <c r="CQ66" s="16" t="s">
        <v>126</v>
      </c>
      <c r="CR66" s="16" t="s">
        <v>126</v>
      </c>
      <c r="CS66" s="16" t="s">
        <v>126</v>
      </c>
      <c r="CT66" s="16" t="s">
        <v>126</v>
      </c>
      <c r="CU66" s="16" t="s">
        <v>126</v>
      </c>
      <c r="CV66" s="16" t="s">
        <v>126</v>
      </c>
      <c r="CW66" s="16" t="s">
        <v>126</v>
      </c>
      <c r="CX66" s="16" t="s">
        <v>126</v>
      </c>
      <c r="CY66" s="16" t="s">
        <v>126</v>
      </c>
      <c r="CZ66" s="16" t="s">
        <v>126</v>
      </c>
      <c r="DA66" s="16" t="s">
        <v>126</v>
      </c>
      <c r="DB66" s="16" t="s">
        <v>126</v>
      </c>
      <c r="DC66" s="16" t="s">
        <v>126</v>
      </c>
      <c r="DD66" s="16" t="s">
        <v>126</v>
      </c>
      <c r="DE66" s="16" t="s">
        <v>126</v>
      </c>
      <c r="DF66" s="16" t="s">
        <v>126</v>
      </c>
      <c r="DG66" s="16" t="s">
        <v>126</v>
      </c>
      <c r="DH66" s="16" t="s">
        <v>126</v>
      </c>
      <c r="DI66" s="16" t="s">
        <v>126</v>
      </c>
      <c r="DJ66" s="16" t="s">
        <v>126</v>
      </c>
      <c r="DK66" s="16" t="s">
        <v>126</v>
      </c>
      <c r="DL66" s="16" t="s">
        <v>126</v>
      </c>
      <c r="DM66" s="16" t="s">
        <v>126</v>
      </c>
      <c r="DN66" s="16" t="s">
        <v>126</v>
      </c>
      <c r="DO66" s="16" t="s">
        <v>126</v>
      </c>
      <c r="DP66" s="16" t="s">
        <v>126</v>
      </c>
      <c r="DQ66" s="16" t="s">
        <v>126</v>
      </c>
      <c r="DR66" s="16" t="s">
        <v>126</v>
      </c>
      <c r="DS66" s="16" t="s">
        <v>126</v>
      </c>
      <c r="DT66" s="16" t="s">
        <v>126</v>
      </c>
      <c r="DU66" s="16" t="s">
        <v>126</v>
      </c>
      <c r="DV66" s="16" t="s">
        <v>126</v>
      </c>
      <c r="DW66" s="16" t="s">
        <v>126</v>
      </c>
      <c r="DX66" s="16" t="s">
        <v>126</v>
      </c>
      <c r="DY66" s="16" t="s">
        <v>126</v>
      </c>
      <c r="DZ66" s="16" t="s">
        <v>126</v>
      </c>
      <c r="EA66" s="16" t="s">
        <v>126</v>
      </c>
      <c r="EB66" s="16" t="s">
        <v>126</v>
      </c>
      <c r="EC66" s="16" t="s">
        <v>126</v>
      </c>
      <c r="ED66" s="16" t="s">
        <v>126</v>
      </c>
      <c r="EE66" s="16" t="s">
        <v>126</v>
      </c>
      <c r="EF66" s="16" t="s">
        <v>126</v>
      </c>
      <c r="EG66" s="16" t="s">
        <v>126</v>
      </c>
      <c r="EH66" s="16" t="s">
        <v>126</v>
      </c>
      <c r="EI66" s="16" t="s">
        <v>126</v>
      </c>
      <c r="EJ66" s="16" t="s">
        <v>126</v>
      </c>
      <c r="EK66" s="16" t="s">
        <v>126</v>
      </c>
      <c r="EL66" s="16" t="s">
        <v>126</v>
      </c>
      <c r="EM66" s="16" t="s">
        <v>126</v>
      </c>
      <c r="EN66" s="16" t="s">
        <v>126</v>
      </c>
      <c r="EO66" s="16" t="s">
        <v>126</v>
      </c>
      <c r="EP66" s="16" t="s">
        <v>126</v>
      </c>
      <c r="EQ66" s="16" t="s">
        <v>126</v>
      </c>
      <c r="ER66" s="16" t="s">
        <v>126</v>
      </c>
      <c r="ES66" s="16" t="s">
        <v>126</v>
      </c>
      <c r="ET66" s="16" t="s">
        <v>126</v>
      </c>
      <c r="EU66" s="16" t="s">
        <v>126</v>
      </c>
      <c r="EV66" s="16" t="s">
        <v>126</v>
      </c>
      <c r="EW66" s="16" t="s">
        <v>126</v>
      </c>
      <c r="EX66" s="16" t="s">
        <v>126</v>
      </c>
      <c r="EY66" s="16" t="s">
        <v>126</v>
      </c>
      <c r="EZ66" s="16" t="s">
        <v>126</v>
      </c>
      <c r="FA66" s="16" t="s">
        <v>126</v>
      </c>
      <c r="FB66" s="16" t="s">
        <v>126</v>
      </c>
      <c r="FC66" s="16" t="s">
        <v>126</v>
      </c>
      <c r="FD66" s="16" t="s">
        <v>126</v>
      </c>
      <c r="FE66" s="16" t="s">
        <v>126</v>
      </c>
      <c r="FF66" s="16" t="s">
        <v>126</v>
      </c>
      <c r="FG66" s="16" t="s">
        <v>126</v>
      </c>
      <c r="FH66" s="16" t="s">
        <v>126</v>
      </c>
      <c r="FI66" s="16" t="s">
        <v>126</v>
      </c>
      <c r="FJ66" s="16" t="s">
        <v>126</v>
      </c>
      <c r="FK66" s="16" t="s">
        <v>126</v>
      </c>
      <c r="FL66" s="16" t="s">
        <v>126</v>
      </c>
      <c r="FM66" s="16" t="s">
        <v>126</v>
      </c>
      <c r="FN66" s="16" t="s">
        <v>126</v>
      </c>
      <c r="FO66" s="16" t="s">
        <v>126</v>
      </c>
      <c r="FP66" s="16" t="s">
        <v>126</v>
      </c>
      <c r="FQ66" s="16" t="s">
        <v>126</v>
      </c>
      <c r="FR66" s="16" t="s">
        <v>126</v>
      </c>
      <c r="FS66" s="16" t="s">
        <v>126</v>
      </c>
      <c r="FT66" s="16" t="s">
        <v>126</v>
      </c>
      <c r="FU66" s="16" t="s">
        <v>126</v>
      </c>
      <c r="FV66" s="16" t="s">
        <v>126</v>
      </c>
      <c r="FW66" s="16" t="s">
        <v>126</v>
      </c>
      <c r="FX66" s="16" t="s">
        <v>126</v>
      </c>
      <c r="FY66" s="16" t="s">
        <v>126</v>
      </c>
      <c r="FZ66" s="16" t="s">
        <v>126</v>
      </c>
      <c r="GA66" s="16" t="s">
        <v>126</v>
      </c>
      <c r="GB66" s="16" t="s">
        <v>126</v>
      </c>
      <c r="GC66" s="16" t="s">
        <v>126</v>
      </c>
      <c r="GD66" s="16" t="s">
        <v>126</v>
      </c>
      <c r="GE66" s="16" t="s">
        <v>126</v>
      </c>
      <c r="GF66" s="16" t="s">
        <v>126</v>
      </c>
      <c r="GG66" s="16" t="s">
        <v>126</v>
      </c>
      <c r="GH66" s="16" t="s">
        <v>126</v>
      </c>
      <c r="GI66" s="16" t="s">
        <v>126</v>
      </c>
      <c r="GJ66" s="16" t="s">
        <v>126</v>
      </c>
      <c r="GK66" s="16" t="s">
        <v>126</v>
      </c>
      <c r="GL66" s="16" t="s">
        <v>126</v>
      </c>
      <c r="GM66" s="16" t="s">
        <v>126</v>
      </c>
      <c r="GN66" s="16" t="s">
        <v>126</v>
      </c>
      <c r="GO66" s="16" t="s">
        <v>126</v>
      </c>
      <c r="GP66" s="16" t="s">
        <v>126</v>
      </c>
      <c r="GQ66" s="16" t="s">
        <v>126</v>
      </c>
      <c r="GR66" s="16" t="s">
        <v>126</v>
      </c>
      <c r="GS66" s="16" t="s">
        <v>126</v>
      </c>
      <c r="GT66" s="16" t="s">
        <v>126</v>
      </c>
      <c r="GU66" s="16" t="s">
        <v>126</v>
      </c>
      <c r="GV66" s="16" t="s">
        <v>126</v>
      </c>
      <c r="GW66" s="16" t="s">
        <v>126</v>
      </c>
      <c r="GX66" s="16" t="s">
        <v>126</v>
      </c>
      <c r="GY66" s="16" t="s">
        <v>126</v>
      </c>
      <c r="GZ66" s="16" t="s">
        <v>126</v>
      </c>
      <c r="HA66" s="16" t="s">
        <v>126</v>
      </c>
      <c r="HB66" s="16" t="s">
        <v>126</v>
      </c>
      <c r="HC66" s="16" t="s">
        <v>126</v>
      </c>
      <c r="HD66" s="16" t="s">
        <v>126</v>
      </c>
      <c r="HE66" s="16" t="s">
        <v>126</v>
      </c>
      <c r="HF66" s="16" t="s">
        <v>126</v>
      </c>
      <c r="HG66" s="16" t="s">
        <v>126</v>
      </c>
      <c r="HH66" s="16" t="s">
        <v>126</v>
      </c>
      <c r="HI66" s="16" t="s">
        <v>126</v>
      </c>
      <c r="HJ66" s="16" t="s">
        <v>126</v>
      </c>
      <c r="HK66" s="16" t="s">
        <v>126</v>
      </c>
      <c r="HL66" s="16" t="s">
        <v>126</v>
      </c>
      <c r="HM66" s="16" t="s">
        <v>126</v>
      </c>
      <c r="HN66" s="16" t="s">
        <v>126</v>
      </c>
      <c r="HO66" s="16" t="s">
        <v>126</v>
      </c>
      <c r="HP66" s="16" t="s">
        <v>126</v>
      </c>
      <c r="HQ66" s="16" t="s">
        <v>126</v>
      </c>
      <c r="HR66" s="16" t="s">
        <v>126</v>
      </c>
      <c r="HS66" s="16" t="s">
        <v>126</v>
      </c>
      <c r="HT66" s="16" t="s">
        <v>126</v>
      </c>
      <c r="HU66" s="16" t="s">
        <v>126</v>
      </c>
      <c r="HV66" s="16" t="s">
        <v>126</v>
      </c>
      <c r="HW66" s="16" t="s">
        <v>126</v>
      </c>
      <c r="HX66" s="16" t="s">
        <v>126</v>
      </c>
      <c r="HY66" s="16" t="s">
        <v>126</v>
      </c>
      <c r="HZ66" s="16" t="s">
        <v>126</v>
      </c>
      <c r="IA66" s="16" t="s">
        <v>126</v>
      </c>
      <c r="IB66" s="16" t="s">
        <v>126</v>
      </c>
      <c r="IC66" s="16" t="s">
        <v>126</v>
      </c>
      <c r="ID66" s="16" t="s">
        <v>126</v>
      </c>
      <c r="IE66" s="16" t="s">
        <v>126</v>
      </c>
      <c r="IF66" s="16" t="s">
        <v>126</v>
      </c>
      <c r="IG66" s="16" t="s">
        <v>126</v>
      </c>
      <c r="IH66" s="16" t="s">
        <v>126</v>
      </c>
      <c r="II66" s="16" t="s">
        <v>126</v>
      </c>
      <c r="IJ66" s="16" t="s">
        <v>126</v>
      </c>
      <c r="IK66" s="16" t="s">
        <v>126</v>
      </c>
      <c r="IL66" s="16" t="s">
        <v>126</v>
      </c>
      <c r="IM66" s="16" t="s">
        <v>126</v>
      </c>
      <c r="IN66" s="16" t="s">
        <v>126</v>
      </c>
      <c r="IO66" s="16" t="s">
        <v>126</v>
      </c>
      <c r="IP66" s="16" t="s">
        <v>126</v>
      </c>
      <c r="IQ66" s="16" t="s">
        <v>126</v>
      </c>
      <c r="IR66" s="16" t="s">
        <v>126</v>
      </c>
      <c r="IS66" s="59">
        <f t="shared" si="2"/>
        <v>0</v>
      </c>
    </row>
    <row r="67" spans="1:253" ht="13.5" customHeight="1">
      <c r="A67" s="97">
        <v>63</v>
      </c>
      <c r="B67" s="92" t="s">
        <v>212</v>
      </c>
      <c r="C67" s="6">
        <v>70</v>
      </c>
      <c r="D67" s="6">
        <v>90</v>
      </c>
      <c r="E67" s="6">
        <v>260</v>
      </c>
      <c r="F67" s="94" t="s">
        <v>126</v>
      </c>
      <c r="G67" s="31" t="s">
        <v>126</v>
      </c>
      <c r="H67" s="31" t="s">
        <v>126</v>
      </c>
      <c r="I67" s="31" t="s">
        <v>126</v>
      </c>
      <c r="J67" s="31" t="s">
        <v>126</v>
      </c>
      <c r="K67" s="31" t="s">
        <v>126</v>
      </c>
      <c r="L67" s="31" t="s">
        <v>126</v>
      </c>
      <c r="M67" s="31" t="s">
        <v>126</v>
      </c>
      <c r="N67" s="31" t="s">
        <v>126</v>
      </c>
      <c r="O67" s="31" t="s">
        <v>126</v>
      </c>
      <c r="P67" s="31" t="s">
        <v>126</v>
      </c>
      <c r="Q67" s="31" t="s">
        <v>126</v>
      </c>
      <c r="R67" s="31" t="s">
        <v>126</v>
      </c>
      <c r="S67" s="31" t="s">
        <v>126</v>
      </c>
      <c r="T67" s="31" t="s">
        <v>126</v>
      </c>
      <c r="U67" s="31" t="s">
        <v>126</v>
      </c>
      <c r="V67" s="31" t="s">
        <v>126</v>
      </c>
      <c r="W67" s="94" t="s">
        <v>126</v>
      </c>
      <c r="X67" s="94" t="s">
        <v>126</v>
      </c>
      <c r="Y67" s="94" t="s">
        <v>126</v>
      </c>
      <c r="Z67" s="94" t="s">
        <v>126</v>
      </c>
      <c r="AA67" s="94" t="s">
        <v>126</v>
      </c>
      <c r="AB67" s="94" t="s">
        <v>126</v>
      </c>
      <c r="AC67" s="94">
        <v>89</v>
      </c>
      <c r="AD67" s="16" t="s">
        <v>126</v>
      </c>
      <c r="AE67" s="16" t="s">
        <v>126</v>
      </c>
      <c r="AF67" s="16" t="s">
        <v>126</v>
      </c>
      <c r="AG67" s="16" t="s">
        <v>126</v>
      </c>
      <c r="AH67" s="16" t="s">
        <v>126</v>
      </c>
      <c r="AI67" s="94">
        <v>72</v>
      </c>
      <c r="AJ67" s="94">
        <v>76</v>
      </c>
      <c r="AK67" s="94">
        <v>72</v>
      </c>
      <c r="AL67" s="94">
        <v>68</v>
      </c>
      <c r="AM67" s="94">
        <v>68</v>
      </c>
      <c r="AN67" s="94" t="s">
        <v>126</v>
      </c>
      <c r="AO67" s="94" t="s">
        <v>126</v>
      </c>
      <c r="AP67" s="94" t="s">
        <v>126</v>
      </c>
      <c r="AQ67" s="94" t="s">
        <v>126</v>
      </c>
      <c r="AR67" s="95"/>
      <c r="AS67" s="94" t="s">
        <v>126</v>
      </c>
      <c r="AT67" s="94" t="s">
        <v>126</v>
      </c>
      <c r="AU67" s="95"/>
      <c r="AV67" s="94" t="s">
        <v>126</v>
      </c>
      <c r="AW67" s="94" t="s">
        <v>126</v>
      </c>
      <c r="AX67" s="94" t="s">
        <v>126</v>
      </c>
      <c r="AY67" s="94" t="s">
        <v>126</v>
      </c>
      <c r="AZ67" s="94" t="s">
        <v>126</v>
      </c>
      <c r="BA67" s="94" t="s">
        <v>126</v>
      </c>
      <c r="BB67" s="94" t="s">
        <v>126</v>
      </c>
      <c r="BC67" s="94" t="s">
        <v>126</v>
      </c>
      <c r="BD67" s="94" t="s">
        <v>126</v>
      </c>
      <c r="BE67" s="94" t="s">
        <v>126</v>
      </c>
      <c r="BF67" s="94" t="s">
        <v>126</v>
      </c>
      <c r="BG67" s="94" t="s">
        <v>126</v>
      </c>
      <c r="BH67" s="94" t="s">
        <v>126</v>
      </c>
      <c r="BI67" s="94" t="s">
        <v>126</v>
      </c>
      <c r="BJ67" s="94" t="s">
        <v>126</v>
      </c>
      <c r="BK67" s="94" t="s">
        <v>126</v>
      </c>
      <c r="BL67" s="94" t="s">
        <v>126</v>
      </c>
      <c r="BM67" s="94" t="s">
        <v>126</v>
      </c>
      <c r="BN67" s="94" t="s">
        <v>126</v>
      </c>
      <c r="BO67" s="94" t="s">
        <v>126</v>
      </c>
      <c r="BP67" s="94" t="s">
        <v>126</v>
      </c>
      <c r="BQ67" s="16" t="s">
        <v>126</v>
      </c>
      <c r="BR67" s="16" t="s">
        <v>126</v>
      </c>
      <c r="BS67" s="16" t="s">
        <v>126</v>
      </c>
      <c r="BT67" s="16" t="s">
        <v>126</v>
      </c>
      <c r="BU67" s="16" t="s">
        <v>126</v>
      </c>
      <c r="BV67" s="6" t="s">
        <v>126</v>
      </c>
      <c r="BW67" s="16" t="s">
        <v>126</v>
      </c>
      <c r="BX67" s="16" t="s">
        <v>126</v>
      </c>
      <c r="BY67" s="16" t="s">
        <v>126</v>
      </c>
      <c r="BZ67" s="16" t="s">
        <v>126</v>
      </c>
      <c r="CA67" s="16" t="s">
        <v>126</v>
      </c>
      <c r="CB67" s="16" t="s">
        <v>126</v>
      </c>
      <c r="CC67" s="16" t="s">
        <v>126</v>
      </c>
      <c r="CD67" s="16" t="s">
        <v>126</v>
      </c>
      <c r="CE67" s="16" t="s">
        <v>126</v>
      </c>
      <c r="CF67" s="16" t="s">
        <v>126</v>
      </c>
      <c r="CG67" s="16" t="s">
        <v>126</v>
      </c>
      <c r="CH67" s="16" t="s">
        <v>126</v>
      </c>
      <c r="CI67" s="16" t="s">
        <v>126</v>
      </c>
      <c r="CJ67" s="16" t="s">
        <v>126</v>
      </c>
      <c r="CK67" s="16" t="s">
        <v>126</v>
      </c>
      <c r="CL67" s="16" t="s">
        <v>126</v>
      </c>
      <c r="CM67" s="16" t="s">
        <v>126</v>
      </c>
      <c r="CN67" s="16" t="s">
        <v>126</v>
      </c>
      <c r="CO67" s="16" t="s">
        <v>126</v>
      </c>
      <c r="CP67" s="16" t="s">
        <v>126</v>
      </c>
      <c r="CQ67" s="16" t="s">
        <v>126</v>
      </c>
      <c r="CR67" s="16" t="s">
        <v>126</v>
      </c>
      <c r="CS67" s="16" t="s">
        <v>126</v>
      </c>
      <c r="CT67" s="16" t="s">
        <v>126</v>
      </c>
      <c r="CU67" s="16" t="s">
        <v>126</v>
      </c>
      <c r="CV67" s="16" t="s">
        <v>126</v>
      </c>
      <c r="CW67" s="16" t="s">
        <v>126</v>
      </c>
      <c r="CX67" s="16" t="s">
        <v>126</v>
      </c>
      <c r="CY67" s="16" t="s">
        <v>126</v>
      </c>
      <c r="CZ67" s="16" t="s">
        <v>126</v>
      </c>
      <c r="DA67" s="16" t="s">
        <v>126</v>
      </c>
      <c r="DB67" s="16" t="s">
        <v>126</v>
      </c>
      <c r="DC67" s="16" t="s">
        <v>126</v>
      </c>
      <c r="DD67" s="16" t="s">
        <v>126</v>
      </c>
      <c r="DE67" s="16" t="s">
        <v>126</v>
      </c>
      <c r="DF67" s="16" t="s">
        <v>126</v>
      </c>
      <c r="DG67" s="16" t="s">
        <v>126</v>
      </c>
      <c r="DH67" s="16" t="s">
        <v>126</v>
      </c>
      <c r="DI67" s="16" t="s">
        <v>126</v>
      </c>
      <c r="DJ67" s="16" t="s">
        <v>126</v>
      </c>
      <c r="DK67" s="16" t="s">
        <v>126</v>
      </c>
      <c r="DL67" s="16" t="s">
        <v>126</v>
      </c>
      <c r="DM67" s="16" t="s">
        <v>126</v>
      </c>
      <c r="DN67" s="16" t="s">
        <v>126</v>
      </c>
      <c r="DO67" s="16" t="s">
        <v>126</v>
      </c>
      <c r="DP67" s="16" t="s">
        <v>126</v>
      </c>
      <c r="DQ67" s="16" t="s">
        <v>126</v>
      </c>
      <c r="DR67" s="16" t="s">
        <v>126</v>
      </c>
      <c r="DS67" s="16" t="s">
        <v>126</v>
      </c>
      <c r="DT67" s="16" t="s">
        <v>126</v>
      </c>
      <c r="DU67" s="16" t="s">
        <v>126</v>
      </c>
      <c r="DV67" s="16" t="s">
        <v>126</v>
      </c>
      <c r="DW67" s="16" t="s">
        <v>126</v>
      </c>
      <c r="DX67" s="16" t="s">
        <v>126</v>
      </c>
      <c r="DY67" s="16" t="s">
        <v>126</v>
      </c>
      <c r="DZ67" s="16" t="s">
        <v>126</v>
      </c>
      <c r="EA67" s="16" t="s">
        <v>126</v>
      </c>
      <c r="EB67" s="16" t="s">
        <v>126</v>
      </c>
      <c r="EC67" s="16" t="s">
        <v>126</v>
      </c>
      <c r="ED67" s="16" t="s">
        <v>126</v>
      </c>
      <c r="EE67" s="16" t="s">
        <v>126</v>
      </c>
      <c r="EF67" s="16" t="s">
        <v>126</v>
      </c>
      <c r="EG67" s="16" t="s">
        <v>126</v>
      </c>
      <c r="EH67" s="16" t="s">
        <v>126</v>
      </c>
      <c r="EI67" s="16" t="s">
        <v>126</v>
      </c>
      <c r="EJ67" s="16" t="s">
        <v>126</v>
      </c>
      <c r="EK67" s="16" t="s">
        <v>126</v>
      </c>
      <c r="EL67" s="16" t="s">
        <v>126</v>
      </c>
      <c r="EM67" s="16" t="s">
        <v>126</v>
      </c>
      <c r="EN67" s="16" t="s">
        <v>126</v>
      </c>
      <c r="EO67" s="16" t="s">
        <v>126</v>
      </c>
      <c r="EP67" s="16" t="s">
        <v>126</v>
      </c>
      <c r="EQ67" s="16" t="s">
        <v>126</v>
      </c>
      <c r="ER67" s="16" t="s">
        <v>126</v>
      </c>
      <c r="ES67" s="16" t="s">
        <v>126</v>
      </c>
      <c r="ET67" s="16" t="s">
        <v>126</v>
      </c>
      <c r="EU67" s="16" t="s">
        <v>126</v>
      </c>
      <c r="EV67" s="16" t="s">
        <v>126</v>
      </c>
      <c r="EW67" s="16" t="s">
        <v>126</v>
      </c>
      <c r="EX67" s="16" t="s">
        <v>126</v>
      </c>
      <c r="EY67" s="16" t="s">
        <v>126</v>
      </c>
      <c r="EZ67" s="16" t="s">
        <v>126</v>
      </c>
      <c r="FA67" s="16" t="s">
        <v>126</v>
      </c>
      <c r="FB67" s="16" t="s">
        <v>126</v>
      </c>
      <c r="FC67" s="16" t="s">
        <v>126</v>
      </c>
      <c r="FD67" s="16" t="s">
        <v>126</v>
      </c>
      <c r="FE67" s="16" t="s">
        <v>126</v>
      </c>
      <c r="FF67" s="16" t="s">
        <v>126</v>
      </c>
      <c r="FG67" s="16" t="s">
        <v>126</v>
      </c>
      <c r="FH67" s="16" t="s">
        <v>126</v>
      </c>
      <c r="FI67" s="16" t="s">
        <v>126</v>
      </c>
      <c r="FJ67" s="16" t="s">
        <v>126</v>
      </c>
      <c r="FK67" s="16" t="s">
        <v>126</v>
      </c>
      <c r="FL67" s="16" t="s">
        <v>126</v>
      </c>
      <c r="FM67" s="16" t="s">
        <v>126</v>
      </c>
      <c r="FN67" s="16" t="s">
        <v>126</v>
      </c>
      <c r="FO67" s="16" t="s">
        <v>126</v>
      </c>
      <c r="FP67" s="16" t="s">
        <v>126</v>
      </c>
      <c r="FQ67" s="16" t="s">
        <v>126</v>
      </c>
      <c r="FR67" s="16" t="s">
        <v>126</v>
      </c>
      <c r="FS67" s="16" t="s">
        <v>126</v>
      </c>
      <c r="FT67" s="16" t="s">
        <v>126</v>
      </c>
      <c r="FU67" s="16" t="s">
        <v>126</v>
      </c>
      <c r="FV67" s="16" t="s">
        <v>126</v>
      </c>
      <c r="FW67" s="16" t="s">
        <v>126</v>
      </c>
      <c r="FX67" s="16" t="s">
        <v>126</v>
      </c>
      <c r="FY67" s="16" t="s">
        <v>126</v>
      </c>
      <c r="FZ67" s="16" t="s">
        <v>126</v>
      </c>
      <c r="GA67" s="16" t="s">
        <v>126</v>
      </c>
      <c r="GB67" s="16" t="s">
        <v>126</v>
      </c>
      <c r="GC67" s="16" t="s">
        <v>126</v>
      </c>
      <c r="GD67" s="16" t="s">
        <v>126</v>
      </c>
      <c r="GE67" s="16" t="s">
        <v>126</v>
      </c>
      <c r="GF67" s="16" t="s">
        <v>126</v>
      </c>
      <c r="GG67" s="16" t="s">
        <v>126</v>
      </c>
      <c r="GH67" s="16" t="s">
        <v>126</v>
      </c>
      <c r="GI67" s="16" t="s">
        <v>126</v>
      </c>
      <c r="GJ67" s="16" t="s">
        <v>126</v>
      </c>
      <c r="GK67" s="16" t="s">
        <v>126</v>
      </c>
      <c r="GL67" s="16" t="s">
        <v>126</v>
      </c>
      <c r="GM67" s="16" t="s">
        <v>126</v>
      </c>
      <c r="GN67" s="16" t="s">
        <v>126</v>
      </c>
      <c r="GO67" s="16" t="s">
        <v>126</v>
      </c>
      <c r="GP67" s="16" t="s">
        <v>126</v>
      </c>
      <c r="GQ67" s="16" t="s">
        <v>126</v>
      </c>
      <c r="GR67" s="16" t="s">
        <v>126</v>
      </c>
      <c r="GS67" s="16" t="s">
        <v>126</v>
      </c>
      <c r="GT67" s="16" t="s">
        <v>126</v>
      </c>
      <c r="GU67" s="16" t="s">
        <v>126</v>
      </c>
      <c r="GV67" s="16" t="s">
        <v>126</v>
      </c>
      <c r="GW67" s="16" t="s">
        <v>126</v>
      </c>
      <c r="GX67" s="16" t="s">
        <v>126</v>
      </c>
      <c r="GY67" s="16" t="s">
        <v>126</v>
      </c>
      <c r="GZ67" s="16" t="s">
        <v>126</v>
      </c>
      <c r="HA67" s="16" t="s">
        <v>126</v>
      </c>
      <c r="HB67" s="16" t="s">
        <v>126</v>
      </c>
      <c r="HC67" s="16" t="s">
        <v>126</v>
      </c>
      <c r="HD67" s="16" t="s">
        <v>126</v>
      </c>
      <c r="HE67" s="16" t="s">
        <v>126</v>
      </c>
      <c r="HF67" s="16" t="s">
        <v>126</v>
      </c>
      <c r="HG67" s="16" t="s">
        <v>126</v>
      </c>
      <c r="HH67" s="16" t="s">
        <v>126</v>
      </c>
      <c r="HI67" s="16" t="s">
        <v>126</v>
      </c>
      <c r="HJ67" s="16" t="s">
        <v>126</v>
      </c>
      <c r="HK67" s="16" t="s">
        <v>126</v>
      </c>
      <c r="HL67" s="16" t="s">
        <v>126</v>
      </c>
      <c r="HM67" s="16" t="s">
        <v>126</v>
      </c>
      <c r="HN67" s="16" t="s">
        <v>126</v>
      </c>
      <c r="HO67" s="16" t="s">
        <v>126</v>
      </c>
      <c r="HP67" s="16" t="s">
        <v>126</v>
      </c>
      <c r="HQ67" s="16" t="s">
        <v>126</v>
      </c>
      <c r="HR67" s="16" t="s">
        <v>126</v>
      </c>
      <c r="HS67" s="16" t="s">
        <v>126</v>
      </c>
      <c r="HT67" s="16" t="s">
        <v>126</v>
      </c>
      <c r="HU67" s="16" t="s">
        <v>126</v>
      </c>
      <c r="HV67" s="16" t="s">
        <v>126</v>
      </c>
      <c r="HW67" s="16" t="s">
        <v>126</v>
      </c>
      <c r="HX67" s="16" t="s">
        <v>126</v>
      </c>
      <c r="HY67" s="16" t="s">
        <v>126</v>
      </c>
      <c r="HZ67" s="16" t="s">
        <v>126</v>
      </c>
      <c r="IA67" s="16" t="s">
        <v>126</v>
      </c>
      <c r="IB67" s="16" t="s">
        <v>126</v>
      </c>
      <c r="IC67" s="16" t="s">
        <v>126</v>
      </c>
      <c r="ID67" s="16" t="s">
        <v>126</v>
      </c>
      <c r="IE67" s="16" t="s">
        <v>126</v>
      </c>
      <c r="IF67" s="16" t="s">
        <v>126</v>
      </c>
      <c r="IG67" s="16" t="s">
        <v>126</v>
      </c>
      <c r="IH67" s="16" t="s">
        <v>126</v>
      </c>
      <c r="II67" s="16" t="s">
        <v>126</v>
      </c>
      <c r="IJ67" s="16" t="s">
        <v>126</v>
      </c>
      <c r="IK67" s="16" t="s">
        <v>126</v>
      </c>
      <c r="IL67" s="16" t="s">
        <v>126</v>
      </c>
      <c r="IM67" s="16" t="s">
        <v>126</v>
      </c>
      <c r="IN67" s="16" t="s">
        <v>126</v>
      </c>
      <c r="IO67" s="16" t="s">
        <v>126</v>
      </c>
      <c r="IP67" s="16" t="s">
        <v>126</v>
      </c>
      <c r="IQ67" s="16" t="s">
        <v>126</v>
      </c>
      <c r="IR67" s="16" t="s">
        <v>126</v>
      </c>
      <c r="IS67" s="59">
        <f t="shared" si="2"/>
        <v>0</v>
      </c>
    </row>
    <row r="68" spans="1:253" ht="13.5" hidden="1" customHeight="1">
      <c r="A68" s="97">
        <v>64</v>
      </c>
      <c r="B68" s="77" t="s">
        <v>213</v>
      </c>
      <c r="C68" s="6">
        <v>10</v>
      </c>
      <c r="D68" s="6">
        <v>10</v>
      </c>
      <c r="E68" s="6">
        <v>10</v>
      </c>
      <c r="F68" s="94">
        <v>49</v>
      </c>
      <c r="G68" s="31" t="s">
        <v>126</v>
      </c>
      <c r="H68" s="31" t="s">
        <v>126</v>
      </c>
      <c r="I68" s="31" t="s">
        <v>126</v>
      </c>
      <c r="J68" s="31" t="s">
        <v>126</v>
      </c>
      <c r="K68" s="31" t="s">
        <v>126</v>
      </c>
      <c r="L68" s="31" t="s">
        <v>126</v>
      </c>
      <c r="M68" s="31" t="s">
        <v>126</v>
      </c>
      <c r="N68" s="31" t="s">
        <v>126</v>
      </c>
      <c r="O68" s="31" t="s">
        <v>126</v>
      </c>
      <c r="P68" s="31" t="s">
        <v>126</v>
      </c>
      <c r="Q68" s="31" t="s">
        <v>126</v>
      </c>
      <c r="R68" s="31" t="s">
        <v>126</v>
      </c>
      <c r="S68" s="31" t="s">
        <v>126</v>
      </c>
      <c r="T68" s="31" t="s">
        <v>126</v>
      </c>
      <c r="U68" s="31" t="s">
        <v>126</v>
      </c>
      <c r="V68" s="31" t="s">
        <v>126</v>
      </c>
      <c r="W68" s="94">
        <v>42</v>
      </c>
      <c r="X68" s="94">
        <v>35</v>
      </c>
      <c r="Y68" s="94">
        <v>38</v>
      </c>
      <c r="Z68" s="94">
        <v>43</v>
      </c>
      <c r="AA68" s="94">
        <v>37</v>
      </c>
      <c r="AB68" s="94">
        <v>53</v>
      </c>
      <c r="AC68" s="94">
        <v>48</v>
      </c>
      <c r="AD68" s="16" t="s">
        <v>126</v>
      </c>
      <c r="AE68" s="16" t="s">
        <v>126</v>
      </c>
      <c r="AF68" s="16" t="s">
        <v>126</v>
      </c>
      <c r="AG68" s="16" t="s">
        <v>126</v>
      </c>
      <c r="AH68" s="16" t="s">
        <v>126</v>
      </c>
      <c r="AI68" s="94">
        <v>54</v>
      </c>
      <c r="AJ68" s="94">
        <v>46</v>
      </c>
      <c r="AK68" s="94">
        <v>43</v>
      </c>
      <c r="AL68" s="94">
        <v>53</v>
      </c>
      <c r="AM68" s="94">
        <v>87</v>
      </c>
      <c r="AN68" s="94">
        <v>83</v>
      </c>
      <c r="AO68" s="94">
        <v>75</v>
      </c>
      <c r="AP68" s="94">
        <v>68</v>
      </c>
      <c r="AQ68" s="94">
        <v>59</v>
      </c>
      <c r="AR68" s="95"/>
      <c r="AS68" s="94">
        <v>55</v>
      </c>
      <c r="AT68" s="94">
        <v>55</v>
      </c>
      <c r="AU68" s="95"/>
      <c r="AV68" s="94">
        <v>53</v>
      </c>
      <c r="AW68" s="94">
        <v>59</v>
      </c>
      <c r="AX68" s="94">
        <v>43</v>
      </c>
      <c r="AY68" s="94">
        <v>49</v>
      </c>
      <c r="AZ68" s="94">
        <v>43</v>
      </c>
      <c r="BA68" s="94">
        <v>45</v>
      </c>
      <c r="BB68" s="94">
        <v>49</v>
      </c>
      <c r="BC68" s="94">
        <v>48</v>
      </c>
      <c r="BD68" s="94">
        <v>46</v>
      </c>
      <c r="BE68" s="94">
        <v>55</v>
      </c>
      <c r="BF68" s="94">
        <v>48</v>
      </c>
      <c r="BG68" s="94">
        <v>43</v>
      </c>
      <c r="BH68" s="94">
        <v>53</v>
      </c>
      <c r="BI68" s="94">
        <v>63</v>
      </c>
      <c r="BJ68" s="94">
        <v>7</v>
      </c>
      <c r="BK68" s="94">
        <v>10</v>
      </c>
      <c r="BL68" s="94">
        <v>10</v>
      </c>
      <c r="BM68" s="94">
        <v>10</v>
      </c>
      <c r="BN68" s="94">
        <v>8</v>
      </c>
      <c r="BO68" s="94">
        <v>10</v>
      </c>
      <c r="BP68" s="94">
        <v>13</v>
      </c>
      <c r="BQ68" s="94">
        <v>12</v>
      </c>
      <c r="BR68" s="94">
        <v>12</v>
      </c>
      <c r="BS68" s="94">
        <v>16</v>
      </c>
      <c r="BT68" s="94">
        <v>13</v>
      </c>
      <c r="BU68" s="16" t="s">
        <v>126</v>
      </c>
      <c r="BV68" s="6">
        <v>56</v>
      </c>
      <c r="BW68" s="16" t="s">
        <v>126</v>
      </c>
      <c r="BX68" s="16" t="s">
        <v>126</v>
      </c>
      <c r="BY68" s="16" t="s">
        <v>126</v>
      </c>
      <c r="BZ68" s="16" t="s">
        <v>126</v>
      </c>
      <c r="CA68" s="16" t="s">
        <v>126</v>
      </c>
      <c r="CB68" s="16">
        <v>43</v>
      </c>
      <c r="CC68" s="16" t="s">
        <v>126</v>
      </c>
      <c r="CD68" s="16" t="s">
        <v>126</v>
      </c>
      <c r="CE68" s="16" t="s">
        <v>126</v>
      </c>
      <c r="CF68" s="16" t="s">
        <v>126</v>
      </c>
      <c r="CG68" s="16" t="s">
        <v>126</v>
      </c>
      <c r="CH68" s="16" t="s">
        <v>126</v>
      </c>
      <c r="CI68" s="16" t="s">
        <v>126</v>
      </c>
      <c r="CJ68" s="16" t="s">
        <v>126</v>
      </c>
      <c r="CK68" s="16" t="s">
        <v>126</v>
      </c>
      <c r="CL68" s="16" t="s">
        <v>126</v>
      </c>
      <c r="CM68" s="16" t="s">
        <v>126</v>
      </c>
      <c r="CN68" s="16" t="s">
        <v>126</v>
      </c>
      <c r="CO68" s="16" t="s">
        <v>126</v>
      </c>
      <c r="CP68" s="16" t="s">
        <v>126</v>
      </c>
      <c r="CQ68" s="16" t="s">
        <v>126</v>
      </c>
      <c r="CR68" s="16" t="s">
        <v>126</v>
      </c>
      <c r="CS68" s="16" t="s">
        <v>126</v>
      </c>
      <c r="CT68" s="16" t="s">
        <v>126</v>
      </c>
      <c r="CU68" s="16" t="s">
        <v>126</v>
      </c>
      <c r="CV68" s="16" t="s">
        <v>126</v>
      </c>
      <c r="CW68" s="16" t="s">
        <v>126</v>
      </c>
      <c r="CX68" s="16" t="s">
        <v>126</v>
      </c>
      <c r="CY68" s="16" t="s">
        <v>126</v>
      </c>
      <c r="CZ68" s="16" t="s">
        <v>126</v>
      </c>
      <c r="DA68" s="16" t="s">
        <v>126</v>
      </c>
      <c r="DB68" s="16" t="s">
        <v>126</v>
      </c>
      <c r="DC68" s="16" t="s">
        <v>126</v>
      </c>
      <c r="DD68" s="16" t="s">
        <v>126</v>
      </c>
      <c r="DE68" s="16" t="s">
        <v>126</v>
      </c>
      <c r="DF68" s="16" t="s">
        <v>126</v>
      </c>
      <c r="DG68" s="16" t="s">
        <v>126</v>
      </c>
      <c r="DH68" s="16" t="s">
        <v>126</v>
      </c>
      <c r="DI68" s="16" t="s">
        <v>126</v>
      </c>
      <c r="DJ68" s="16" t="s">
        <v>126</v>
      </c>
      <c r="DK68" s="16" t="s">
        <v>126</v>
      </c>
      <c r="DL68" s="16" t="s">
        <v>126</v>
      </c>
      <c r="DM68" s="16" t="s">
        <v>126</v>
      </c>
      <c r="DN68" s="16" t="s">
        <v>126</v>
      </c>
      <c r="DO68" s="16" t="s">
        <v>126</v>
      </c>
      <c r="DP68" s="16" t="s">
        <v>126</v>
      </c>
      <c r="DQ68" s="16" t="s">
        <v>126</v>
      </c>
      <c r="DR68" s="16" t="s">
        <v>126</v>
      </c>
      <c r="DS68" s="16" t="s">
        <v>126</v>
      </c>
      <c r="DT68" s="16" t="s">
        <v>126</v>
      </c>
      <c r="DU68" s="16" t="s">
        <v>126</v>
      </c>
      <c r="DV68" s="16" t="s">
        <v>126</v>
      </c>
      <c r="DW68" s="16" t="s">
        <v>126</v>
      </c>
      <c r="DX68" s="16" t="s">
        <v>126</v>
      </c>
      <c r="DY68" s="16" t="s">
        <v>126</v>
      </c>
      <c r="DZ68" s="16" t="s">
        <v>126</v>
      </c>
      <c r="EA68" s="16" t="s">
        <v>126</v>
      </c>
      <c r="EB68" s="16" t="s">
        <v>126</v>
      </c>
      <c r="EC68" s="16" t="s">
        <v>126</v>
      </c>
      <c r="ED68" s="16" t="s">
        <v>126</v>
      </c>
      <c r="EE68" s="16" t="s">
        <v>126</v>
      </c>
      <c r="EF68" s="16" t="s">
        <v>126</v>
      </c>
      <c r="EG68" s="16" t="s">
        <v>126</v>
      </c>
      <c r="EH68" s="16" t="s">
        <v>126</v>
      </c>
      <c r="EI68" s="16" t="s">
        <v>126</v>
      </c>
      <c r="EJ68" s="16" t="s">
        <v>126</v>
      </c>
      <c r="EK68" s="16" t="s">
        <v>126</v>
      </c>
      <c r="EL68" s="16" t="s">
        <v>126</v>
      </c>
      <c r="EM68" s="16" t="s">
        <v>126</v>
      </c>
      <c r="EN68" s="16" t="s">
        <v>126</v>
      </c>
      <c r="EO68" s="16" t="s">
        <v>126</v>
      </c>
      <c r="EP68" s="16" t="s">
        <v>126</v>
      </c>
      <c r="EQ68" s="16" t="s">
        <v>126</v>
      </c>
      <c r="ER68" s="16" t="s">
        <v>126</v>
      </c>
      <c r="ES68" s="16" t="s">
        <v>126</v>
      </c>
      <c r="ET68" s="16" t="s">
        <v>126</v>
      </c>
      <c r="EU68" s="16" t="s">
        <v>126</v>
      </c>
      <c r="EV68" s="16" t="s">
        <v>126</v>
      </c>
      <c r="EW68" s="16" t="s">
        <v>126</v>
      </c>
      <c r="EX68" s="16" t="s">
        <v>126</v>
      </c>
      <c r="EY68" s="16" t="s">
        <v>126</v>
      </c>
      <c r="EZ68" s="16" t="s">
        <v>126</v>
      </c>
      <c r="FA68" s="16" t="s">
        <v>126</v>
      </c>
      <c r="FB68" s="16" t="s">
        <v>126</v>
      </c>
      <c r="FC68" s="16" t="s">
        <v>126</v>
      </c>
      <c r="FD68" s="16" t="s">
        <v>126</v>
      </c>
      <c r="FE68" s="16" t="s">
        <v>126</v>
      </c>
      <c r="FF68" s="16" t="s">
        <v>126</v>
      </c>
      <c r="FG68" s="16" t="s">
        <v>126</v>
      </c>
      <c r="FH68" s="16" t="s">
        <v>126</v>
      </c>
      <c r="FI68" s="16" t="s">
        <v>126</v>
      </c>
      <c r="FJ68" s="16" t="s">
        <v>126</v>
      </c>
      <c r="FK68" s="16" t="s">
        <v>126</v>
      </c>
      <c r="FL68" s="16" t="s">
        <v>126</v>
      </c>
      <c r="FM68" s="16" t="s">
        <v>126</v>
      </c>
      <c r="FN68" s="16" t="s">
        <v>126</v>
      </c>
      <c r="FO68" s="16" t="s">
        <v>126</v>
      </c>
      <c r="FP68" s="16" t="s">
        <v>126</v>
      </c>
      <c r="FQ68" s="16" t="s">
        <v>126</v>
      </c>
      <c r="FR68" s="16" t="s">
        <v>126</v>
      </c>
      <c r="FS68" s="16" t="s">
        <v>126</v>
      </c>
      <c r="FT68" s="16" t="s">
        <v>126</v>
      </c>
      <c r="FU68" s="16" t="s">
        <v>126</v>
      </c>
      <c r="FV68" s="16" t="s">
        <v>126</v>
      </c>
      <c r="FW68" s="16" t="s">
        <v>126</v>
      </c>
      <c r="FX68" s="16" t="s">
        <v>126</v>
      </c>
      <c r="FY68" s="16" t="s">
        <v>126</v>
      </c>
      <c r="FZ68" s="16" t="s">
        <v>126</v>
      </c>
      <c r="GA68" s="16" t="s">
        <v>126</v>
      </c>
      <c r="GB68" s="16" t="s">
        <v>126</v>
      </c>
      <c r="GC68" s="16" t="s">
        <v>126</v>
      </c>
      <c r="GD68" s="16" t="s">
        <v>126</v>
      </c>
      <c r="GE68" s="16" t="s">
        <v>126</v>
      </c>
      <c r="GF68" s="16" t="s">
        <v>126</v>
      </c>
      <c r="GG68" s="16" t="s">
        <v>126</v>
      </c>
      <c r="GH68" s="16" t="s">
        <v>126</v>
      </c>
      <c r="GI68" s="16" t="s">
        <v>126</v>
      </c>
      <c r="GJ68" s="16" t="s">
        <v>126</v>
      </c>
      <c r="GK68" s="16" t="s">
        <v>126</v>
      </c>
      <c r="GL68" s="16" t="s">
        <v>126</v>
      </c>
      <c r="GM68" s="16" t="s">
        <v>126</v>
      </c>
      <c r="GN68" s="16" t="s">
        <v>126</v>
      </c>
      <c r="GO68" s="16" t="s">
        <v>126</v>
      </c>
      <c r="GP68" s="16" t="s">
        <v>126</v>
      </c>
      <c r="GQ68" s="16" t="s">
        <v>126</v>
      </c>
      <c r="GR68" s="16" t="s">
        <v>126</v>
      </c>
      <c r="GS68" s="16" t="s">
        <v>126</v>
      </c>
      <c r="GT68" s="16" t="s">
        <v>126</v>
      </c>
      <c r="GU68" s="16" t="s">
        <v>126</v>
      </c>
      <c r="GV68" s="16" t="s">
        <v>126</v>
      </c>
      <c r="GW68" s="16" t="s">
        <v>126</v>
      </c>
      <c r="GX68" s="16" t="s">
        <v>126</v>
      </c>
      <c r="GY68" s="16" t="s">
        <v>126</v>
      </c>
      <c r="GZ68" s="16" t="s">
        <v>126</v>
      </c>
      <c r="HA68" s="16" t="s">
        <v>126</v>
      </c>
      <c r="HB68" s="16" t="s">
        <v>126</v>
      </c>
      <c r="HC68" s="16" t="s">
        <v>126</v>
      </c>
      <c r="HD68" s="16" t="s">
        <v>126</v>
      </c>
      <c r="HE68" s="16" t="s">
        <v>126</v>
      </c>
      <c r="HF68" s="16" t="s">
        <v>126</v>
      </c>
      <c r="HG68" s="16" t="s">
        <v>126</v>
      </c>
      <c r="HH68" s="16" t="s">
        <v>126</v>
      </c>
      <c r="HI68" s="16" t="s">
        <v>126</v>
      </c>
      <c r="HJ68" s="16" t="s">
        <v>126</v>
      </c>
      <c r="HK68" s="16" t="s">
        <v>126</v>
      </c>
      <c r="HL68" s="16" t="s">
        <v>126</v>
      </c>
      <c r="HM68" s="16" t="s">
        <v>126</v>
      </c>
      <c r="HN68" s="16" t="s">
        <v>126</v>
      </c>
      <c r="HO68" s="16" t="s">
        <v>126</v>
      </c>
      <c r="HP68" s="16" t="s">
        <v>126</v>
      </c>
      <c r="HQ68" s="16" t="s">
        <v>126</v>
      </c>
      <c r="HR68" s="16" t="s">
        <v>126</v>
      </c>
      <c r="HS68" s="16" t="s">
        <v>126</v>
      </c>
      <c r="HT68" s="16" t="s">
        <v>126</v>
      </c>
      <c r="HU68" s="16" t="s">
        <v>126</v>
      </c>
      <c r="HV68" s="16" t="s">
        <v>126</v>
      </c>
      <c r="HW68" s="16" t="s">
        <v>126</v>
      </c>
      <c r="HX68" s="16" t="s">
        <v>126</v>
      </c>
      <c r="HY68" s="16" t="s">
        <v>126</v>
      </c>
      <c r="HZ68" s="16" t="s">
        <v>126</v>
      </c>
      <c r="IA68" s="16" t="s">
        <v>126</v>
      </c>
      <c r="IB68" s="16" t="s">
        <v>126</v>
      </c>
      <c r="IC68" s="16" t="s">
        <v>126</v>
      </c>
      <c r="ID68" s="16" t="s">
        <v>126</v>
      </c>
      <c r="IE68" s="16" t="s">
        <v>126</v>
      </c>
      <c r="IF68" s="16" t="s">
        <v>126</v>
      </c>
      <c r="IG68" s="16" t="s">
        <v>126</v>
      </c>
      <c r="IH68" s="16" t="s">
        <v>126</v>
      </c>
      <c r="II68" s="16" t="s">
        <v>126</v>
      </c>
      <c r="IJ68" s="16" t="s">
        <v>126</v>
      </c>
      <c r="IK68" s="16" t="s">
        <v>126</v>
      </c>
      <c r="IL68" s="16" t="s">
        <v>126</v>
      </c>
      <c r="IM68" s="16" t="s">
        <v>126</v>
      </c>
      <c r="IN68" s="16" t="s">
        <v>126</v>
      </c>
      <c r="IO68" s="16" t="s">
        <v>126</v>
      </c>
      <c r="IP68" s="16" t="s">
        <v>126</v>
      </c>
      <c r="IQ68" s="16" t="s">
        <v>126</v>
      </c>
      <c r="IR68" s="16" t="s">
        <v>126</v>
      </c>
      <c r="IS68" s="59">
        <f t="shared" si="2"/>
        <v>0</v>
      </c>
    </row>
    <row r="69" spans="1:253" ht="13.5" hidden="1" customHeight="1">
      <c r="A69" s="97">
        <v>65</v>
      </c>
      <c r="B69" s="77" t="s">
        <v>214</v>
      </c>
      <c r="C69" s="6">
        <v>10</v>
      </c>
      <c r="D69" s="6">
        <v>10</v>
      </c>
      <c r="E69" s="6">
        <v>10</v>
      </c>
      <c r="F69" s="94" t="s">
        <v>126</v>
      </c>
      <c r="G69" s="31" t="s">
        <v>126</v>
      </c>
      <c r="H69" s="31" t="s">
        <v>126</v>
      </c>
      <c r="I69" s="31" t="s">
        <v>126</v>
      </c>
      <c r="J69" s="31" t="s">
        <v>126</v>
      </c>
      <c r="K69" s="31" t="s">
        <v>126</v>
      </c>
      <c r="L69" s="31" t="s">
        <v>126</v>
      </c>
      <c r="M69" s="31" t="s">
        <v>126</v>
      </c>
      <c r="N69" s="31" t="s">
        <v>126</v>
      </c>
      <c r="O69" s="31" t="s">
        <v>126</v>
      </c>
      <c r="P69" s="31" t="s">
        <v>126</v>
      </c>
      <c r="Q69" s="31" t="s">
        <v>126</v>
      </c>
      <c r="R69" s="31" t="s">
        <v>126</v>
      </c>
      <c r="S69" s="31" t="s">
        <v>126</v>
      </c>
      <c r="T69" s="31" t="s">
        <v>126</v>
      </c>
      <c r="U69" s="31" t="s">
        <v>126</v>
      </c>
      <c r="V69" s="31" t="s">
        <v>126</v>
      </c>
      <c r="W69" s="94" t="s">
        <v>126</v>
      </c>
      <c r="X69" s="94" t="s">
        <v>126</v>
      </c>
      <c r="Y69" s="94">
        <v>87</v>
      </c>
      <c r="Z69" s="94">
        <v>74</v>
      </c>
      <c r="AA69" s="94">
        <v>68</v>
      </c>
      <c r="AB69" s="94">
        <v>56</v>
      </c>
      <c r="AC69" s="94">
        <v>52</v>
      </c>
      <c r="AD69" s="16" t="s">
        <v>126</v>
      </c>
      <c r="AE69" s="16" t="s">
        <v>126</v>
      </c>
      <c r="AF69" s="16" t="s">
        <v>126</v>
      </c>
      <c r="AG69" s="16" t="s">
        <v>126</v>
      </c>
      <c r="AH69" s="16" t="s">
        <v>126</v>
      </c>
      <c r="AI69" s="94">
        <v>52</v>
      </c>
      <c r="AJ69" s="94">
        <v>59</v>
      </c>
      <c r="AK69" s="94">
        <v>64</v>
      </c>
      <c r="AL69" s="94">
        <v>62</v>
      </c>
      <c r="AM69" s="94">
        <v>69</v>
      </c>
      <c r="AN69" s="94">
        <v>62</v>
      </c>
      <c r="AO69" s="94">
        <v>58</v>
      </c>
      <c r="AP69" s="94">
        <v>64</v>
      </c>
      <c r="AQ69" s="94">
        <v>62</v>
      </c>
      <c r="AR69" s="95"/>
      <c r="AS69" s="94">
        <v>58</v>
      </c>
      <c r="AT69" s="94">
        <v>53</v>
      </c>
      <c r="AU69" s="95"/>
      <c r="AV69" s="94">
        <v>49</v>
      </c>
      <c r="AW69" s="94">
        <v>43</v>
      </c>
      <c r="AX69" s="94">
        <v>49</v>
      </c>
      <c r="AY69" s="94">
        <v>46</v>
      </c>
      <c r="AZ69" s="94">
        <v>42</v>
      </c>
      <c r="BA69" s="94">
        <v>49</v>
      </c>
      <c r="BB69" s="94">
        <v>43</v>
      </c>
      <c r="BC69" s="94">
        <v>39</v>
      </c>
      <c r="BD69" s="94">
        <v>56</v>
      </c>
      <c r="BE69" s="94">
        <v>65</v>
      </c>
      <c r="BF69" s="94">
        <v>60</v>
      </c>
      <c r="BG69" s="94">
        <v>56</v>
      </c>
      <c r="BH69" s="94">
        <v>50</v>
      </c>
      <c r="BI69" s="94" t="s">
        <v>126</v>
      </c>
      <c r="BJ69" s="94" t="s">
        <v>126</v>
      </c>
      <c r="BK69" s="94" t="s">
        <v>126</v>
      </c>
      <c r="BL69" s="94" t="s">
        <v>126</v>
      </c>
      <c r="BM69" s="94" t="s">
        <v>126</v>
      </c>
      <c r="BN69" s="94" t="s">
        <v>126</v>
      </c>
      <c r="BO69" s="94" t="s">
        <v>126</v>
      </c>
      <c r="BP69" s="94" t="s">
        <v>126</v>
      </c>
      <c r="BQ69" s="94" t="s">
        <v>126</v>
      </c>
      <c r="BR69" s="94" t="s">
        <v>126</v>
      </c>
      <c r="BS69" s="94" t="s">
        <v>126</v>
      </c>
      <c r="BT69" s="16" t="s">
        <v>126</v>
      </c>
      <c r="BU69" s="16" t="s">
        <v>126</v>
      </c>
      <c r="BV69" s="6" t="s">
        <v>126</v>
      </c>
      <c r="BW69" s="16" t="s">
        <v>126</v>
      </c>
      <c r="BX69" s="16" t="s">
        <v>126</v>
      </c>
      <c r="BY69" s="16" t="s">
        <v>126</v>
      </c>
      <c r="BZ69" s="16" t="s">
        <v>126</v>
      </c>
      <c r="CA69" s="16" t="s">
        <v>126</v>
      </c>
      <c r="CB69" s="16" t="s">
        <v>126</v>
      </c>
      <c r="CC69" s="16" t="s">
        <v>126</v>
      </c>
      <c r="CD69" s="16" t="s">
        <v>126</v>
      </c>
      <c r="CE69" s="16" t="s">
        <v>126</v>
      </c>
      <c r="CF69" s="16" t="s">
        <v>126</v>
      </c>
      <c r="CG69" s="16" t="s">
        <v>126</v>
      </c>
      <c r="CH69" s="16" t="s">
        <v>126</v>
      </c>
      <c r="CI69" s="16" t="s">
        <v>126</v>
      </c>
      <c r="CJ69" s="16" t="s">
        <v>126</v>
      </c>
      <c r="CK69" s="16" t="s">
        <v>126</v>
      </c>
      <c r="CL69" s="16" t="s">
        <v>126</v>
      </c>
      <c r="CM69" s="16" t="s">
        <v>126</v>
      </c>
      <c r="CN69" s="16" t="s">
        <v>126</v>
      </c>
      <c r="CO69" s="16" t="s">
        <v>126</v>
      </c>
      <c r="CP69" s="16" t="s">
        <v>126</v>
      </c>
      <c r="CQ69" s="16" t="s">
        <v>126</v>
      </c>
      <c r="CR69" s="16" t="s">
        <v>126</v>
      </c>
      <c r="CS69" s="16" t="s">
        <v>126</v>
      </c>
      <c r="CT69" s="16" t="s">
        <v>126</v>
      </c>
      <c r="CU69" s="16" t="s">
        <v>126</v>
      </c>
      <c r="CV69" s="16" t="s">
        <v>126</v>
      </c>
      <c r="CW69" s="16" t="s">
        <v>126</v>
      </c>
      <c r="CX69" s="16" t="s">
        <v>126</v>
      </c>
      <c r="CY69" s="16" t="s">
        <v>126</v>
      </c>
      <c r="CZ69" s="16" t="s">
        <v>126</v>
      </c>
      <c r="DA69" s="16" t="s">
        <v>126</v>
      </c>
      <c r="DB69" s="16" t="s">
        <v>126</v>
      </c>
      <c r="DC69" s="16" t="s">
        <v>126</v>
      </c>
      <c r="DD69" s="16" t="s">
        <v>126</v>
      </c>
      <c r="DE69" s="16" t="s">
        <v>126</v>
      </c>
      <c r="DF69" s="16" t="s">
        <v>126</v>
      </c>
      <c r="DG69" s="16" t="s">
        <v>126</v>
      </c>
      <c r="DH69" s="16" t="s">
        <v>126</v>
      </c>
      <c r="DI69" s="16" t="s">
        <v>126</v>
      </c>
      <c r="DJ69" s="16" t="s">
        <v>126</v>
      </c>
      <c r="DK69" s="16" t="s">
        <v>126</v>
      </c>
      <c r="DL69" s="16" t="s">
        <v>126</v>
      </c>
      <c r="DM69" s="16" t="s">
        <v>126</v>
      </c>
      <c r="DN69" s="16" t="s">
        <v>126</v>
      </c>
      <c r="DO69" s="16" t="s">
        <v>126</v>
      </c>
      <c r="DP69" s="16" t="s">
        <v>126</v>
      </c>
      <c r="DQ69" s="16" t="s">
        <v>126</v>
      </c>
      <c r="DR69" s="16" t="s">
        <v>126</v>
      </c>
      <c r="DS69" s="16" t="s">
        <v>126</v>
      </c>
      <c r="DT69" s="16" t="s">
        <v>126</v>
      </c>
      <c r="DU69" s="16" t="s">
        <v>126</v>
      </c>
      <c r="DV69" s="16" t="s">
        <v>126</v>
      </c>
      <c r="DW69" s="16" t="s">
        <v>126</v>
      </c>
      <c r="DX69" s="16" t="s">
        <v>126</v>
      </c>
      <c r="DY69" s="16" t="s">
        <v>126</v>
      </c>
      <c r="DZ69" s="16" t="s">
        <v>126</v>
      </c>
      <c r="EA69" s="16" t="s">
        <v>126</v>
      </c>
      <c r="EB69" s="16" t="s">
        <v>126</v>
      </c>
      <c r="EC69" s="16" t="s">
        <v>126</v>
      </c>
      <c r="ED69" s="16" t="s">
        <v>126</v>
      </c>
      <c r="EE69" s="16" t="s">
        <v>126</v>
      </c>
      <c r="EF69" s="16" t="s">
        <v>126</v>
      </c>
      <c r="EG69" s="16" t="s">
        <v>126</v>
      </c>
      <c r="EH69" s="16" t="s">
        <v>126</v>
      </c>
      <c r="EI69" s="16" t="s">
        <v>126</v>
      </c>
      <c r="EJ69" s="16" t="s">
        <v>126</v>
      </c>
      <c r="EK69" s="16" t="s">
        <v>126</v>
      </c>
      <c r="EL69" s="16" t="s">
        <v>126</v>
      </c>
      <c r="EM69" s="16" t="s">
        <v>126</v>
      </c>
      <c r="EN69" s="16" t="s">
        <v>126</v>
      </c>
      <c r="EO69" s="16" t="s">
        <v>126</v>
      </c>
      <c r="EP69" s="16" t="s">
        <v>126</v>
      </c>
      <c r="EQ69" s="16" t="s">
        <v>126</v>
      </c>
      <c r="ER69" s="16" t="s">
        <v>126</v>
      </c>
      <c r="ES69" s="16" t="s">
        <v>126</v>
      </c>
      <c r="ET69" s="16" t="s">
        <v>126</v>
      </c>
      <c r="EU69" s="16" t="s">
        <v>126</v>
      </c>
      <c r="EV69" s="16" t="s">
        <v>126</v>
      </c>
      <c r="EW69" s="16" t="s">
        <v>126</v>
      </c>
      <c r="EX69" s="16" t="s">
        <v>126</v>
      </c>
      <c r="EY69" s="16" t="s">
        <v>126</v>
      </c>
      <c r="EZ69" s="16" t="s">
        <v>126</v>
      </c>
      <c r="FA69" s="16" t="s">
        <v>126</v>
      </c>
      <c r="FB69" s="16" t="s">
        <v>126</v>
      </c>
      <c r="FC69" s="16" t="s">
        <v>126</v>
      </c>
      <c r="FD69" s="16" t="s">
        <v>126</v>
      </c>
      <c r="FE69" s="16" t="s">
        <v>126</v>
      </c>
      <c r="FF69" s="16" t="s">
        <v>126</v>
      </c>
      <c r="FG69" s="16" t="s">
        <v>126</v>
      </c>
      <c r="FH69" s="16" t="s">
        <v>126</v>
      </c>
      <c r="FI69" s="16" t="s">
        <v>126</v>
      </c>
      <c r="FJ69" s="16" t="s">
        <v>126</v>
      </c>
      <c r="FK69" s="16" t="s">
        <v>126</v>
      </c>
      <c r="FL69" s="16" t="s">
        <v>126</v>
      </c>
      <c r="FM69" s="16" t="s">
        <v>126</v>
      </c>
      <c r="FN69" s="16" t="s">
        <v>126</v>
      </c>
      <c r="FO69" s="16" t="s">
        <v>126</v>
      </c>
      <c r="FP69" s="16" t="s">
        <v>126</v>
      </c>
      <c r="FQ69" s="16" t="s">
        <v>126</v>
      </c>
      <c r="FR69" s="16" t="s">
        <v>126</v>
      </c>
      <c r="FS69" s="16" t="s">
        <v>126</v>
      </c>
      <c r="FT69" s="16" t="s">
        <v>126</v>
      </c>
      <c r="FU69" s="16" t="s">
        <v>126</v>
      </c>
      <c r="FV69" s="16" t="s">
        <v>126</v>
      </c>
      <c r="FW69" s="16" t="s">
        <v>126</v>
      </c>
      <c r="FX69" s="16" t="s">
        <v>126</v>
      </c>
      <c r="FY69" s="16" t="s">
        <v>126</v>
      </c>
      <c r="FZ69" s="16" t="s">
        <v>126</v>
      </c>
      <c r="GA69" s="16" t="s">
        <v>126</v>
      </c>
      <c r="GB69" s="16" t="s">
        <v>126</v>
      </c>
      <c r="GC69" s="16" t="s">
        <v>126</v>
      </c>
      <c r="GD69" s="16" t="s">
        <v>126</v>
      </c>
      <c r="GE69" s="16" t="s">
        <v>126</v>
      </c>
      <c r="GF69" s="16" t="s">
        <v>126</v>
      </c>
      <c r="GG69" s="16" t="s">
        <v>126</v>
      </c>
      <c r="GH69" s="16" t="s">
        <v>126</v>
      </c>
      <c r="GI69" s="16" t="s">
        <v>126</v>
      </c>
      <c r="GJ69" s="16" t="s">
        <v>126</v>
      </c>
      <c r="GK69" s="16" t="s">
        <v>126</v>
      </c>
      <c r="GL69" s="16" t="s">
        <v>126</v>
      </c>
      <c r="GM69" s="16" t="s">
        <v>126</v>
      </c>
      <c r="GN69" s="16" t="s">
        <v>126</v>
      </c>
      <c r="GO69" s="16" t="s">
        <v>126</v>
      </c>
      <c r="GP69" s="16" t="s">
        <v>126</v>
      </c>
      <c r="GQ69" s="16" t="s">
        <v>126</v>
      </c>
      <c r="GR69" s="16" t="s">
        <v>126</v>
      </c>
      <c r="GS69" s="16" t="s">
        <v>126</v>
      </c>
      <c r="GT69" s="16" t="s">
        <v>126</v>
      </c>
      <c r="GU69" s="16" t="s">
        <v>126</v>
      </c>
      <c r="GV69" s="16" t="s">
        <v>126</v>
      </c>
      <c r="GW69" s="16" t="s">
        <v>126</v>
      </c>
      <c r="GX69" s="16" t="s">
        <v>126</v>
      </c>
      <c r="GY69" s="16" t="s">
        <v>126</v>
      </c>
      <c r="GZ69" s="16" t="s">
        <v>126</v>
      </c>
      <c r="HA69" s="16" t="s">
        <v>126</v>
      </c>
      <c r="HB69" s="16" t="s">
        <v>126</v>
      </c>
      <c r="HC69" s="16" t="s">
        <v>126</v>
      </c>
      <c r="HD69" s="16" t="s">
        <v>126</v>
      </c>
      <c r="HE69" s="16" t="s">
        <v>126</v>
      </c>
      <c r="HF69" s="16" t="s">
        <v>126</v>
      </c>
      <c r="HG69" s="16" t="s">
        <v>126</v>
      </c>
      <c r="HH69" s="16" t="s">
        <v>126</v>
      </c>
      <c r="HI69" s="16" t="s">
        <v>126</v>
      </c>
      <c r="HJ69" s="16" t="s">
        <v>126</v>
      </c>
      <c r="HK69" s="16" t="s">
        <v>126</v>
      </c>
      <c r="HL69" s="16" t="s">
        <v>126</v>
      </c>
      <c r="HM69" s="16" t="s">
        <v>126</v>
      </c>
      <c r="HN69" s="16" t="s">
        <v>126</v>
      </c>
      <c r="HO69" s="16" t="s">
        <v>126</v>
      </c>
      <c r="HP69" s="16" t="s">
        <v>126</v>
      </c>
      <c r="HQ69" s="16" t="s">
        <v>126</v>
      </c>
      <c r="HR69" s="16" t="s">
        <v>126</v>
      </c>
      <c r="HS69" s="16" t="s">
        <v>126</v>
      </c>
      <c r="HT69" s="16" t="s">
        <v>126</v>
      </c>
      <c r="HU69" s="16" t="s">
        <v>126</v>
      </c>
      <c r="HV69" s="16" t="s">
        <v>126</v>
      </c>
      <c r="HW69" s="16" t="s">
        <v>126</v>
      </c>
      <c r="HX69" s="16" t="s">
        <v>126</v>
      </c>
      <c r="HY69" s="16" t="s">
        <v>126</v>
      </c>
      <c r="HZ69" s="16" t="s">
        <v>126</v>
      </c>
      <c r="IA69" s="16" t="s">
        <v>126</v>
      </c>
      <c r="IB69" s="16" t="s">
        <v>126</v>
      </c>
      <c r="IC69" s="16" t="s">
        <v>126</v>
      </c>
      <c r="ID69" s="16" t="s">
        <v>126</v>
      </c>
      <c r="IE69" s="16" t="s">
        <v>126</v>
      </c>
      <c r="IF69" s="16" t="s">
        <v>126</v>
      </c>
      <c r="IG69" s="16" t="s">
        <v>126</v>
      </c>
      <c r="IH69" s="16" t="s">
        <v>126</v>
      </c>
      <c r="II69" s="16" t="s">
        <v>126</v>
      </c>
      <c r="IJ69" s="16" t="s">
        <v>126</v>
      </c>
      <c r="IK69" s="16" t="s">
        <v>126</v>
      </c>
      <c r="IL69" s="16" t="s">
        <v>126</v>
      </c>
      <c r="IM69" s="16" t="s">
        <v>126</v>
      </c>
      <c r="IN69" s="16" t="s">
        <v>126</v>
      </c>
      <c r="IO69" s="16" t="s">
        <v>126</v>
      </c>
      <c r="IP69" s="16" t="s">
        <v>126</v>
      </c>
      <c r="IQ69" s="16" t="s">
        <v>126</v>
      </c>
      <c r="IR69" s="16" t="s">
        <v>126</v>
      </c>
      <c r="IS69" s="59">
        <f t="shared" si="2"/>
        <v>0</v>
      </c>
    </row>
    <row r="70" spans="1:253" ht="13.5" customHeight="1">
      <c r="A70" s="97">
        <v>66</v>
      </c>
      <c r="B70" s="92" t="s">
        <v>215</v>
      </c>
      <c r="C70" s="6">
        <v>50</v>
      </c>
      <c r="D70" s="6">
        <v>70</v>
      </c>
      <c r="E70" s="6">
        <v>170</v>
      </c>
      <c r="F70" s="94" t="s">
        <v>126</v>
      </c>
      <c r="G70" s="31" t="s">
        <v>126</v>
      </c>
      <c r="H70" s="31" t="s">
        <v>126</v>
      </c>
      <c r="I70" s="31" t="s">
        <v>126</v>
      </c>
      <c r="J70" s="31" t="s">
        <v>126</v>
      </c>
      <c r="K70" s="31" t="s">
        <v>126</v>
      </c>
      <c r="L70" s="31" t="s">
        <v>126</v>
      </c>
      <c r="M70" s="31" t="s">
        <v>126</v>
      </c>
      <c r="N70" s="31" t="s">
        <v>126</v>
      </c>
      <c r="O70" s="31" t="s">
        <v>126</v>
      </c>
      <c r="P70" s="31" t="s">
        <v>126</v>
      </c>
      <c r="Q70" s="31" t="s">
        <v>126</v>
      </c>
      <c r="R70" s="31" t="s">
        <v>126</v>
      </c>
      <c r="S70" s="31" t="s">
        <v>126</v>
      </c>
      <c r="T70" s="31" t="s">
        <v>126</v>
      </c>
      <c r="U70" s="31" t="s">
        <v>126</v>
      </c>
      <c r="V70" s="31" t="s">
        <v>126</v>
      </c>
      <c r="W70" s="94" t="s">
        <v>126</v>
      </c>
      <c r="X70" s="94" t="s">
        <v>126</v>
      </c>
      <c r="Y70" s="94" t="s">
        <v>126</v>
      </c>
      <c r="Z70" s="94" t="s">
        <v>126</v>
      </c>
      <c r="AA70" s="94" t="s">
        <v>126</v>
      </c>
      <c r="AB70" s="94" t="s">
        <v>126</v>
      </c>
      <c r="AC70" s="94" t="s">
        <v>126</v>
      </c>
      <c r="AD70" s="16" t="s">
        <v>126</v>
      </c>
      <c r="AE70" s="16" t="s">
        <v>126</v>
      </c>
      <c r="AF70" s="16" t="s">
        <v>126</v>
      </c>
      <c r="AG70" s="16" t="s">
        <v>126</v>
      </c>
      <c r="AH70" s="16" t="s">
        <v>126</v>
      </c>
      <c r="AI70" s="94" t="s">
        <v>126</v>
      </c>
      <c r="AJ70" s="94" t="s">
        <v>126</v>
      </c>
      <c r="AK70" s="94" t="s">
        <v>126</v>
      </c>
      <c r="AL70" s="94" t="s">
        <v>126</v>
      </c>
      <c r="AM70" s="94" t="s">
        <v>126</v>
      </c>
      <c r="AN70" s="94" t="s">
        <v>126</v>
      </c>
      <c r="AO70" s="94" t="s">
        <v>126</v>
      </c>
      <c r="AP70" s="94" t="s">
        <v>126</v>
      </c>
      <c r="AQ70" s="94" t="s">
        <v>126</v>
      </c>
      <c r="AR70" s="95"/>
      <c r="AS70" s="94" t="s">
        <v>126</v>
      </c>
      <c r="AT70" s="94" t="s">
        <v>126</v>
      </c>
      <c r="AU70" s="95"/>
      <c r="AV70" s="94" t="s">
        <v>126</v>
      </c>
      <c r="AW70" s="94" t="s">
        <v>126</v>
      </c>
      <c r="AX70" s="94" t="s">
        <v>126</v>
      </c>
      <c r="AY70" s="94" t="s">
        <v>126</v>
      </c>
      <c r="AZ70" s="94" t="s">
        <v>126</v>
      </c>
      <c r="BA70" s="94" t="s">
        <v>126</v>
      </c>
      <c r="BB70" s="94" t="s">
        <v>126</v>
      </c>
      <c r="BC70" s="94" t="s">
        <v>126</v>
      </c>
      <c r="BD70" s="94" t="s">
        <v>126</v>
      </c>
      <c r="BE70" s="94" t="s">
        <v>126</v>
      </c>
      <c r="BF70" s="94" t="s">
        <v>126</v>
      </c>
      <c r="BG70" s="94" t="s">
        <v>126</v>
      </c>
      <c r="BH70" s="94" t="s">
        <v>126</v>
      </c>
      <c r="BI70" s="94" t="s">
        <v>126</v>
      </c>
      <c r="BJ70" s="94" t="s">
        <v>126</v>
      </c>
      <c r="BK70" s="94" t="s">
        <v>126</v>
      </c>
      <c r="BL70" s="94" t="s">
        <v>126</v>
      </c>
      <c r="BM70" s="94" t="s">
        <v>126</v>
      </c>
      <c r="BN70" s="94" t="s">
        <v>126</v>
      </c>
      <c r="BO70" s="94" t="s">
        <v>126</v>
      </c>
      <c r="BP70" s="94" t="s">
        <v>126</v>
      </c>
      <c r="BQ70" s="94" t="s">
        <v>126</v>
      </c>
      <c r="BR70" s="94" t="s">
        <v>126</v>
      </c>
      <c r="BS70" s="94" t="s">
        <v>126</v>
      </c>
      <c r="BT70" s="16" t="s">
        <v>126</v>
      </c>
      <c r="BU70" s="16">
        <v>89</v>
      </c>
      <c r="BV70" s="6" t="s">
        <v>126</v>
      </c>
      <c r="BW70" s="16" t="s">
        <v>126</v>
      </c>
      <c r="BX70" s="16" t="s">
        <v>126</v>
      </c>
      <c r="BY70" s="16" t="s">
        <v>126</v>
      </c>
      <c r="BZ70" s="16" t="s">
        <v>126</v>
      </c>
      <c r="CA70" s="16" t="s">
        <v>126</v>
      </c>
      <c r="CB70" s="16" t="s">
        <v>126</v>
      </c>
      <c r="CC70" s="16" t="s">
        <v>126</v>
      </c>
      <c r="CD70" s="16" t="s">
        <v>126</v>
      </c>
      <c r="CE70" s="16" t="s">
        <v>126</v>
      </c>
      <c r="CF70" s="16" t="s">
        <v>126</v>
      </c>
      <c r="CG70" s="16" t="s">
        <v>126</v>
      </c>
      <c r="CH70" s="16" t="s">
        <v>126</v>
      </c>
      <c r="CI70" s="16" t="s">
        <v>126</v>
      </c>
      <c r="CJ70" s="16" t="s">
        <v>126</v>
      </c>
      <c r="CK70" s="16" t="s">
        <v>126</v>
      </c>
      <c r="CL70" s="16" t="s">
        <v>126</v>
      </c>
      <c r="CM70" s="16" t="s">
        <v>126</v>
      </c>
      <c r="CN70" s="16" t="s">
        <v>126</v>
      </c>
      <c r="CO70" s="16" t="s">
        <v>126</v>
      </c>
      <c r="CP70" s="16" t="s">
        <v>126</v>
      </c>
      <c r="CQ70" s="16" t="s">
        <v>126</v>
      </c>
      <c r="CR70" s="16" t="s">
        <v>126</v>
      </c>
      <c r="CS70" s="16" t="s">
        <v>126</v>
      </c>
      <c r="CT70" s="16" t="s">
        <v>126</v>
      </c>
      <c r="CU70" s="16" t="s">
        <v>126</v>
      </c>
      <c r="CV70" s="16" t="s">
        <v>126</v>
      </c>
      <c r="CW70" s="16" t="s">
        <v>126</v>
      </c>
      <c r="CX70" s="16" t="s">
        <v>126</v>
      </c>
      <c r="CY70" s="16" t="s">
        <v>126</v>
      </c>
      <c r="CZ70" s="16" t="s">
        <v>126</v>
      </c>
      <c r="DA70" s="16" t="s">
        <v>126</v>
      </c>
      <c r="DB70" s="16" t="s">
        <v>126</v>
      </c>
      <c r="DC70" s="16" t="s">
        <v>126</v>
      </c>
      <c r="DD70" s="16" t="s">
        <v>126</v>
      </c>
      <c r="DE70" s="16" t="s">
        <v>126</v>
      </c>
      <c r="DF70" s="16" t="s">
        <v>126</v>
      </c>
      <c r="DG70" s="16" t="s">
        <v>126</v>
      </c>
      <c r="DH70" s="16" t="s">
        <v>126</v>
      </c>
      <c r="DI70" s="16" t="s">
        <v>126</v>
      </c>
      <c r="DJ70" s="16" t="s">
        <v>126</v>
      </c>
      <c r="DK70" s="16" t="s">
        <v>126</v>
      </c>
      <c r="DL70" s="16" t="s">
        <v>126</v>
      </c>
      <c r="DM70" s="16" t="s">
        <v>126</v>
      </c>
      <c r="DN70" s="16" t="s">
        <v>126</v>
      </c>
      <c r="DO70" s="16" t="s">
        <v>126</v>
      </c>
      <c r="DP70" s="16" t="s">
        <v>126</v>
      </c>
      <c r="DQ70" s="16" t="s">
        <v>126</v>
      </c>
      <c r="DR70" s="16" t="s">
        <v>126</v>
      </c>
      <c r="DS70" s="16" t="s">
        <v>126</v>
      </c>
      <c r="DT70" s="16" t="s">
        <v>126</v>
      </c>
      <c r="DU70" s="16" t="s">
        <v>126</v>
      </c>
      <c r="DV70" s="16" t="s">
        <v>126</v>
      </c>
      <c r="DW70" s="16" t="s">
        <v>126</v>
      </c>
      <c r="DX70" s="16" t="s">
        <v>126</v>
      </c>
      <c r="DY70" s="16" t="s">
        <v>126</v>
      </c>
      <c r="DZ70" s="16" t="s">
        <v>126</v>
      </c>
      <c r="EA70" s="16" t="s">
        <v>126</v>
      </c>
      <c r="EB70" s="16" t="s">
        <v>126</v>
      </c>
      <c r="EC70" s="16" t="s">
        <v>126</v>
      </c>
      <c r="ED70" s="16" t="s">
        <v>126</v>
      </c>
      <c r="EE70" s="16" t="s">
        <v>126</v>
      </c>
      <c r="EF70" s="16" t="s">
        <v>126</v>
      </c>
      <c r="EG70" s="16" t="s">
        <v>126</v>
      </c>
      <c r="EH70" s="16" t="s">
        <v>126</v>
      </c>
      <c r="EI70" s="16" t="s">
        <v>126</v>
      </c>
      <c r="EJ70" s="16" t="s">
        <v>126</v>
      </c>
      <c r="EK70" s="16" t="s">
        <v>126</v>
      </c>
      <c r="EL70" s="16" t="s">
        <v>126</v>
      </c>
      <c r="EM70" s="16" t="s">
        <v>126</v>
      </c>
      <c r="EN70" s="16" t="s">
        <v>126</v>
      </c>
      <c r="EO70" s="16" t="s">
        <v>126</v>
      </c>
      <c r="EP70" s="16" t="s">
        <v>126</v>
      </c>
      <c r="EQ70" s="16" t="s">
        <v>126</v>
      </c>
      <c r="ER70" s="16" t="s">
        <v>126</v>
      </c>
      <c r="ES70" s="16" t="s">
        <v>126</v>
      </c>
      <c r="ET70" s="16" t="s">
        <v>126</v>
      </c>
      <c r="EU70" s="16" t="s">
        <v>126</v>
      </c>
      <c r="EV70" s="16" t="s">
        <v>126</v>
      </c>
      <c r="EW70" s="16" t="s">
        <v>126</v>
      </c>
      <c r="EX70" s="16" t="s">
        <v>126</v>
      </c>
      <c r="EY70" s="16" t="s">
        <v>126</v>
      </c>
      <c r="EZ70" s="16" t="s">
        <v>126</v>
      </c>
      <c r="FA70" s="16" t="s">
        <v>126</v>
      </c>
      <c r="FB70" s="16" t="s">
        <v>126</v>
      </c>
      <c r="FC70" s="16" t="s">
        <v>126</v>
      </c>
      <c r="FD70" s="16" t="s">
        <v>126</v>
      </c>
      <c r="FE70" s="16" t="s">
        <v>126</v>
      </c>
      <c r="FF70" s="16" t="s">
        <v>126</v>
      </c>
      <c r="FG70" s="16" t="s">
        <v>126</v>
      </c>
      <c r="FH70" s="16" t="s">
        <v>126</v>
      </c>
      <c r="FI70" s="16" t="s">
        <v>126</v>
      </c>
      <c r="FJ70" s="16" t="s">
        <v>126</v>
      </c>
      <c r="FK70" s="16" t="s">
        <v>126</v>
      </c>
      <c r="FL70" s="16" t="s">
        <v>126</v>
      </c>
      <c r="FM70" s="16" t="s">
        <v>126</v>
      </c>
      <c r="FN70" s="16" t="s">
        <v>126</v>
      </c>
      <c r="FO70" s="16" t="s">
        <v>126</v>
      </c>
      <c r="FP70" s="16" t="s">
        <v>126</v>
      </c>
      <c r="FQ70" s="16" t="s">
        <v>126</v>
      </c>
      <c r="FR70" s="16" t="s">
        <v>126</v>
      </c>
      <c r="FS70" s="16" t="s">
        <v>126</v>
      </c>
      <c r="FT70" s="16" t="s">
        <v>126</v>
      </c>
      <c r="FU70" s="16" t="s">
        <v>126</v>
      </c>
      <c r="FV70" s="16" t="s">
        <v>126</v>
      </c>
      <c r="FW70" s="16" t="s">
        <v>126</v>
      </c>
      <c r="FX70" s="16" t="s">
        <v>126</v>
      </c>
      <c r="FY70" s="16" t="s">
        <v>126</v>
      </c>
      <c r="FZ70" s="16" t="s">
        <v>126</v>
      </c>
      <c r="GA70" s="16" t="s">
        <v>126</v>
      </c>
      <c r="GB70" s="16" t="s">
        <v>126</v>
      </c>
      <c r="GC70" s="16" t="s">
        <v>126</v>
      </c>
      <c r="GD70" s="16" t="s">
        <v>126</v>
      </c>
      <c r="GE70" s="16" t="s">
        <v>126</v>
      </c>
      <c r="GF70" s="16" t="s">
        <v>126</v>
      </c>
      <c r="GG70" s="16" t="s">
        <v>126</v>
      </c>
      <c r="GH70" s="16" t="s">
        <v>126</v>
      </c>
      <c r="GI70" s="16" t="s">
        <v>126</v>
      </c>
      <c r="GJ70" s="16" t="s">
        <v>126</v>
      </c>
      <c r="GK70" s="16" t="s">
        <v>126</v>
      </c>
      <c r="GL70" s="16" t="s">
        <v>126</v>
      </c>
      <c r="GM70" s="16" t="s">
        <v>126</v>
      </c>
      <c r="GN70" s="16" t="s">
        <v>126</v>
      </c>
      <c r="GO70" s="16" t="s">
        <v>126</v>
      </c>
      <c r="GP70" s="16" t="s">
        <v>126</v>
      </c>
      <c r="GQ70" s="16" t="s">
        <v>126</v>
      </c>
      <c r="GR70" s="16" t="s">
        <v>126</v>
      </c>
      <c r="GS70" s="16" t="s">
        <v>126</v>
      </c>
      <c r="GT70" s="16" t="s">
        <v>126</v>
      </c>
      <c r="GU70" s="16" t="s">
        <v>126</v>
      </c>
      <c r="GV70" s="16" t="s">
        <v>126</v>
      </c>
      <c r="GW70" s="16" t="s">
        <v>126</v>
      </c>
      <c r="GX70" s="16" t="s">
        <v>126</v>
      </c>
      <c r="GY70" s="16" t="s">
        <v>126</v>
      </c>
      <c r="GZ70" s="16" t="s">
        <v>126</v>
      </c>
      <c r="HA70" s="16" t="s">
        <v>126</v>
      </c>
      <c r="HB70" s="16" t="s">
        <v>126</v>
      </c>
      <c r="HC70" s="16" t="s">
        <v>126</v>
      </c>
      <c r="HD70" s="16" t="s">
        <v>126</v>
      </c>
      <c r="HE70" s="16" t="s">
        <v>126</v>
      </c>
      <c r="HF70" s="16" t="s">
        <v>126</v>
      </c>
      <c r="HG70" s="16" t="s">
        <v>126</v>
      </c>
      <c r="HH70" s="16" t="s">
        <v>126</v>
      </c>
      <c r="HI70" s="16" t="s">
        <v>126</v>
      </c>
      <c r="HJ70" s="16" t="s">
        <v>126</v>
      </c>
      <c r="HK70" s="16" t="s">
        <v>126</v>
      </c>
      <c r="HL70" s="16" t="s">
        <v>126</v>
      </c>
      <c r="HM70" s="16" t="s">
        <v>126</v>
      </c>
      <c r="HN70" s="16" t="s">
        <v>126</v>
      </c>
      <c r="HO70" s="16" t="s">
        <v>126</v>
      </c>
      <c r="HP70" s="16" t="s">
        <v>126</v>
      </c>
      <c r="HQ70" s="16" t="s">
        <v>126</v>
      </c>
      <c r="HR70" s="16" t="s">
        <v>126</v>
      </c>
      <c r="HS70" s="16" t="s">
        <v>126</v>
      </c>
      <c r="HT70" s="16" t="s">
        <v>126</v>
      </c>
      <c r="HU70" s="16" t="s">
        <v>126</v>
      </c>
      <c r="HV70" s="16" t="s">
        <v>126</v>
      </c>
      <c r="HW70" s="16" t="s">
        <v>126</v>
      </c>
      <c r="HX70" s="16" t="s">
        <v>126</v>
      </c>
      <c r="HY70" s="16" t="s">
        <v>126</v>
      </c>
      <c r="HZ70" s="16" t="s">
        <v>126</v>
      </c>
      <c r="IA70" s="16" t="s">
        <v>126</v>
      </c>
      <c r="IB70" s="16" t="s">
        <v>126</v>
      </c>
      <c r="IC70" s="16" t="s">
        <v>126</v>
      </c>
      <c r="ID70" s="16" t="s">
        <v>126</v>
      </c>
      <c r="IE70" s="16" t="s">
        <v>126</v>
      </c>
      <c r="IF70" s="16" t="s">
        <v>126</v>
      </c>
      <c r="IG70" s="16" t="s">
        <v>126</v>
      </c>
      <c r="IH70" s="16" t="s">
        <v>126</v>
      </c>
      <c r="II70" s="16" t="s">
        <v>126</v>
      </c>
      <c r="IJ70" s="16" t="s">
        <v>126</v>
      </c>
      <c r="IK70" s="16" t="s">
        <v>126</v>
      </c>
      <c r="IL70" s="16" t="s">
        <v>126</v>
      </c>
      <c r="IM70" s="16" t="s">
        <v>126</v>
      </c>
      <c r="IN70" s="16" t="s">
        <v>126</v>
      </c>
      <c r="IO70" s="16" t="s">
        <v>126</v>
      </c>
      <c r="IP70" s="16" t="s">
        <v>126</v>
      </c>
      <c r="IQ70" s="16" t="s">
        <v>126</v>
      </c>
      <c r="IR70" s="16" t="s">
        <v>126</v>
      </c>
      <c r="IS70" s="59">
        <f t="shared" si="2"/>
        <v>0</v>
      </c>
    </row>
    <row r="71" spans="1:253" ht="13.5" customHeight="1">
      <c r="A71" s="97">
        <v>67</v>
      </c>
      <c r="B71" s="77" t="s">
        <v>216</v>
      </c>
      <c r="C71" s="6">
        <v>110</v>
      </c>
      <c r="D71" s="6">
        <v>110</v>
      </c>
      <c r="E71" s="6">
        <v>140</v>
      </c>
      <c r="F71" s="94" t="s">
        <v>126</v>
      </c>
      <c r="G71" s="31" t="s">
        <v>126</v>
      </c>
      <c r="H71" s="31" t="s">
        <v>126</v>
      </c>
      <c r="I71" s="31" t="s">
        <v>126</v>
      </c>
      <c r="J71" s="31" t="s">
        <v>126</v>
      </c>
      <c r="K71" s="31" t="s">
        <v>126</v>
      </c>
      <c r="L71" s="31" t="s">
        <v>126</v>
      </c>
      <c r="M71" s="31" t="s">
        <v>126</v>
      </c>
      <c r="N71" s="31" t="s">
        <v>126</v>
      </c>
      <c r="O71" s="31" t="s">
        <v>126</v>
      </c>
      <c r="P71" s="31" t="s">
        <v>126</v>
      </c>
      <c r="Q71" s="31" t="s">
        <v>126</v>
      </c>
      <c r="R71" s="31" t="s">
        <v>126</v>
      </c>
      <c r="S71" s="31" t="s">
        <v>126</v>
      </c>
      <c r="T71" s="31" t="s">
        <v>126</v>
      </c>
      <c r="U71" s="31" t="s">
        <v>126</v>
      </c>
      <c r="V71" s="31" t="s">
        <v>126</v>
      </c>
      <c r="W71" s="94" t="s">
        <v>126</v>
      </c>
      <c r="X71" s="94" t="s">
        <v>126</v>
      </c>
      <c r="Y71" s="94" t="s">
        <v>126</v>
      </c>
      <c r="Z71" s="94" t="s">
        <v>126</v>
      </c>
      <c r="AA71" s="94" t="s">
        <v>126</v>
      </c>
      <c r="AB71" s="94" t="s">
        <v>126</v>
      </c>
      <c r="AC71" s="94" t="s">
        <v>126</v>
      </c>
      <c r="AD71" s="16" t="s">
        <v>126</v>
      </c>
      <c r="AE71" s="16" t="s">
        <v>126</v>
      </c>
      <c r="AF71" s="16" t="s">
        <v>126</v>
      </c>
      <c r="AG71" s="16" t="s">
        <v>126</v>
      </c>
      <c r="AH71" s="16" t="s">
        <v>126</v>
      </c>
      <c r="AI71" s="94" t="s">
        <v>126</v>
      </c>
      <c r="AJ71" s="94" t="s">
        <v>126</v>
      </c>
      <c r="AK71" s="94" t="s">
        <v>126</v>
      </c>
      <c r="AL71" s="94" t="s">
        <v>126</v>
      </c>
      <c r="AM71" s="94" t="s">
        <v>126</v>
      </c>
      <c r="AN71" s="94" t="s">
        <v>126</v>
      </c>
      <c r="AO71" s="94" t="s">
        <v>126</v>
      </c>
      <c r="AP71" s="94" t="s">
        <v>126</v>
      </c>
      <c r="AQ71" s="94" t="s">
        <v>126</v>
      </c>
      <c r="AR71" s="95"/>
      <c r="AS71" s="94" t="s">
        <v>126</v>
      </c>
      <c r="AT71" s="94" t="s">
        <v>126</v>
      </c>
      <c r="AU71" s="95"/>
      <c r="AV71" s="94" t="s">
        <v>126</v>
      </c>
      <c r="AW71" s="94" t="s">
        <v>126</v>
      </c>
      <c r="AX71" s="94" t="s">
        <v>126</v>
      </c>
      <c r="AY71" s="94" t="s">
        <v>126</v>
      </c>
      <c r="AZ71" s="94" t="s">
        <v>126</v>
      </c>
      <c r="BA71" s="94" t="s">
        <v>126</v>
      </c>
      <c r="BB71" s="94" t="s">
        <v>126</v>
      </c>
      <c r="BC71" s="94" t="s">
        <v>126</v>
      </c>
      <c r="BD71" s="94" t="s">
        <v>126</v>
      </c>
      <c r="BE71" s="94" t="s">
        <v>126</v>
      </c>
      <c r="BF71" s="94" t="s">
        <v>126</v>
      </c>
      <c r="BG71" s="94" t="s">
        <v>126</v>
      </c>
      <c r="BH71" s="94" t="s">
        <v>126</v>
      </c>
      <c r="BI71" s="94" t="s">
        <v>126</v>
      </c>
      <c r="BJ71" s="94" t="s">
        <v>126</v>
      </c>
      <c r="BK71" s="94" t="s">
        <v>126</v>
      </c>
      <c r="BL71" s="94" t="s">
        <v>126</v>
      </c>
      <c r="BM71" s="94" t="s">
        <v>126</v>
      </c>
      <c r="BN71" s="94" t="s">
        <v>126</v>
      </c>
      <c r="BO71" s="94" t="s">
        <v>126</v>
      </c>
      <c r="BP71" s="94" t="s">
        <v>126</v>
      </c>
      <c r="BQ71" s="94" t="s">
        <v>126</v>
      </c>
      <c r="BR71" s="94" t="s">
        <v>126</v>
      </c>
      <c r="BS71" s="94" t="s">
        <v>126</v>
      </c>
      <c r="BT71" s="16" t="s">
        <v>126</v>
      </c>
      <c r="BU71" s="16" t="s">
        <v>126</v>
      </c>
      <c r="BV71" s="6" t="s">
        <v>126</v>
      </c>
      <c r="BW71" s="16" t="s">
        <v>126</v>
      </c>
      <c r="BX71" s="16" t="s">
        <v>126</v>
      </c>
      <c r="BY71" s="16" t="s">
        <v>126</v>
      </c>
      <c r="BZ71" s="16" t="s">
        <v>126</v>
      </c>
      <c r="CA71" s="16" t="s">
        <v>126</v>
      </c>
      <c r="CB71" s="16" t="s">
        <v>126</v>
      </c>
      <c r="CC71" s="16" t="s">
        <v>126</v>
      </c>
      <c r="CD71" s="16" t="s">
        <v>126</v>
      </c>
      <c r="CE71" s="16" t="s">
        <v>126</v>
      </c>
      <c r="CF71" s="16" t="s">
        <v>126</v>
      </c>
      <c r="CG71" s="16" t="s">
        <v>126</v>
      </c>
      <c r="CH71" s="16" t="s">
        <v>126</v>
      </c>
      <c r="CI71" s="16" t="s">
        <v>126</v>
      </c>
      <c r="CJ71" s="16" t="s">
        <v>126</v>
      </c>
      <c r="CK71" s="16" t="s">
        <v>126</v>
      </c>
      <c r="CL71" s="16" t="s">
        <v>126</v>
      </c>
      <c r="CM71" s="16" t="s">
        <v>126</v>
      </c>
      <c r="CN71" s="16" t="s">
        <v>126</v>
      </c>
      <c r="CO71" s="16" t="s">
        <v>126</v>
      </c>
      <c r="CP71" s="16" t="s">
        <v>126</v>
      </c>
      <c r="CQ71" s="16" t="s">
        <v>126</v>
      </c>
      <c r="CR71" s="16" t="s">
        <v>126</v>
      </c>
      <c r="CS71" s="16" t="s">
        <v>126</v>
      </c>
      <c r="CT71" s="16" t="s">
        <v>126</v>
      </c>
      <c r="CU71" s="16" t="s">
        <v>126</v>
      </c>
      <c r="CV71" s="16" t="s">
        <v>126</v>
      </c>
      <c r="CW71" s="16" t="s">
        <v>126</v>
      </c>
      <c r="CX71" s="16" t="s">
        <v>126</v>
      </c>
      <c r="CY71" s="16" t="s">
        <v>126</v>
      </c>
      <c r="CZ71" s="16" t="s">
        <v>126</v>
      </c>
      <c r="DA71" s="16" t="s">
        <v>126</v>
      </c>
      <c r="DB71" s="16" t="s">
        <v>126</v>
      </c>
      <c r="DC71" s="16" t="s">
        <v>126</v>
      </c>
      <c r="DD71" s="16" t="s">
        <v>126</v>
      </c>
      <c r="DE71" s="16" t="s">
        <v>126</v>
      </c>
      <c r="DF71" s="16" t="s">
        <v>126</v>
      </c>
      <c r="DG71" s="16" t="s">
        <v>126</v>
      </c>
      <c r="DH71" s="16" t="s">
        <v>126</v>
      </c>
      <c r="DI71" s="16" t="s">
        <v>126</v>
      </c>
      <c r="DJ71" s="16" t="s">
        <v>126</v>
      </c>
      <c r="DK71" s="16" t="s">
        <v>126</v>
      </c>
      <c r="DL71" s="16" t="s">
        <v>126</v>
      </c>
      <c r="DM71" s="16" t="s">
        <v>126</v>
      </c>
      <c r="DN71" s="16" t="s">
        <v>126</v>
      </c>
      <c r="DO71" s="16" t="s">
        <v>126</v>
      </c>
      <c r="DP71" s="16" t="s">
        <v>126</v>
      </c>
      <c r="DQ71" s="16" t="s">
        <v>126</v>
      </c>
      <c r="DR71" s="16" t="s">
        <v>126</v>
      </c>
      <c r="DS71" s="16" t="s">
        <v>126</v>
      </c>
      <c r="DT71" s="16" t="s">
        <v>126</v>
      </c>
      <c r="DU71" s="16" t="s">
        <v>126</v>
      </c>
      <c r="DV71" s="16" t="s">
        <v>126</v>
      </c>
      <c r="DW71" s="16" t="s">
        <v>126</v>
      </c>
      <c r="DX71" s="16" t="s">
        <v>126</v>
      </c>
      <c r="DY71" s="16" t="s">
        <v>126</v>
      </c>
      <c r="DZ71" s="16" t="s">
        <v>126</v>
      </c>
      <c r="EA71" s="16" t="s">
        <v>126</v>
      </c>
      <c r="EB71" s="16" t="s">
        <v>126</v>
      </c>
      <c r="EC71" s="16" t="s">
        <v>126</v>
      </c>
      <c r="ED71" s="16" t="s">
        <v>126</v>
      </c>
      <c r="EE71" s="16" t="s">
        <v>126</v>
      </c>
      <c r="EF71" s="16" t="s">
        <v>126</v>
      </c>
      <c r="EG71" s="16" t="s">
        <v>126</v>
      </c>
      <c r="EH71" s="16" t="s">
        <v>126</v>
      </c>
      <c r="EI71" s="16" t="s">
        <v>126</v>
      </c>
      <c r="EJ71" s="16" t="s">
        <v>126</v>
      </c>
      <c r="EK71" s="16" t="s">
        <v>126</v>
      </c>
      <c r="EL71" s="16" t="s">
        <v>126</v>
      </c>
      <c r="EM71" s="16" t="s">
        <v>126</v>
      </c>
      <c r="EN71" s="16" t="s">
        <v>126</v>
      </c>
      <c r="EO71" s="16" t="s">
        <v>126</v>
      </c>
      <c r="EP71" s="16" t="s">
        <v>126</v>
      </c>
      <c r="EQ71" s="16" t="s">
        <v>126</v>
      </c>
      <c r="ER71" s="16" t="s">
        <v>126</v>
      </c>
      <c r="ES71" s="16" t="s">
        <v>126</v>
      </c>
      <c r="ET71" s="16" t="s">
        <v>126</v>
      </c>
      <c r="EU71" s="16" t="s">
        <v>126</v>
      </c>
      <c r="EV71" s="16" t="s">
        <v>126</v>
      </c>
      <c r="EW71" s="16" t="s">
        <v>126</v>
      </c>
      <c r="EX71" s="16" t="s">
        <v>126</v>
      </c>
      <c r="EY71" s="16" t="s">
        <v>126</v>
      </c>
      <c r="EZ71" s="16" t="s">
        <v>126</v>
      </c>
      <c r="FA71" s="16" t="s">
        <v>126</v>
      </c>
      <c r="FB71" s="16" t="s">
        <v>126</v>
      </c>
      <c r="FC71" s="16" t="s">
        <v>126</v>
      </c>
      <c r="FD71" s="16" t="s">
        <v>126</v>
      </c>
      <c r="FE71" s="16" t="s">
        <v>126</v>
      </c>
      <c r="FF71" s="16" t="s">
        <v>126</v>
      </c>
      <c r="FG71" s="16" t="s">
        <v>126</v>
      </c>
      <c r="FH71" s="16" t="s">
        <v>126</v>
      </c>
      <c r="FI71" s="16" t="s">
        <v>126</v>
      </c>
      <c r="FJ71" s="16" t="s">
        <v>126</v>
      </c>
      <c r="FK71" s="16" t="s">
        <v>126</v>
      </c>
      <c r="FL71" s="16" t="s">
        <v>126</v>
      </c>
      <c r="FM71" s="16" t="s">
        <v>126</v>
      </c>
      <c r="FN71" s="16" t="s">
        <v>126</v>
      </c>
      <c r="FO71" s="16" t="s">
        <v>126</v>
      </c>
      <c r="FP71" s="16" t="s">
        <v>126</v>
      </c>
      <c r="FQ71" s="16" t="s">
        <v>126</v>
      </c>
      <c r="FR71" s="16" t="s">
        <v>126</v>
      </c>
      <c r="FS71" s="16" t="s">
        <v>126</v>
      </c>
      <c r="FT71" s="16" t="s">
        <v>126</v>
      </c>
      <c r="FU71" s="16" t="s">
        <v>126</v>
      </c>
      <c r="FV71" s="16" t="s">
        <v>126</v>
      </c>
      <c r="FW71" s="16" t="s">
        <v>126</v>
      </c>
      <c r="FX71" s="16" t="s">
        <v>126</v>
      </c>
      <c r="FY71" s="16" t="s">
        <v>126</v>
      </c>
      <c r="FZ71" s="16" t="s">
        <v>126</v>
      </c>
      <c r="GA71" s="16" t="s">
        <v>126</v>
      </c>
      <c r="GB71" s="16" t="s">
        <v>126</v>
      </c>
      <c r="GC71" s="16" t="s">
        <v>126</v>
      </c>
      <c r="GD71" s="16" t="s">
        <v>126</v>
      </c>
      <c r="GE71" s="16" t="s">
        <v>126</v>
      </c>
      <c r="GF71" s="16" t="s">
        <v>126</v>
      </c>
      <c r="GG71" s="16" t="s">
        <v>126</v>
      </c>
      <c r="GH71" s="16" t="s">
        <v>126</v>
      </c>
      <c r="GI71" s="16" t="s">
        <v>126</v>
      </c>
      <c r="GJ71" s="16" t="s">
        <v>126</v>
      </c>
      <c r="GK71" s="16" t="s">
        <v>126</v>
      </c>
      <c r="GL71" s="16" t="s">
        <v>126</v>
      </c>
      <c r="GM71" s="16" t="s">
        <v>126</v>
      </c>
      <c r="GN71" s="16" t="s">
        <v>126</v>
      </c>
      <c r="GO71" s="16" t="s">
        <v>126</v>
      </c>
      <c r="GP71" s="16" t="s">
        <v>126</v>
      </c>
      <c r="GQ71" s="16" t="s">
        <v>126</v>
      </c>
      <c r="GR71" s="16" t="s">
        <v>126</v>
      </c>
      <c r="GS71" s="16" t="s">
        <v>126</v>
      </c>
      <c r="GT71" s="16" t="s">
        <v>126</v>
      </c>
      <c r="GU71" s="16" t="s">
        <v>126</v>
      </c>
      <c r="GV71" s="16" t="s">
        <v>126</v>
      </c>
      <c r="GW71" s="16" t="s">
        <v>126</v>
      </c>
      <c r="GX71" s="16" t="s">
        <v>126</v>
      </c>
      <c r="GY71" s="16" t="s">
        <v>126</v>
      </c>
      <c r="GZ71" s="16" t="s">
        <v>126</v>
      </c>
      <c r="HA71" s="16" t="s">
        <v>126</v>
      </c>
      <c r="HB71" s="16" t="s">
        <v>126</v>
      </c>
      <c r="HC71" s="16" t="s">
        <v>126</v>
      </c>
      <c r="HD71" s="16" t="s">
        <v>126</v>
      </c>
      <c r="HE71" s="16" t="s">
        <v>126</v>
      </c>
      <c r="HF71" s="16" t="s">
        <v>126</v>
      </c>
      <c r="HG71" s="16" t="s">
        <v>126</v>
      </c>
      <c r="HH71" s="16" t="s">
        <v>126</v>
      </c>
      <c r="HI71" s="16" t="s">
        <v>126</v>
      </c>
      <c r="HJ71" s="16" t="s">
        <v>126</v>
      </c>
      <c r="HK71" s="16" t="s">
        <v>126</v>
      </c>
      <c r="HL71" s="16" t="s">
        <v>126</v>
      </c>
      <c r="HM71" s="16" t="s">
        <v>126</v>
      </c>
      <c r="HN71" s="16" t="s">
        <v>126</v>
      </c>
      <c r="HO71" s="16" t="s">
        <v>126</v>
      </c>
      <c r="HP71" s="16" t="s">
        <v>126</v>
      </c>
      <c r="HQ71" s="16" t="s">
        <v>126</v>
      </c>
      <c r="HR71" s="16" t="s">
        <v>126</v>
      </c>
      <c r="HS71" s="16" t="s">
        <v>126</v>
      </c>
      <c r="HT71" s="16" t="s">
        <v>126</v>
      </c>
      <c r="HU71" s="16" t="s">
        <v>126</v>
      </c>
      <c r="HV71" s="16" t="s">
        <v>126</v>
      </c>
      <c r="HW71" s="16" t="s">
        <v>126</v>
      </c>
      <c r="HX71" s="16" t="s">
        <v>126</v>
      </c>
      <c r="HY71" s="16" t="s">
        <v>126</v>
      </c>
      <c r="HZ71" s="16" t="s">
        <v>126</v>
      </c>
      <c r="IA71" s="16" t="s">
        <v>126</v>
      </c>
      <c r="IB71" s="16" t="s">
        <v>126</v>
      </c>
      <c r="IC71" s="16" t="s">
        <v>126</v>
      </c>
      <c r="ID71" s="16" t="s">
        <v>126</v>
      </c>
      <c r="IE71" s="16" t="s">
        <v>126</v>
      </c>
      <c r="IF71" s="16" t="s">
        <v>126</v>
      </c>
      <c r="IG71" s="16" t="s">
        <v>126</v>
      </c>
      <c r="IH71" s="16" t="s">
        <v>126</v>
      </c>
      <c r="II71" s="16" t="s">
        <v>126</v>
      </c>
      <c r="IJ71" s="16" t="s">
        <v>126</v>
      </c>
      <c r="IK71" s="16" t="s">
        <v>126</v>
      </c>
      <c r="IL71" s="16" t="s">
        <v>126</v>
      </c>
      <c r="IM71" s="16" t="s">
        <v>126</v>
      </c>
      <c r="IN71" s="16" t="s">
        <v>126</v>
      </c>
      <c r="IO71" s="16" t="s">
        <v>126</v>
      </c>
      <c r="IP71" s="16" t="s">
        <v>126</v>
      </c>
      <c r="IQ71" s="16" t="s">
        <v>126</v>
      </c>
      <c r="IR71" s="16" t="s">
        <v>126</v>
      </c>
      <c r="IS71" s="59">
        <f t="shared" si="2"/>
        <v>0</v>
      </c>
    </row>
    <row r="72" spans="1:253" ht="13.5" customHeight="1">
      <c r="A72" s="97">
        <v>68</v>
      </c>
      <c r="B72" s="77" t="s">
        <v>217</v>
      </c>
      <c r="C72" s="6">
        <v>70</v>
      </c>
      <c r="D72" s="6">
        <v>90</v>
      </c>
      <c r="E72" s="6">
        <v>590</v>
      </c>
      <c r="F72" s="94" t="s">
        <v>126</v>
      </c>
      <c r="G72" s="31" t="s">
        <v>126</v>
      </c>
      <c r="H72" s="31" t="s">
        <v>126</v>
      </c>
      <c r="I72" s="31" t="s">
        <v>126</v>
      </c>
      <c r="J72" s="31" t="s">
        <v>126</v>
      </c>
      <c r="K72" s="31" t="s">
        <v>126</v>
      </c>
      <c r="L72" s="31" t="s">
        <v>126</v>
      </c>
      <c r="M72" s="31" t="s">
        <v>126</v>
      </c>
      <c r="N72" s="31" t="s">
        <v>126</v>
      </c>
      <c r="O72" s="31" t="s">
        <v>126</v>
      </c>
      <c r="P72" s="31" t="s">
        <v>126</v>
      </c>
      <c r="Q72" s="31" t="s">
        <v>126</v>
      </c>
      <c r="R72" s="31" t="s">
        <v>126</v>
      </c>
      <c r="S72" s="31" t="s">
        <v>126</v>
      </c>
      <c r="T72" s="31" t="s">
        <v>126</v>
      </c>
      <c r="U72" s="31" t="s">
        <v>126</v>
      </c>
      <c r="V72" s="31" t="s">
        <v>126</v>
      </c>
      <c r="W72" s="94" t="s">
        <v>126</v>
      </c>
      <c r="X72" s="94" t="s">
        <v>126</v>
      </c>
      <c r="Y72" s="94" t="s">
        <v>126</v>
      </c>
      <c r="Z72" s="94" t="s">
        <v>126</v>
      </c>
      <c r="AA72" s="94" t="s">
        <v>126</v>
      </c>
      <c r="AB72" s="94" t="s">
        <v>126</v>
      </c>
      <c r="AC72" s="94" t="s">
        <v>126</v>
      </c>
      <c r="AD72" s="16" t="s">
        <v>126</v>
      </c>
      <c r="AE72" s="16" t="s">
        <v>126</v>
      </c>
      <c r="AF72" s="16" t="s">
        <v>126</v>
      </c>
      <c r="AG72" s="16" t="s">
        <v>126</v>
      </c>
      <c r="AH72" s="16" t="s">
        <v>126</v>
      </c>
      <c r="AI72" s="94" t="s">
        <v>126</v>
      </c>
      <c r="AJ72" s="94" t="s">
        <v>126</v>
      </c>
      <c r="AK72" s="94" t="s">
        <v>126</v>
      </c>
      <c r="AL72" s="94" t="s">
        <v>126</v>
      </c>
      <c r="AM72" s="94" t="s">
        <v>126</v>
      </c>
      <c r="AN72" s="94" t="s">
        <v>126</v>
      </c>
      <c r="AO72" s="94" t="s">
        <v>126</v>
      </c>
      <c r="AP72" s="94" t="s">
        <v>126</v>
      </c>
      <c r="AQ72" s="94" t="s">
        <v>126</v>
      </c>
      <c r="AR72" s="95"/>
      <c r="AS72" s="94" t="s">
        <v>126</v>
      </c>
      <c r="AT72" s="94" t="s">
        <v>126</v>
      </c>
      <c r="AU72" s="95"/>
      <c r="AV72" s="94" t="s">
        <v>126</v>
      </c>
      <c r="AW72" s="94" t="s">
        <v>126</v>
      </c>
      <c r="AX72" s="94" t="s">
        <v>126</v>
      </c>
      <c r="AY72" s="94" t="s">
        <v>126</v>
      </c>
      <c r="AZ72" s="94" t="s">
        <v>126</v>
      </c>
      <c r="BA72" s="94" t="s">
        <v>126</v>
      </c>
      <c r="BB72" s="94" t="s">
        <v>126</v>
      </c>
      <c r="BC72" s="94" t="s">
        <v>126</v>
      </c>
      <c r="BD72" s="94" t="s">
        <v>126</v>
      </c>
      <c r="BE72" s="94" t="s">
        <v>126</v>
      </c>
      <c r="BF72" s="94" t="s">
        <v>126</v>
      </c>
      <c r="BG72" s="94" t="s">
        <v>126</v>
      </c>
      <c r="BH72" s="94" t="s">
        <v>126</v>
      </c>
      <c r="BI72" s="94" t="s">
        <v>126</v>
      </c>
      <c r="BJ72" s="94" t="s">
        <v>126</v>
      </c>
      <c r="BK72" s="94" t="s">
        <v>126</v>
      </c>
      <c r="BL72" s="94" t="s">
        <v>126</v>
      </c>
      <c r="BM72" s="94" t="s">
        <v>126</v>
      </c>
      <c r="BN72" s="94" t="s">
        <v>126</v>
      </c>
      <c r="BO72" s="94" t="s">
        <v>126</v>
      </c>
      <c r="BP72" s="94" t="s">
        <v>126</v>
      </c>
      <c r="BQ72" s="94" t="s">
        <v>126</v>
      </c>
      <c r="BR72" s="94" t="s">
        <v>126</v>
      </c>
      <c r="BS72" s="94" t="s">
        <v>126</v>
      </c>
      <c r="BT72" s="16" t="s">
        <v>126</v>
      </c>
      <c r="BU72" s="16" t="s">
        <v>126</v>
      </c>
      <c r="BV72" s="6" t="s">
        <v>126</v>
      </c>
      <c r="BW72" s="16" t="s">
        <v>126</v>
      </c>
      <c r="BX72" s="16" t="s">
        <v>126</v>
      </c>
      <c r="BY72" s="16" t="s">
        <v>126</v>
      </c>
      <c r="BZ72" s="16" t="s">
        <v>126</v>
      </c>
      <c r="CA72" s="16" t="s">
        <v>126</v>
      </c>
      <c r="CB72" s="16" t="s">
        <v>126</v>
      </c>
      <c r="CC72" s="16" t="s">
        <v>126</v>
      </c>
      <c r="CD72" s="16" t="s">
        <v>126</v>
      </c>
      <c r="CE72" s="16" t="s">
        <v>126</v>
      </c>
      <c r="CF72" s="16" t="s">
        <v>126</v>
      </c>
      <c r="CG72" s="16" t="s">
        <v>126</v>
      </c>
      <c r="CH72" s="16" t="s">
        <v>126</v>
      </c>
      <c r="CI72" s="16" t="s">
        <v>126</v>
      </c>
      <c r="CJ72" s="16" t="s">
        <v>126</v>
      </c>
      <c r="CK72" s="16" t="s">
        <v>126</v>
      </c>
      <c r="CL72" s="16" t="s">
        <v>126</v>
      </c>
      <c r="CM72" s="16" t="s">
        <v>126</v>
      </c>
      <c r="CN72" s="16" t="s">
        <v>126</v>
      </c>
      <c r="CO72" s="16" t="s">
        <v>126</v>
      </c>
      <c r="CP72" s="16" t="s">
        <v>126</v>
      </c>
      <c r="CQ72" s="16" t="s">
        <v>126</v>
      </c>
      <c r="CR72" s="16" t="s">
        <v>126</v>
      </c>
      <c r="CS72" s="16" t="s">
        <v>126</v>
      </c>
      <c r="CT72" s="16" t="s">
        <v>126</v>
      </c>
      <c r="CU72" s="16" t="s">
        <v>126</v>
      </c>
      <c r="CV72" s="16" t="s">
        <v>126</v>
      </c>
      <c r="CW72" s="16" t="s">
        <v>126</v>
      </c>
      <c r="CX72" s="16" t="s">
        <v>126</v>
      </c>
      <c r="CY72" s="16" t="s">
        <v>126</v>
      </c>
      <c r="CZ72" s="16" t="s">
        <v>126</v>
      </c>
      <c r="DA72" s="16" t="s">
        <v>126</v>
      </c>
      <c r="DB72" s="16" t="s">
        <v>126</v>
      </c>
      <c r="DC72" s="16" t="s">
        <v>126</v>
      </c>
      <c r="DD72" s="16" t="s">
        <v>126</v>
      </c>
      <c r="DE72" s="16" t="s">
        <v>126</v>
      </c>
      <c r="DF72" s="16" t="s">
        <v>126</v>
      </c>
      <c r="DG72" s="16" t="s">
        <v>126</v>
      </c>
      <c r="DH72" s="16" t="s">
        <v>126</v>
      </c>
      <c r="DI72" s="16" t="s">
        <v>126</v>
      </c>
      <c r="DJ72" s="16" t="s">
        <v>126</v>
      </c>
      <c r="DK72" s="16" t="s">
        <v>126</v>
      </c>
      <c r="DL72" s="16" t="s">
        <v>126</v>
      </c>
      <c r="DM72" s="16" t="s">
        <v>126</v>
      </c>
      <c r="DN72" s="16" t="s">
        <v>126</v>
      </c>
      <c r="DO72" s="16" t="s">
        <v>126</v>
      </c>
      <c r="DP72" s="16" t="s">
        <v>126</v>
      </c>
      <c r="DQ72" s="16" t="s">
        <v>126</v>
      </c>
      <c r="DR72" s="16" t="s">
        <v>126</v>
      </c>
      <c r="DS72" s="16" t="s">
        <v>126</v>
      </c>
      <c r="DT72" s="16" t="s">
        <v>126</v>
      </c>
      <c r="DU72" s="16" t="s">
        <v>126</v>
      </c>
      <c r="DV72" s="16" t="s">
        <v>126</v>
      </c>
      <c r="DW72" s="16" t="s">
        <v>126</v>
      </c>
      <c r="DX72" s="16" t="s">
        <v>126</v>
      </c>
      <c r="DY72" s="16" t="s">
        <v>126</v>
      </c>
      <c r="DZ72" s="16" t="s">
        <v>126</v>
      </c>
      <c r="EA72" s="16" t="s">
        <v>126</v>
      </c>
      <c r="EB72" s="16" t="s">
        <v>126</v>
      </c>
      <c r="EC72" s="16" t="s">
        <v>126</v>
      </c>
      <c r="ED72" s="16" t="s">
        <v>126</v>
      </c>
      <c r="EE72" s="16" t="s">
        <v>126</v>
      </c>
      <c r="EF72" s="16" t="s">
        <v>126</v>
      </c>
      <c r="EG72" s="16" t="s">
        <v>126</v>
      </c>
      <c r="EH72" s="16" t="s">
        <v>126</v>
      </c>
      <c r="EI72" s="16" t="s">
        <v>126</v>
      </c>
      <c r="EJ72" s="16" t="s">
        <v>126</v>
      </c>
      <c r="EK72" s="16" t="s">
        <v>126</v>
      </c>
      <c r="EL72" s="16" t="s">
        <v>126</v>
      </c>
      <c r="EM72" s="16" t="s">
        <v>126</v>
      </c>
      <c r="EN72" s="16" t="s">
        <v>126</v>
      </c>
      <c r="EO72" s="16" t="s">
        <v>126</v>
      </c>
      <c r="EP72" s="16" t="s">
        <v>126</v>
      </c>
      <c r="EQ72" s="16" t="s">
        <v>126</v>
      </c>
      <c r="ER72" s="16" t="s">
        <v>126</v>
      </c>
      <c r="ES72" s="16" t="s">
        <v>126</v>
      </c>
      <c r="ET72" s="16" t="s">
        <v>126</v>
      </c>
      <c r="EU72" s="16" t="s">
        <v>126</v>
      </c>
      <c r="EV72" s="16" t="s">
        <v>126</v>
      </c>
      <c r="EW72" s="16" t="s">
        <v>126</v>
      </c>
      <c r="EX72" s="16" t="s">
        <v>126</v>
      </c>
      <c r="EY72" s="16" t="s">
        <v>126</v>
      </c>
      <c r="EZ72" s="16" t="s">
        <v>126</v>
      </c>
      <c r="FA72" s="16" t="s">
        <v>126</v>
      </c>
      <c r="FB72" s="16" t="s">
        <v>126</v>
      </c>
      <c r="FC72" s="16" t="s">
        <v>126</v>
      </c>
      <c r="FD72" s="16" t="s">
        <v>126</v>
      </c>
      <c r="FE72" s="16" t="s">
        <v>126</v>
      </c>
      <c r="FF72" s="16" t="s">
        <v>126</v>
      </c>
      <c r="FG72" s="16" t="s">
        <v>126</v>
      </c>
      <c r="FH72" s="16" t="s">
        <v>126</v>
      </c>
      <c r="FI72" s="16" t="s">
        <v>126</v>
      </c>
      <c r="FJ72" s="16" t="s">
        <v>126</v>
      </c>
      <c r="FK72" s="16" t="s">
        <v>126</v>
      </c>
      <c r="FL72" s="16" t="s">
        <v>126</v>
      </c>
      <c r="FM72" s="16" t="s">
        <v>126</v>
      </c>
      <c r="FN72" s="16" t="s">
        <v>126</v>
      </c>
      <c r="FO72" s="16" t="s">
        <v>126</v>
      </c>
      <c r="FP72" s="16" t="s">
        <v>126</v>
      </c>
      <c r="FQ72" s="16" t="s">
        <v>126</v>
      </c>
      <c r="FR72" s="16" t="s">
        <v>126</v>
      </c>
      <c r="FS72" s="16" t="s">
        <v>126</v>
      </c>
      <c r="FT72" s="16" t="s">
        <v>126</v>
      </c>
      <c r="FU72" s="16" t="s">
        <v>126</v>
      </c>
      <c r="FV72" s="16" t="s">
        <v>126</v>
      </c>
      <c r="FW72" s="16" t="s">
        <v>126</v>
      </c>
      <c r="FX72" s="16" t="s">
        <v>126</v>
      </c>
      <c r="FY72" s="16" t="s">
        <v>126</v>
      </c>
      <c r="FZ72" s="16" t="s">
        <v>126</v>
      </c>
      <c r="GA72" s="16" t="s">
        <v>126</v>
      </c>
      <c r="GB72" s="16" t="s">
        <v>126</v>
      </c>
      <c r="GC72" s="16" t="s">
        <v>126</v>
      </c>
      <c r="GD72" s="16" t="s">
        <v>126</v>
      </c>
      <c r="GE72" s="16" t="s">
        <v>126</v>
      </c>
      <c r="GF72" s="16" t="s">
        <v>126</v>
      </c>
      <c r="GG72" s="16" t="s">
        <v>126</v>
      </c>
      <c r="GH72" s="16" t="s">
        <v>126</v>
      </c>
      <c r="GI72" s="16" t="s">
        <v>126</v>
      </c>
      <c r="GJ72" s="16" t="s">
        <v>126</v>
      </c>
      <c r="GK72" s="16" t="s">
        <v>126</v>
      </c>
      <c r="GL72" s="16" t="s">
        <v>126</v>
      </c>
      <c r="GM72" s="16" t="s">
        <v>126</v>
      </c>
      <c r="GN72" s="16" t="s">
        <v>126</v>
      </c>
      <c r="GO72" s="16" t="s">
        <v>126</v>
      </c>
      <c r="GP72" s="16" t="s">
        <v>126</v>
      </c>
      <c r="GQ72" s="16" t="s">
        <v>126</v>
      </c>
      <c r="GR72" s="16" t="s">
        <v>126</v>
      </c>
      <c r="GS72" s="16" t="s">
        <v>126</v>
      </c>
      <c r="GT72" s="16" t="s">
        <v>126</v>
      </c>
      <c r="GU72" s="16" t="s">
        <v>126</v>
      </c>
      <c r="GV72" s="16" t="s">
        <v>126</v>
      </c>
      <c r="GW72" s="16" t="s">
        <v>126</v>
      </c>
      <c r="GX72" s="16" t="s">
        <v>126</v>
      </c>
      <c r="GY72" s="16" t="s">
        <v>126</v>
      </c>
      <c r="GZ72" s="16" t="s">
        <v>126</v>
      </c>
      <c r="HA72" s="16" t="s">
        <v>126</v>
      </c>
      <c r="HB72" s="16" t="s">
        <v>126</v>
      </c>
      <c r="HC72" s="16" t="s">
        <v>126</v>
      </c>
      <c r="HD72" s="16" t="s">
        <v>126</v>
      </c>
      <c r="HE72" s="16" t="s">
        <v>126</v>
      </c>
      <c r="HF72" s="16" t="s">
        <v>126</v>
      </c>
      <c r="HG72" s="16" t="s">
        <v>126</v>
      </c>
      <c r="HH72" s="16" t="s">
        <v>126</v>
      </c>
      <c r="HI72" s="16" t="s">
        <v>126</v>
      </c>
      <c r="HJ72" s="16" t="s">
        <v>126</v>
      </c>
      <c r="HK72" s="16" t="s">
        <v>126</v>
      </c>
      <c r="HL72" s="16" t="s">
        <v>126</v>
      </c>
      <c r="HM72" s="16" t="s">
        <v>126</v>
      </c>
      <c r="HN72" s="16" t="s">
        <v>126</v>
      </c>
      <c r="HO72" s="16" t="s">
        <v>126</v>
      </c>
      <c r="HP72" s="16" t="s">
        <v>126</v>
      </c>
      <c r="HQ72" s="16" t="s">
        <v>126</v>
      </c>
      <c r="HR72" s="16" t="s">
        <v>126</v>
      </c>
      <c r="HS72" s="16" t="s">
        <v>126</v>
      </c>
      <c r="HT72" s="16" t="s">
        <v>126</v>
      </c>
      <c r="HU72" s="16" t="s">
        <v>126</v>
      </c>
      <c r="HV72" s="16" t="s">
        <v>126</v>
      </c>
      <c r="HW72" s="16" t="s">
        <v>126</v>
      </c>
      <c r="HX72" s="16" t="s">
        <v>126</v>
      </c>
      <c r="HY72" s="16" t="s">
        <v>126</v>
      </c>
      <c r="HZ72" s="16" t="s">
        <v>126</v>
      </c>
      <c r="IA72" s="16" t="s">
        <v>126</v>
      </c>
      <c r="IB72" s="16" t="s">
        <v>126</v>
      </c>
      <c r="IC72" s="16" t="s">
        <v>126</v>
      </c>
      <c r="ID72" s="16" t="s">
        <v>126</v>
      </c>
      <c r="IE72" s="16" t="s">
        <v>126</v>
      </c>
      <c r="IF72" s="16" t="s">
        <v>126</v>
      </c>
      <c r="IG72" s="16" t="s">
        <v>126</v>
      </c>
      <c r="IH72" s="16" t="s">
        <v>126</v>
      </c>
      <c r="II72" s="16" t="s">
        <v>126</v>
      </c>
      <c r="IJ72" s="16" t="s">
        <v>126</v>
      </c>
      <c r="IK72" s="16" t="s">
        <v>126</v>
      </c>
      <c r="IL72" s="16" t="s">
        <v>126</v>
      </c>
      <c r="IM72" s="16" t="s">
        <v>126</v>
      </c>
      <c r="IN72" s="16" t="s">
        <v>126</v>
      </c>
      <c r="IO72" s="16" t="s">
        <v>126</v>
      </c>
      <c r="IP72" s="16" t="s">
        <v>126</v>
      </c>
      <c r="IQ72" s="16" t="s">
        <v>126</v>
      </c>
      <c r="IR72" s="16" t="s">
        <v>126</v>
      </c>
      <c r="IS72" s="59">
        <f t="shared" si="2"/>
        <v>0</v>
      </c>
    </row>
    <row r="73" spans="1:253" ht="13.5" customHeight="1">
      <c r="A73" s="97">
        <v>69</v>
      </c>
      <c r="B73" s="77" t="s">
        <v>218</v>
      </c>
      <c r="C73" s="6">
        <v>110</v>
      </c>
      <c r="D73" s="6">
        <v>90</v>
      </c>
      <c r="E73" s="6">
        <v>880</v>
      </c>
      <c r="F73" s="94" t="s">
        <v>126</v>
      </c>
      <c r="G73" s="31" t="s">
        <v>126</v>
      </c>
      <c r="H73" s="31" t="s">
        <v>126</v>
      </c>
      <c r="I73" s="31" t="s">
        <v>126</v>
      </c>
      <c r="J73" s="31" t="s">
        <v>126</v>
      </c>
      <c r="K73" s="31" t="s">
        <v>126</v>
      </c>
      <c r="L73" s="31" t="s">
        <v>126</v>
      </c>
      <c r="M73" s="31" t="s">
        <v>126</v>
      </c>
      <c r="N73" s="31" t="s">
        <v>126</v>
      </c>
      <c r="O73" s="31" t="s">
        <v>126</v>
      </c>
      <c r="P73" s="31" t="s">
        <v>126</v>
      </c>
      <c r="Q73" s="31" t="s">
        <v>126</v>
      </c>
      <c r="R73" s="31" t="s">
        <v>126</v>
      </c>
      <c r="S73" s="31" t="s">
        <v>126</v>
      </c>
      <c r="T73" s="31" t="s">
        <v>126</v>
      </c>
      <c r="U73" s="31" t="s">
        <v>126</v>
      </c>
      <c r="V73" s="31" t="s">
        <v>126</v>
      </c>
      <c r="W73" s="94" t="s">
        <v>126</v>
      </c>
      <c r="X73" s="94" t="s">
        <v>126</v>
      </c>
      <c r="Y73" s="94" t="s">
        <v>126</v>
      </c>
      <c r="Z73" s="94" t="s">
        <v>126</v>
      </c>
      <c r="AA73" s="94" t="s">
        <v>126</v>
      </c>
      <c r="AB73" s="94" t="s">
        <v>126</v>
      </c>
      <c r="AC73" s="94" t="s">
        <v>126</v>
      </c>
      <c r="AD73" s="16" t="s">
        <v>126</v>
      </c>
      <c r="AE73" s="16" t="s">
        <v>126</v>
      </c>
      <c r="AF73" s="16" t="s">
        <v>126</v>
      </c>
      <c r="AG73" s="16" t="s">
        <v>126</v>
      </c>
      <c r="AH73" s="16" t="s">
        <v>126</v>
      </c>
      <c r="AI73" s="94" t="s">
        <v>126</v>
      </c>
      <c r="AJ73" s="94" t="s">
        <v>126</v>
      </c>
      <c r="AK73" s="94" t="s">
        <v>126</v>
      </c>
      <c r="AL73" s="94" t="s">
        <v>126</v>
      </c>
      <c r="AM73" s="94" t="s">
        <v>126</v>
      </c>
      <c r="AN73" s="94" t="s">
        <v>126</v>
      </c>
      <c r="AO73" s="94" t="s">
        <v>126</v>
      </c>
      <c r="AP73" s="94">
        <v>84</v>
      </c>
      <c r="AQ73" s="94">
        <v>74</v>
      </c>
      <c r="AR73" s="95"/>
      <c r="AS73" s="94">
        <v>76</v>
      </c>
      <c r="AT73" s="94">
        <v>71</v>
      </c>
      <c r="AU73" s="95"/>
      <c r="AV73" s="94" t="s">
        <v>126</v>
      </c>
      <c r="AW73" s="94">
        <v>34</v>
      </c>
      <c r="AX73" s="94">
        <v>47</v>
      </c>
      <c r="AY73" s="94">
        <v>42</v>
      </c>
      <c r="AZ73" s="94">
        <v>35</v>
      </c>
      <c r="BA73" s="94">
        <v>39</v>
      </c>
      <c r="BB73" s="94">
        <v>36</v>
      </c>
      <c r="BC73" s="94">
        <v>35</v>
      </c>
      <c r="BD73" s="94">
        <v>44</v>
      </c>
      <c r="BE73" s="94">
        <v>56</v>
      </c>
      <c r="BF73" s="94">
        <v>51</v>
      </c>
      <c r="BG73" s="94" t="s">
        <v>126</v>
      </c>
      <c r="BH73" s="94" t="s">
        <v>126</v>
      </c>
      <c r="BI73" s="94" t="s">
        <v>126</v>
      </c>
      <c r="BJ73" s="94" t="s">
        <v>126</v>
      </c>
      <c r="BK73" s="94" t="s">
        <v>126</v>
      </c>
      <c r="BL73" s="94" t="s">
        <v>126</v>
      </c>
      <c r="BM73" s="94" t="s">
        <v>126</v>
      </c>
      <c r="BN73" s="94" t="s">
        <v>126</v>
      </c>
      <c r="BO73" s="94" t="s">
        <v>126</v>
      </c>
      <c r="BP73" s="94" t="s">
        <v>126</v>
      </c>
      <c r="BQ73" s="94" t="s">
        <v>126</v>
      </c>
      <c r="BR73" s="94" t="s">
        <v>126</v>
      </c>
      <c r="BS73" s="94" t="s">
        <v>126</v>
      </c>
      <c r="BT73" s="16" t="s">
        <v>126</v>
      </c>
      <c r="BU73" s="16" t="s">
        <v>126</v>
      </c>
      <c r="BV73" s="6" t="s">
        <v>126</v>
      </c>
      <c r="BW73" s="16" t="s">
        <v>126</v>
      </c>
      <c r="BX73" s="16" t="s">
        <v>126</v>
      </c>
      <c r="BY73" s="16" t="s">
        <v>126</v>
      </c>
      <c r="BZ73" s="16">
        <v>80</v>
      </c>
      <c r="CA73" s="16" t="s">
        <v>126</v>
      </c>
      <c r="CB73" s="16" t="s">
        <v>126</v>
      </c>
      <c r="CC73" s="16" t="s">
        <v>126</v>
      </c>
      <c r="CD73" s="16" t="s">
        <v>126</v>
      </c>
      <c r="CE73" s="16" t="s">
        <v>126</v>
      </c>
      <c r="CF73" s="16" t="s">
        <v>126</v>
      </c>
      <c r="CG73" s="16" t="s">
        <v>126</v>
      </c>
      <c r="CH73" s="16" t="s">
        <v>126</v>
      </c>
      <c r="CI73" s="16" t="s">
        <v>126</v>
      </c>
      <c r="CJ73" s="16" t="s">
        <v>126</v>
      </c>
      <c r="CK73" s="16" t="s">
        <v>126</v>
      </c>
      <c r="CL73" s="16" t="s">
        <v>126</v>
      </c>
      <c r="CM73" s="16" t="s">
        <v>126</v>
      </c>
      <c r="CN73" s="16" t="s">
        <v>126</v>
      </c>
      <c r="CO73" s="16" t="s">
        <v>126</v>
      </c>
      <c r="CP73" s="16" t="s">
        <v>126</v>
      </c>
      <c r="CQ73" s="16" t="s">
        <v>126</v>
      </c>
      <c r="CR73" s="16" t="s">
        <v>126</v>
      </c>
      <c r="CS73" s="16" t="s">
        <v>126</v>
      </c>
      <c r="CT73" s="16" t="s">
        <v>126</v>
      </c>
      <c r="CU73" s="16" t="s">
        <v>126</v>
      </c>
      <c r="CV73" s="16" t="s">
        <v>126</v>
      </c>
      <c r="CW73" s="16" t="s">
        <v>126</v>
      </c>
      <c r="CX73" s="16" t="s">
        <v>126</v>
      </c>
      <c r="CY73" s="16" t="s">
        <v>126</v>
      </c>
      <c r="CZ73" s="16" t="s">
        <v>126</v>
      </c>
      <c r="DA73" s="16" t="s">
        <v>126</v>
      </c>
      <c r="DB73" s="16" t="s">
        <v>126</v>
      </c>
      <c r="DC73" s="16" t="s">
        <v>126</v>
      </c>
      <c r="DD73" s="16" t="s">
        <v>126</v>
      </c>
      <c r="DE73" s="16" t="s">
        <v>126</v>
      </c>
      <c r="DF73" s="16" t="s">
        <v>126</v>
      </c>
      <c r="DG73" s="16" t="s">
        <v>126</v>
      </c>
      <c r="DH73" s="16" t="s">
        <v>126</v>
      </c>
      <c r="DI73" s="16" t="s">
        <v>126</v>
      </c>
      <c r="DJ73" s="16" t="s">
        <v>126</v>
      </c>
      <c r="DK73" s="16" t="s">
        <v>126</v>
      </c>
      <c r="DL73" s="16" t="s">
        <v>126</v>
      </c>
      <c r="DM73" s="16" t="s">
        <v>126</v>
      </c>
      <c r="DN73" s="16" t="s">
        <v>126</v>
      </c>
      <c r="DO73" s="16" t="s">
        <v>126</v>
      </c>
      <c r="DP73" s="16" t="s">
        <v>126</v>
      </c>
      <c r="DQ73" s="16" t="s">
        <v>126</v>
      </c>
      <c r="DR73" s="16" t="s">
        <v>126</v>
      </c>
      <c r="DS73" s="16" t="s">
        <v>126</v>
      </c>
      <c r="DT73" s="16" t="s">
        <v>126</v>
      </c>
      <c r="DU73" s="16" t="s">
        <v>126</v>
      </c>
      <c r="DV73" s="16" t="s">
        <v>126</v>
      </c>
      <c r="DW73" s="16" t="s">
        <v>126</v>
      </c>
      <c r="DX73" s="16" t="s">
        <v>126</v>
      </c>
      <c r="DY73" s="16" t="s">
        <v>126</v>
      </c>
      <c r="DZ73" s="16" t="s">
        <v>126</v>
      </c>
      <c r="EA73" s="16" t="s">
        <v>126</v>
      </c>
      <c r="EB73" s="16" t="s">
        <v>126</v>
      </c>
      <c r="EC73" s="16" t="s">
        <v>126</v>
      </c>
      <c r="ED73" s="16" t="s">
        <v>126</v>
      </c>
      <c r="EE73" s="16" t="s">
        <v>126</v>
      </c>
      <c r="EF73" s="16" t="s">
        <v>126</v>
      </c>
      <c r="EG73" s="16" t="s">
        <v>126</v>
      </c>
      <c r="EH73" s="16" t="s">
        <v>126</v>
      </c>
      <c r="EI73" s="16" t="s">
        <v>126</v>
      </c>
      <c r="EJ73" s="16" t="s">
        <v>126</v>
      </c>
      <c r="EK73" s="16" t="s">
        <v>126</v>
      </c>
      <c r="EL73" s="16" t="s">
        <v>126</v>
      </c>
      <c r="EM73" s="16" t="s">
        <v>126</v>
      </c>
      <c r="EN73" s="16" t="s">
        <v>126</v>
      </c>
      <c r="EO73" s="16" t="s">
        <v>126</v>
      </c>
      <c r="EP73" s="16" t="s">
        <v>126</v>
      </c>
      <c r="EQ73" s="16" t="s">
        <v>126</v>
      </c>
      <c r="ER73" s="16" t="s">
        <v>126</v>
      </c>
      <c r="ES73" s="16" t="s">
        <v>126</v>
      </c>
      <c r="ET73" s="16" t="s">
        <v>126</v>
      </c>
      <c r="EU73" s="16" t="s">
        <v>126</v>
      </c>
      <c r="EV73" s="16" t="s">
        <v>126</v>
      </c>
      <c r="EW73" s="16" t="s">
        <v>126</v>
      </c>
      <c r="EX73" s="16" t="s">
        <v>126</v>
      </c>
      <c r="EY73" s="16" t="s">
        <v>126</v>
      </c>
      <c r="EZ73" s="16" t="s">
        <v>126</v>
      </c>
      <c r="FA73" s="16" t="s">
        <v>126</v>
      </c>
      <c r="FB73" s="16" t="s">
        <v>126</v>
      </c>
      <c r="FC73" s="16" t="s">
        <v>126</v>
      </c>
      <c r="FD73" s="16" t="s">
        <v>126</v>
      </c>
      <c r="FE73" s="16" t="s">
        <v>126</v>
      </c>
      <c r="FF73" s="16" t="s">
        <v>126</v>
      </c>
      <c r="FG73" s="16" t="s">
        <v>126</v>
      </c>
      <c r="FH73" s="16" t="s">
        <v>126</v>
      </c>
      <c r="FI73" s="16" t="s">
        <v>126</v>
      </c>
      <c r="FJ73" s="16" t="s">
        <v>126</v>
      </c>
      <c r="FK73" s="16" t="s">
        <v>126</v>
      </c>
      <c r="FL73" s="16" t="s">
        <v>126</v>
      </c>
      <c r="FM73" s="16" t="s">
        <v>126</v>
      </c>
      <c r="FN73" s="16" t="s">
        <v>126</v>
      </c>
      <c r="FO73" s="16" t="s">
        <v>126</v>
      </c>
      <c r="FP73" s="16" t="s">
        <v>126</v>
      </c>
      <c r="FQ73" s="16" t="s">
        <v>126</v>
      </c>
      <c r="FR73" s="16" t="s">
        <v>126</v>
      </c>
      <c r="FS73" s="16" t="s">
        <v>126</v>
      </c>
      <c r="FT73" s="16" t="s">
        <v>126</v>
      </c>
      <c r="FU73" s="16" t="s">
        <v>126</v>
      </c>
      <c r="FV73" s="16" t="s">
        <v>126</v>
      </c>
      <c r="FW73" s="16" t="s">
        <v>126</v>
      </c>
      <c r="FX73" s="16" t="s">
        <v>126</v>
      </c>
      <c r="FY73" s="16" t="s">
        <v>126</v>
      </c>
      <c r="FZ73" s="16" t="s">
        <v>126</v>
      </c>
      <c r="GA73" s="16" t="s">
        <v>126</v>
      </c>
      <c r="GB73" s="16" t="s">
        <v>126</v>
      </c>
      <c r="GC73" s="16" t="s">
        <v>126</v>
      </c>
      <c r="GD73" s="16" t="s">
        <v>126</v>
      </c>
      <c r="GE73" s="16" t="s">
        <v>126</v>
      </c>
      <c r="GF73" s="16" t="s">
        <v>126</v>
      </c>
      <c r="GG73" s="16" t="s">
        <v>126</v>
      </c>
      <c r="GH73" s="16" t="s">
        <v>126</v>
      </c>
      <c r="GI73" s="16" t="s">
        <v>126</v>
      </c>
      <c r="GJ73" s="16" t="s">
        <v>126</v>
      </c>
      <c r="GK73" s="16" t="s">
        <v>126</v>
      </c>
      <c r="GL73" s="16" t="s">
        <v>126</v>
      </c>
      <c r="GM73" s="16" t="s">
        <v>126</v>
      </c>
      <c r="GN73" s="16" t="s">
        <v>126</v>
      </c>
      <c r="GO73" s="16" t="s">
        <v>126</v>
      </c>
      <c r="GP73" s="16" t="s">
        <v>126</v>
      </c>
      <c r="GQ73" s="16" t="s">
        <v>126</v>
      </c>
      <c r="GR73" s="16" t="s">
        <v>126</v>
      </c>
      <c r="GS73" s="16" t="s">
        <v>126</v>
      </c>
      <c r="GT73" s="16" t="s">
        <v>126</v>
      </c>
      <c r="GU73" s="16" t="s">
        <v>126</v>
      </c>
      <c r="GV73" s="16" t="s">
        <v>126</v>
      </c>
      <c r="GW73" s="16" t="s">
        <v>126</v>
      </c>
      <c r="GX73" s="16" t="s">
        <v>126</v>
      </c>
      <c r="GY73" s="16" t="s">
        <v>126</v>
      </c>
      <c r="GZ73" s="16" t="s">
        <v>126</v>
      </c>
      <c r="HA73" s="16" t="s">
        <v>126</v>
      </c>
      <c r="HB73" s="16" t="s">
        <v>126</v>
      </c>
      <c r="HC73" s="16" t="s">
        <v>126</v>
      </c>
      <c r="HD73" s="16" t="s">
        <v>126</v>
      </c>
      <c r="HE73" s="16" t="s">
        <v>126</v>
      </c>
      <c r="HF73" s="16" t="s">
        <v>126</v>
      </c>
      <c r="HG73" s="16" t="s">
        <v>126</v>
      </c>
      <c r="HH73" s="16" t="s">
        <v>126</v>
      </c>
      <c r="HI73" s="16" t="s">
        <v>126</v>
      </c>
      <c r="HJ73" s="16" t="s">
        <v>126</v>
      </c>
      <c r="HK73" s="16" t="s">
        <v>126</v>
      </c>
      <c r="HL73" s="16" t="s">
        <v>126</v>
      </c>
      <c r="HM73" s="16" t="s">
        <v>126</v>
      </c>
      <c r="HN73" s="16" t="s">
        <v>126</v>
      </c>
      <c r="HO73" s="16" t="s">
        <v>126</v>
      </c>
      <c r="HP73" s="16" t="s">
        <v>126</v>
      </c>
      <c r="HQ73" s="16" t="s">
        <v>126</v>
      </c>
      <c r="HR73" s="16" t="s">
        <v>126</v>
      </c>
      <c r="HS73" s="16" t="s">
        <v>126</v>
      </c>
      <c r="HT73" s="16" t="s">
        <v>126</v>
      </c>
      <c r="HU73" s="16" t="s">
        <v>126</v>
      </c>
      <c r="HV73" s="16" t="s">
        <v>126</v>
      </c>
      <c r="HW73" s="16" t="s">
        <v>126</v>
      </c>
      <c r="HX73" s="16" t="s">
        <v>126</v>
      </c>
      <c r="HY73" s="16" t="s">
        <v>126</v>
      </c>
      <c r="HZ73" s="16" t="s">
        <v>126</v>
      </c>
      <c r="IA73" s="16" t="s">
        <v>126</v>
      </c>
      <c r="IB73" s="16" t="s">
        <v>126</v>
      </c>
      <c r="IC73" s="16" t="s">
        <v>126</v>
      </c>
      <c r="ID73" s="16" t="s">
        <v>126</v>
      </c>
      <c r="IE73" s="16" t="s">
        <v>126</v>
      </c>
      <c r="IF73" s="16" t="s">
        <v>126</v>
      </c>
      <c r="IG73" s="16" t="s">
        <v>126</v>
      </c>
      <c r="IH73" s="16" t="s">
        <v>126</v>
      </c>
      <c r="II73" s="16" t="s">
        <v>126</v>
      </c>
      <c r="IJ73" s="16" t="s">
        <v>126</v>
      </c>
      <c r="IK73" s="16" t="s">
        <v>126</v>
      </c>
      <c r="IL73" s="16" t="s">
        <v>126</v>
      </c>
      <c r="IM73" s="16" t="s">
        <v>126</v>
      </c>
      <c r="IN73" s="16" t="s">
        <v>126</v>
      </c>
      <c r="IO73" s="16" t="s">
        <v>126</v>
      </c>
      <c r="IP73" s="16" t="s">
        <v>126</v>
      </c>
      <c r="IQ73" s="16" t="s">
        <v>126</v>
      </c>
      <c r="IR73" s="16" t="s">
        <v>126</v>
      </c>
      <c r="IS73" s="59">
        <f t="shared" si="2"/>
        <v>0</v>
      </c>
    </row>
    <row r="74" spans="1:253" ht="13.5" customHeight="1">
      <c r="A74" s="97">
        <v>70</v>
      </c>
      <c r="B74" s="77" t="s">
        <v>219</v>
      </c>
      <c r="C74" s="8">
        <v>30</v>
      </c>
      <c r="D74" s="8">
        <v>30</v>
      </c>
      <c r="E74" s="8">
        <v>40</v>
      </c>
      <c r="F74" s="94" t="s">
        <v>126</v>
      </c>
      <c r="G74" s="31" t="s">
        <v>126</v>
      </c>
      <c r="H74" s="31" t="s">
        <v>126</v>
      </c>
      <c r="I74" s="31" t="s">
        <v>126</v>
      </c>
      <c r="J74" s="31" t="s">
        <v>126</v>
      </c>
      <c r="K74" s="31" t="s">
        <v>126</v>
      </c>
      <c r="L74" s="31" t="s">
        <v>126</v>
      </c>
      <c r="M74" s="31" t="s">
        <v>126</v>
      </c>
      <c r="N74" s="31" t="s">
        <v>126</v>
      </c>
      <c r="O74" s="31" t="s">
        <v>126</v>
      </c>
      <c r="P74" s="31" t="s">
        <v>126</v>
      </c>
      <c r="Q74" s="31" t="s">
        <v>126</v>
      </c>
      <c r="R74" s="31" t="s">
        <v>126</v>
      </c>
      <c r="S74" s="31" t="s">
        <v>126</v>
      </c>
      <c r="T74" s="31" t="s">
        <v>126</v>
      </c>
      <c r="U74" s="31" t="s">
        <v>126</v>
      </c>
      <c r="V74" s="31" t="s">
        <v>126</v>
      </c>
      <c r="W74" s="94" t="s">
        <v>126</v>
      </c>
      <c r="X74" s="94" t="s">
        <v>126</v>
      </c>
      <c r="Y74" s="94" t="s">
        <v>126</v>
      </c>
      <c r="Z74" s="94" t="s">
        <v>126</v>
      </c>
      <c r="AA74" s="94" t="s">
        <v>126</v>
      </c>
      <c r="AB74" s="94" t="s">
        <v>126</v>
      </c>
      <c r="AC74" s="94" t="s">
        <v>126</v>
      </c>
      <c r="AD74" s="16" t="s">
        <v>126</v>
      </c>
      <c r="AE74" s="16" t="s">
        <v>126</v>
      </c>
      <c r="AF74" s="16" t="s">
        <v>126</v>
      </c>
      <c r="AG74" s="16" t="s">
        <v>126</v>
      </c>
      <c r="AH74" s="16" t="s">
        <v>126</v>
      </c>
      <c r="AI74" s="94" t="s">
        <v>126</v>
      </c>
      <c r="AJ74" s="94" t="s">
        <v>126</v>
      </c>
      <c r="AK74" s="94" t="s">
        <v>126</v>
      </c>
      <c r="AL74" s="94" t="s">
        <v>126</v>
      </c>
      <c r="AM74" s="94" t="s">
        <v>126</v>
      </c>
      <c r="AN74" s="94" t="s">
        <v>126</v>
      </c>
      <c r="AO74" s="94" t="s">
        <v>126</v>
      </c>
      <c r="AP74" s="94" t="s">
        <v>126</v>
      </c>
      <c r="AQ74" s="94" t="s">
        <v>126</v>
      </c>
      <c r="AR74" s="95"/>
      <c r="AS74" s="94" t="s">
        <v>126</v>
      </c>
      <c r="AT74" s="94" t="s">
        <v>126</v>
      </c>
      <c r="AU74" s="95"/>
      <c r="AV74" s="94" t="s">
        <v>126</v>
      </c>
      <c r="AW74" s="94" t="s">
        <v>126</v>
      </c>
      <c r="AX74" s="94" t="s">
        <v>126</v>
      </c>
      <c r="AY74" s="94" t="s">
        <v>126</v>
      </c>
      <c r="AZ74" s="94" t="s">
        <v>126</v>
      </c>
      <c r="BA74" s="94" t="s">
        <v>126</v>
      </c>
      <c r="BB74" s="94" t="s">
        <v>126</v>
      </c>
      <c r="BC74" s="94" t="s">
        <v>126</v>
      </c>
      <c r="BD74" s="94" t="s">
        <v>126</v>
      </c>
      <c r="BE74" s="94" t="s">
        <v>126</v>
      </c>
      <c r="BF74" s="94" t="s">
        <v>126</v>
      </c>
      <c r="BG74" s="94" t="s">
        <v>126</v>
      </c>
      <c r="BH74" s="94" t="s">
        <v>126</v>
      </c>
      <c r="BI74" s="94" t="s">
        <v>126</v>
      </c>
      <c r="BJ74" s="94" t="s">
        <v>126</v>
      </c>
      <c r="BK74" s="94" t="s">
        <v>126</v>
      </c>
      <c r="BL74" s="94" t="s">
        <v>126</v>
      </c>
      <c r="BM74" s="94" t="s">
        <v>126</v>
      </c>
      <c r="BN74" s="94" t="s">
        <v>126</v>
      </c>
      <c r="BO74" s="94" t="s">
        <v>126</v>
      </c>
      <c r="BP74" s="94" t="s">
        <v>126</v>
      </c>
      <c r="BQ74" s="94" t="s">
        <v>126</v>
      </c>
      <c r="BR74" s="94" t="s">
        <v>126</v>
      </c>
      <c r="BS74" s="94" t="s">
        <v>126</v>
      </c>
      <c r="BT74" s="16" t="s">
        <v>126</v>
      </c>
      <c r="BU74" s="16" t="s">
        <v>126</v>
      </c>
      <c r="BV74" s="6" t="s">
        <v>126</v>
      </c>
      <c r="BW74" s="16" t="s">
        <v>126</v>
      </c>
      <c r="BX74" s="16" t="s">
        <v>126</v>
      </c>
      <c r="BY74" s="16" t="s">
        <v>126</v>
      </c>
      <c r="BZ74" s="16" t="s">
        <v>126</v>
      </c>
      <c r="CA74" s="16" t="s">
        <v>126</v>
      </c>
      <c r="CB74" s="16" t="s">
        <v>126</v>
      </c>
      <c r="CC74" s="16" t="s">
        <v>126</v>
      </c>
      <c r="CD74" s="16" t="s">
        <v>126</v>
      </c>
      <c r="CE74" s="16" t="s">
        <v>126</v>
      </c>
      <c r="CF74" s="16" t="s">
        <v>126</v>
      </c>
      <c r="CG74" s="16" t="s">
        <v>126</v>
      </c>
      <c r="CH74" s="16" t="s">
        <v>126</v>
      </c>
      <c r="CI74" s="16" t="s">
        <v>126</v>
      </c>
      <c r="CJ74" s="16" t="s">
        <v>126</v>
      </c>
      <c r="CK74" s="16" t="s">
        <v>126</v>
      </c>
      <c r="CL74" s="16" t="s">
        <v>126</v>
      </c>
      <c r="CM74" s="16" t="s">
        <v>126</v>
      </c>
      <c r="CN74" s="16" t="s">
        <v>126</v>
      </c>
      <c r="CO74" s="16" t="s">
        <v>126</v>
      </c>
      <c r="CP74" s="16" t="s">
        <v>126</v>
      </c>
      <c r="CQ74" s="16" t="s">
        <v>126</v>
      </c>
      <c r="CR74" s="16" t="s">
        <v>126</v>
      </c>
      <c r="CS74" s="16" t="s">
        <v>126</v>
      </c>
      <c r="CT74" s="16" t="s">
        <v>126</v>
      </c>
      <c r="CU74" s="16" t="s">
        <v>126</v>
      </c>
      <c r="CV74" s="16" t="s">
        <v>126</v>
      </c>
      <c r="CW74" s="16" t="s">
        <v>126</v>
      </c>
      <c r="CX74" s="16" t="s">
        <v>126</v>
      </c>
      <c r="CY74" s="16" t="s">
        <v>126</v>
      </c>
      <c r="CZ74" s="16" t="s">
        <v>126</v>
      </c>
      <c r="DA74" s="16" t="s">
        <v>126</v>
      </c>
      <c r="DB74" s="16" t="s">
        <v>126</v>
      </c>
      <c r="DC74" s="16" t="s">
        <v>126</v>
      </c>
      <c r="DD74" s="16" t="s">
        <v>126</v>
      </c>
      <c r="DE74" s="16" t="s">
        <v>126</v>
      </c>
      <c r="DF74" s="16" t="s">
        <v>126</v>
      </c>
      <c r="DG74" s="16" t="s">
        <v>126</v>
      </c>
      <c r="DH74" s="16" t="s">
        <v>126</v>
      </c>
      <c r="DI74" s="16" t="s">
        <v>126</v>
      </c>
      <c r="DJ74" s="16" t="s">
        <v>126</v>
      </c>
      <c r="DK74" s="16" t="s">
        <v>126</v>
      </c>
      <c r="DL74" s="16" t="s">
        <v>126</v>
      </c>
      <c r="DM74" s="16" t="s">
        <v>126</v>
      </c>
      <c r="DN74" s="16" t="s">
        <v>126</v>
      </c>
      <c r="DO74" s="16" t="s">
        <v>126</v>
      </c>
      <c r="DP74" s="16" t="s">
        <v>126</v>
      </c>
      <c r="DQ74" s="16" t="s">
        <v>126</v>
      </c>
      <c r="DR74" s="16" t="s">
        <v>126</v>
      </c>
      <c r="DS74" s="16" t="s">
        <v>126</v>
      </c>
      <c r="DT74" s="16" t="s">
        <v>126</v>
      </c>
      <c r="DU74" s="16" t="s">
        <v>126</v>
      </c>
      <c r="DV74" s="16" t="s">
        <v>126</v>
      </c>
      <c r="DW74" s="16" t="s">
        <v>126</v>
      </c>
      <c r="DX74" s="16" t="s">
        <v>126</v>
      </c>
      <c r="DY74" s="16" t="s">
        <v>126</v>
      </c>
      <c r="DZ74" s="16" t="s">
        <v>126</v>
      </c>
      <c r="EA74" s="16" t="s">
        <v>126</v>
      </c>
      <c r="EB74" s="16" t="s">
        <v>126</v>
      </c>
      <c r="EC74" s="16" t="s">
        <v>126</v>
      </c>
      <c r="ED74" s="16" t="s">
        <v>126</v>
      </c>
      <c r="EE74" s="16" t="s">
        <v>126</v>
      </c>
      <c r="EF74" s="16" t="s">
        <v>126</v>
      </c>
      <c r="EG74" s="16" t="s">
        <v>126</v>
      </c>
      <c r="EH74" s="16" t="s">
        <v>126</v>
      </c>
      <c r="EI74" s="16" t="s">
        <v>126</v>
      </c>
      <c r="EJ74" s="16" t="s">
        <v>126</v>
      </c>
      <c r="EK74" s="16" t="s">
        <v>126</v>
      </c>
      <c r="EL74" s="16" t="s">
        <v>126</v>
      </c>
      <c r="EM74" s="16" t="s">
        <v>126</v>
      </c>
      <c r="EN74" s="16" t="s">
        <v>126</v>
      </c>
      <c r="EO74" s="16" t="s">
        <v>126</v>
      </c>
      <c r="EP74" s="16" t="s">
        <v>126</v>
      </c>
      <c r="EQ74" s="16" t="s">
        <v>126</v>
      </c>
      <c r="ER74" s="16" t="s">
        <v>126</v>
      </c>
      <c r="ES74" s="16" t="s">
        <v>126</v>
      </c>
      <c r="ET74" s="16" t="s">
        <v>126</v>
      </c>
      <c r="EU74" s="16" t="s">
        <v>126</v>
      </c>
      <c r="EV74" s="16" t="s">
        <v>126</v>
      </c>
      <c r="EW74" s="16" t="s">
        <v>126</v>
      </c>
      <c r="EX74" s="16" t="s">
        <v>126</v>
      </c>
      <c r="EY74" s="16" t="s">
        <v>126</v>
      </c>
      <c r="EZ74" s="16" t="s">
        <v>126</v>
      </c>
      <c r="FA74" s="16" t="s">
        <v>126</v>
      </c>
      <c r="FB74" s="16" t="s">
        <v>126</v>
      </c>
      <c r="FC74" s="16" t="s">
        <v>126</v>
      </c>
      <c r="FD74" s="16" t="s">
        <v>126</v>
      </c>
      <c r="FE74" s="16" t="s">
        <v>126</v>
      </c>
      <c r="FF74" s="16" t="s">
        <v>126</v>
      </c>
      <c r="FG74" s="16" t="s">
        <v>126</v>
      </c>
      <c r="FH74" s="16" t="s">
        <v>126</v>
      </c>
      <c r="FI74" s="16" t="s">
        <v>126</v>
      </c>
      <c r="FJ74" s="16" t="s">
        <v>126</v>
      </c>
      <c r="FK74" s="16" t="s">
        <v>126</v>
      </c>
      <c r="FL74" s="16" t="s">
        <v>126</v>
      </c>
      <c r="FM74" s="16" t="s">
        <v>126</v>
      </c>
      <c r="FN74" s="16" t="s">
        <v>126</v>
      </c>
      <c r="FO74" s="16" t="s">
        <v>126</v>
      </c>
      <c r="FP74" s="16" t="s">
        <v>126</v>
      </c>
      <c r="FQ74" s="16" t="s">
        <v>126</v>
      </c>
      <c r="FR74" s="16" t="s">
        <v>126</v>
      </c>
      <c r="FS74" s="16" t="s">
        <v>126</v>
      </c>
      <c r="FT74" s="16" t="s">
        <v>126</v>
      </c>
      <c r="FU74" s="16" t="s">
        <v>126</v>
      </c>
      <c r="FV74" s="16" t="s">
        <v>126</v>
      </c>
      <c r="FW74" s="16" t="s">
        <v>126</v>
      </c>
      <c r="FX74" s="16" t="s">
        <v>126</v>
      </c>
      <c r="FY74" s="16" t="s">
        <v>126</v>
      </c>
      <c r="FZ74" s="16" t="s">
        <v>126</v>
      </c>
      <c r="GA74" s="16" t="s">
        <v>126</v>
      </c>
      <c r="GB74" s="16" t="s">
        <v>126</v>
      </c>
      <c r="GC74" s="16" t="s">
        <v>126</v>
      </c>
      <c r="GD74" s="16" t="s">
        <v>126</v>
      </c>
      <c r="GE74" s="16" t="s">
        <v>126</v>
      </c>
      <c r="GF74" s="16" t="s">
        <v>126</v>
      </c>
      <c r="GG74" s="16" t="s">
        <v>126</v>
      </c>
      <c r="GH74" s="16" t="s">
        <v>126</v>
      </c>
      <c r="GI74" s="16" t="s">
        <v>126</v>
      </c>
      <c r="GJ74" s="16" t="s">
        <v>126</v>
      </c>
      <c r="GK74" s="16" t="s">
        <v>126</v>
      </c>
      <c r="GL74" s="16" t="s">
        <v>126</v>
      </c>
      <c r="GM74" s="16" t="s">
        <v>126</v>
      </c>
      <c r="GN74" s="16" t="s">
        <v>126</v>
      </c>
      <c r="GO74" s="16" t="s">
        <v>126</v>
      </c>
      <c r="GP74" s="16" t="s">
        <v>126</v>
      </c>
      <c r="GQ74" s="16" t="s">
        <v>126</v>
      </c>
      <c r="GR74" s="16" t="s">
        <v>126</v>
      </c>
      <c r="GS74" s="16" t="s">
        <v>126</v>
      </c>
      <c r="GT74" s="16" t="s">
        <v>126</v>
      </c>
      <c r="GU74" s="16" t="s">
        <v>126</v>
      </c>
      <c r="GV74" s="16" t="s">
        <v>126</v>
      </c>
      <c r="GW74" s="16" t="s">
        <v>126</v>
      </c>
      <c r="GX74" s="16" t="s">
        <v>126</v>
      </c>
      <c r="GY74" s="16" t="s">
        <v>126</v>
      </c>
      <c r="GZ74" s="16" t="s">
        <v>126</v>
      </c>
      <c r="HA74" s="16" t="s">
        <v>126</v>
      </c>
      <c r="HB74" s="16" t="s">
        <v>126</v>
      </c>
      <c r="HC74" s="16" t="s">
        <v>126</v>
      </c>
      <c r="HD74" s="16" t="s">
        <v>126</v>
      </c>
      <c r="HE74" s="16" t="s">
        <v>126</v>
      </c>
      <c r="HF74" s="16" t="s">
        <v>126</v>
      </c>
      <c r="HG74" s="16" t="s">
        <v>126</v>
      </c>
      <c r="HH74" s="16" t="s">
        <v>126</v>
      </c>
      <c r="HI74" s="16" t="s">
        <v>126</v>
      </c>
      <c r="HJ74" s="16" t="s">
        <v>126</v>
      </c>
      <c r="HK74" s="16" t="s">
        <v>126</v>
      </c>
      <c r="HL74" s="16" t="s">
        <v>126</v>
      </c>
      <c r="HM74" s="16" t="s">
        <v>126</v>
      </c>
      <c r="HN74" s="16" t="s">
        <v>126</v>
      </c>
      <c r="HO74" s="16" t="s">
        <v>126</v>
      </c>
      <c r="HP74" s="16" t="s">
        <v>126</v>
      </c>
      <c r="HQ74" s="16" t="s">
        <v>126</v>
      </c>
      <c r="HR74" s="16" t="s">
        <v>126</v>
      </c>
      <c r="HS74" s="16" t="s">
        <v>126</v>
      </c>
      <c r="HT74" s="16" t="s">
        <v>126</v>
      </c>
      <c r="HU74" s="16" t="s">
        <v>126</v>
      </c>
      <c r="HV74" s="16" t="s">
        <v>126</v>
      </c>
      <c r="HW74" s="16" t="s">
        <v>126</v>
      </c>
      <c r="HX74" s="16" t="s">
        <v>126</v>
      </c>
      <c r="HY74" s="16" t="s">
        <v>126</v>
      </c>
      <c r="HZ74" s="16" t="s">
        <v>126</v>
      </c>
      <c r="IA74" s="16" t="s">
        <v>126</v>
      </c>
      <c r="IB74" s="16" t="s">
        <v>126</v>
      </c>
      <c r="IC74" s="16" t="s">
        <v>126</v>
      </c>
      <c r="ID74" s="16" t="s">
        <v>126</v>
      </c>
      <c r="IE74" s="16" t="s">
        <v>126</v>
      </c>
      <c r="IF74" s="16" t="s">
        <v>126</v>
      </c>
      <c r="IG74" s="16" t="s">
        <v>126</v>
      </c>
      <c r="IH74" s="16" t="s">
        <v>126</v>
      </c>
      <c r="II74" s="16" t="s">
        <v>126</v>
      </c>
      <c r="IJ74" s="16" t="s">
        <v>126</v>
      </c>
      <c r="IK74" s="16" t="s">
        <v>126</v>
      </c>
      <c r="IL74" s="16" t="s">
        <v>126</v>
      </c>
      <c r="IM74" s="16" t="s">
        <v>126</v>
      </c>
      <c r="IN74" s="16" t="s">
        <v>126</v>
      </c>
      <c r="IO74" s="16" t="s">
        <v>126</v>
      </c>
      <c r="IP74" s="16" t="s">
        <v>126</v>
      </c>
      <c r="IQ74" s="16" t="s">
        <v>126</v>
      </c>
      <c r="IR74" s="16" t="s">
        <v>126</v>
      </c>
      <c r="IS74" s="59">
        <f t="shared" si="2"/>
        <v>0</v>
      </c>
    </row>
    <row r="75" spans="1:253" ht="13.5" customHeight="1">
      <c r="A75" s="97">
        <v>71</v>
      </c>
      <c r="B75" s="107" t="s">
        <v>135</v>
      </c>
      <c r="C75" s="6">
        <v>30</v>
      </c>
      <c r="D75" s="6">
        <v>50</v>
      </c>
      <c r="E75" s="6">
        <v>40</v>
      </c>
      <c r="F75" s="94">
        <v>17</v>
      </c>
      <c r="G75" s="31" t="s">
        <v>126</v>
      </c>
      <c r="H75" s="31" t="s">
        <v>126</v>
      </c>
      <c r="I75" s="31" t="s">
        <v>126</v>
      </c>
      <c r="J75" s="31" t="s">
        <v>126</v>
      </c>
      <c r="K75" s="31" t="s">
        <v>126</v>
      </c>
      <c r="L75" s="31" t="s">
        <v>126</v>
      </c>
      <c r="M75" s="31" t="s">
        <v>126</v>
      </c>
      <c r="N75" s="31" t="s">
        <v>126</v>
      </c>
      <c r="O75" s="31" t="s">
        <v>126</v>
      </c>
      <c r="P75" s="31" t="s">
        <v>126</v>
      </c>
      <c r="Q75" s="31" t="s">
        <v>126</v>
      </c>
      <c r="R75" s="31" t="s">
        <v>126</v>
      </c>
      <c r="S75" s="31" t="s">
        <v>126</v>
      </c>
      <c r="T75" s="31" t="s">
        <v>126</v>
      </c>
      <c r="U75" s="31" t="s">
        <v>126</v>
      </c>
      <c r="V75" s="31" t="s">
        <v>126</v>
      </c>
      <c r="W75" s="94">
        <v>14</v>
      </c>
      <c r="X75" s="94">
        <v>9</v>
      </c>
      <c r="Y75" s="94">
        <v>10</v>
      </c>
      <c r="Z75" s="94">
        <v>13</v>
      </c>
      <c r="AA75" s="94">
        <v>13</v>
      </c>
      <c r="AB75" s="94">
        <v>12</v>
      </c>
      <c r="AC75" s="94">
        <v>16</v>
      </c>
      <c r="AD75" s="16" t="s">
        <v>126</v>
      </c>
      <c r="AE75" s="16" t="s">
        <v>126</v>
      </c>
      <c r="AF75" s="16" t="s">
        <v>126</v>
      </c>
      <c r="AG75" s="16" t="s">
        <v>126</v>
      </c>
      <c r="AH75" s="16" t="s">
        <v>126</v>
      </c>
      <c r="AI75" s="94">
        <v>16</v>
      </c>
      <c r="AJ75" s="94">
        <v>11</v>
      </c>
      <c r="AK75" s="94">
        <v>8</v>
      </c>
      <c r="AL75" s="94">
        <v>7</v>
      </c>
      <c r="AM75" s="94">
        <v>9</v>
      </c>
      <c r="AN75" s="94">
        <v>10</v>
      </c>
      <c r="AO75" s="94">
        <v>15</v>
      </c>
      <c r="AP75" s="94">
        <v>20</v>
      </c>
      <c r="AQ75" s="94">
        <v>19</v>
      </c>
      <c r="AR75" s="95"/>
      <c r="AS75" s="94">
        <v>48</v>
      </c>
      <c r="AT75" s="94">
        <v>29</v>
      </c>
      <c r="AU75" s="95"/>
      <c r="AV75" s="94">
        <v>23</v>
      </c>
      <c r="AW75" s="94">
        <v>28</v>
      </c>
      <c r="AX75" s="94">
        <v>25</v>
      </c>
      <c r="AY75" s="94">
        <v>23</v>
      </c>
      <c r="AZ75" s="94">
        <v>19</v>
      </c>
      <c r="BA75" s="94">
        <v>16</v>
      </c>
      <c r="BB75" s="94">
        <v>15</v>
      </c>
      <c r="BC75" s="94">
        <v>18</v>
      </c>
      <c r="BD75" s="94">
        <v>14</v>
      </c>
      <c r="BE75" s="94">
        <v>18</v>
      </c>
      <c r="BF75" s="94">
        <v>15</v>
      </c>
      <c r="BG75" s="94">
        <v>19</v>
      </c>
      <c r="BH75" s="94">
        <v>23</v>
      </c>
      <c r="BI75" s="94">
        <v>19</v>
      </c>
      <c r="BJ75" s="94">
        <v>25</v>
      </c>
      <c r="BK75" s="94">
        <v>33</v>
      </c>
      <c r="BL75" s="94">
        <v>49</v>
      </c>
      <c r="BM75" s="94">
        <v>48</v>
      </c>
      <c r="BN75" s="94">
        <v>46</v>
      </c>
      <c r="BO75" s="94">
        <v>25</v>
      </c>
      <c r="BP75" s="94">
        <v>18</v>
      </c>
      <c r="BQ75" s="16">
        <v>19</v>
      </c>
      <c r="BR75" s="94">
        <v>11</v>
      </c>
      <c r="BS75" s="94">
        <v>15</v>
      </c>
      <c r="BT75" s="94">
        <v>21</v>
      </c>
      <c r="BU75" s="94">
        <v>37</v>
      </c>
      <c r="BV75" s="94">
        <v>15</v>
      </c>
      <c r="BW75" s="94">
        <v>38</v>
      </c>
      <c r="BX75" s="94">
        <v>22</v>
      </c>
      <c r="BY75" s="94">
        <v>19</v>
      </c>
      <c r="BZ75" s="94">
        <v>41</v>
      </c>
      <c r="CA75" s="94">
        <v>46</v>
      </c>
      <c r="CB75" s="94">
        <v>52</v>
      </c>
      <c r="CC75" s="94">
        <v>50</v>
      </c>
      <c r="CD75" s="94">
        <v>65</v>
      </c>
      <c r="CE75" s="94">
        <v>30</v>
      </c>
      <c r="CF75" s="94">
        <v>31</v>
      </c>
      <c r="CG75" s="94">
        <v>31</v>
      </c>
      <c r="CH75" s="94">
        <v>15</v>
      </c>
      <c r="CI75" s="94">
        <v>20</v>
      </c>
      <c r="CJ75" s="94">
        <v>20</v>
      </c>
      <c r="CK75" s="94">
        <v>20</v>
      </c>
      <c r="CL75" s="94">
        <v>20</v>
      </c>
      <c r="CM75" s="94">
        <v>20</v>
      </c>
      <c r="CN75" s="94">
        <v>20</v>
      </c>
      <c r="CO75" s="94">
        <v>20</v>
      </c>
      <c r="CP75" s="94">
        <v>20</v>
      </c>
      <c r="CQ75" s="94">
        <v>20</v>
      </c>
      <c r="CR75" s="94">
        <v>20</v>
      </c>
      <c r="CS75" s="94">
        <v>20</v>
      </c>
      <c r="CT75" s="94">
        <v>20</v>
      </c>
      <c r="CU75" s="94">
        <v>20</v>
      </c>
      <c r="CV75" s="94">
        <v>20</v>
      </c>
      <c r="CW75" s="94">
        <v>20</v>
      </c>
      <c r="CX75" s="94">
        <v>20</v>
      </c>
      <c r="CY75" s="94">
        <v>20</v>
      </c>
      <c r="CZ75" s="94">
        <v>20</v>
      </c>
      <c r="DA75" s="94">
        <v>20</v>
      </c>
      <c r="DB75" s="94">
        <v>20</v>
      </c>
      <c r="DC75" s="94">
        <v>20</v>
      </c>
      <c r="DD75" s="94">
        <v>20</v>
      </c>
      <c r="DE75" s="94">
        <v>20</v>
      </c>
      <c r="DF75" s="94">
        <v>20</v>
      </c>
      <c r="DG75" s="94">
        <v>20</v>
      </c>
      <c r="DH75" s="94">
        <v>20</v>
      </c>
      <c r="DI75" s="94">
        <v>20</v>
      </c>
      <c r="DJ75" s="94">
        <v>20</v>
      </c>
      <c r="DK75" s="94">
        <v>20</v>
      </c>
      <c r="DL75" s="94">
        <v>20</v>
      </c>
      <c r="DM75" s="94">
        <v>20</v>
      </c>
      <c r="DN75" s="94">
        <v>20</v>
      </c>
      <c r="DO75" s="94">
        <v>20</v>
      </c>
      <c r="DP75" s="94">
        <v>20</v>
      </c>
      <c r="DQ75" s="94">
        <v>20</v>
      </c>
      <c r="DR75" s="94">
        <v>20</v>
      </c>
      <c r="DS75" s="94">
        <v>20</v>
      </c>
      <c r="DT75" s="94">
        <v>20</v>
      </c>
      <c r="DU75" s="94">
        <v>20</v>
      </c>
      <c r="DV75" s="94">
        <v>20</v>
      </c>
      <c r="DW75" s="94">
        <v>20</v>
      </c>
      <c r="DX75" s="94">
        <v>20</v>
      </c>
      <c r="DY75" s="94">
        <v>20</v>
      </c>
      <c r="DZ75" s="94">
        <v>20</v>
      </c>
      <c r="EA75" s="94">
        <v>20</v>
      </c>
      <c r="EB75" s="94">
        <v>20</v>
      </c>
      <c r="EC75" s="94">
        <v>20</v>
      </c>
      <c r="ED75" s="94">
        <v>20</v>
      </c>
      <c r="EE75" s="94">
        <v>20</v>
      </c>
      <c r="EF75" s="94">
        <v>20</v>
      </c>
      <c r="EG75" s="94">
        <v>20</v>
      </c>
      <c r="EH75" s="94">
        <v>20</v>
      </c>
      <c r="EI75" s="94">
        <v>20</v>
      </c>
      <c r="EJ75" s="94">
        <v>20</v>
      </c>
      <c r="EK75" s="94">
        <v>20</v>
      </c>
      <c r="EL75" s="94">
        <v>20</v>
      </c>
      <c r="EM75" s="94">
        <v>20</v>
      </c>
      <c r="EN75" s="94">
        <v>20</v>
      </c>
      <c r="EO75" s="94">
        <v>20</v>
      </c>
      <c r="EP75" s="94">
        <v>20</v>
      </c>
      <c r="EQ75" s="94">
        <v>20</v>
      </c>
      <c r="ER75" s="94">
        <v>20</v>
      </c>
      <c r="ES75" s="94">
        <v>20</v>
      </c>
      <c r="ET75" s="94">
        <v>20</v>
      </c>
      <c r="EU75" s="94">
        <v>20</v>
      </c>
      <c r="EV75" s="94">
        <v>20</v>
      </c>
      <c r="EW75" s="94">
        <v>20</v>
      </c>
      <c r="EX75" s="94">
        <v>20</v>
      </c>
      <c r="EY75" s="94">
        <v>20</v>
      </c>
      <c r="EZ75" s="94">
        <v>20</v>
      </c>
      <c r="FA75" s="94">
        <v>20</v>
      </c>
      <c r="FB75" s="94">
        <v>20</v>
      </c>
      <c r="FC75" s="94">
        <v>20</v>
      </c>
      <c r="FD75" s="94">
        <v>20</v>
      </c>
      <c r="FE75" s="94">
        <v>20</v>
      </c>
      <c r="FF75" s="94">
        <v>20</v>
      </c>
      <c r="FG75" s="94">
        <v>20</v>
      </c>
      <c r="FH75" s="94">
        <v>20</v>
      </c>
      <c r="FI75" s="94">
        <v>20</v>
      </c>
      <c r="FJ75" s="94">
        <v>20</v>
      </c>
      <c r="FK75" s="94">
        <v>20</v>
      </c>
      <c r="FL75" s="94">
        <v>20</v>
      </c>
      <c r="FM75" s="94">
        <v>20</v>
      </c>
      <c r="FN75" s="94">
        <v>20</v>
      </c>
      <c r="FO75" s="94">
        <v>20</v>
      </c>
      <c r="FP75" s="94">
        <v>20</v>
      </c>
      <c r="FQ75" s="94">
        <v>20</v>
      </c>
      <c r="FR75" s="94">
        <v>20</v>
      </c>
      <c r="FS75" s="94">
        <v>20</v>
      </c>
      <c r="FT75" s="94">
        <v>20</v>
      </c>
      <c r="FU75" s="94">
        <v>20</v>
      </c>
      <c r="FV75" s="94">
        <v>20</v>
      </c>
      <c r="FW75" s="94">
        <v>20</v>
      </c>
      <c r="FX75" s="94">
        <v>20</v>
      </c>
      <c r="FY75" s="94">
        <v>20</v>
      </c>
      <c r="FZ75" s="94">
        <v>20</v>
      </c>
      <c r="GA75" s="94">
        <v>20</v>
      </c>
      <c r="GB75" s="94">
        <v>20</v>
      </c>
      <c r="GC75" s="94">
        <v>20</v>
      </c>
      <c r="GD75" s="94">
        <v>20</v>
      </c>
      <c r="GE75" s="94">
        <v>20</v>
      </c>
      <c r="GF75" s="94">
        <v>20</v>
      </c>
      <c r="GG75" s="94">
        <v>20</v>
      </c>
      <c r="GH75" s="94">
        <v>20</v>
      </c>
      <c r="GI75" s="94">
        <v>20</v>
      </c>
      <c r="GJ75" s="94">
        <v>20</v>
      </c>
      <c r="GK75" s="94">
        <v>20</v>
      </c>
      <c r="GL75" s="94">
        <v>20</v>
      </c>
      <c r="GM75" s="94">
        <v>20</v>
      </c>
      <c r="GN75" s="94">
        <v>20</v>
      </c>
      <c r="GO75" s="94">
        <v>20</v>
      </c>
      <c r="GP75" s="94">
        <v>20</v>
      </c>
      <c r="GQ75" s="94">
        <v>20</v>
      </c>
      <c r="GR75" s="94">
        <v>20</v>
      </c>
      <c r="GS75" s="94">
        <v>20</v>
      </c>
      <c r="GT75" s="94">
        <v>20</v>
      </c>
      <c r="GU75" s="94">
        <v>20</v>
      </c>
      <c r="GV75" s="94">
        <v>20</v>
      </c>
      <c r="GW75" s="94">
        <v>20</v>
      </c>
      <c r="GX75" s="94">
        <v>20</v>
      </c>
      <c r="GY75" s="94">
        <v>20</v>
      </c>
      <c r="GZ75" s="94">
        <v>20</v>
      </c>
      <c r="HA75" s="94">
        <v>20</v>
      </c>
      <c r="HB75" s="94">
        <v>20</v>
      </c>
      <c r="HC75" s="94">
        <v>20</v>
      </c>
      <c r="HD75" s="94">
        <v>20</v>
      </c>
      <c r="HE75" s="94">
        <v>20</v>
      </c>
      <c r="HF75" s="94">
        <v>20</v>
      </c>
      <c r="HG75" s="94">
        <v>20</v>
      </c>
      <c r="HH75" s="94">
        <v>20</v>
      </c>
      <c r="HI75" s="94">
        <v>20</v>
      </c>
      <c r="HJ75" s="94">
        <v>20</v>
      </c>
      <c r="HK75" s="94">
        <v>20</v>
      </c>
      <c r="HL75" s="94">
        <v>20</v>
      </c>
      <c r="HM75" s="94">
        <v>20</v>
      </c>
      <c r="HN75" s="94">
        <v>20</v>
      </c>
      <c r="HO75" s="94">
        <v>20</v>
      </c>
      <c r="HP75" s="94">
        <v>20</v>
      </c>
      <c r="HQ75" s="94">
        <v>20</v>
      </c>
      <c r="HR75" s="94">
        <v>20</v>
      </c>
      <c r="HS75" s="94">
        <v>20</v>
      </c>
      <c r="HT75" s="94">
        <v>20</v>
      </c>
      <c r="HU75" s="94">
        <v>20</v>
      </c>
      <c r="HV75" s="94">
        <v>20</v>
      </c>
      <c r="HW75" s="94">
        <v>20</v>
      </c>
      <c r="HX75" s="94">
        <v>20</v>
      </c>
      <c r="HY75" s="94">
        <v>20</v>
      </c>
      <c r="HZ75" s="94">
        <v>20</v>
      </c>
      <c r="IA75" s="94">
        <v>20</v>
      </c>
      <c r="IB75" s="94">
        <v>20</v>
      </c>
      <c r="IC75" s="94">
        <v>20</v>
      </c>
      <c r="ID75" s="94">
        <v>20</v>
      </c>
      <c r="IE75" s="94">
        <v>20</v>
      </c>
      <c r="IF75" s="94">
        <v>20</v>
      </c>
      <c r="IG75" s="94">
        <v>20</v>
      </c>
      <c r="IH75" s="94">
        <v>20</v>
      </c>
      <c r="II75" s="94">
        <v>20</v>
      </c>
      <c r="IJ75" s="94">
        <v>20</v>
      </c>
      <c r="IK75" s="94">
        <v>20</v>
      </c>
      <c r="IL75" s="94">
        <v>20</v>
      </c>
      <c r="IM75" s="94">
        <v>20</v>
      </c>
      <c r="IN75" s="94">
        <v>20</v>
      </c>
      <c r="IO75" s="94">
        <v>20</v>
      </c>
      <c r="IP75" s="94">
        <v>20</v>
      </c>
      <c r="IQ75" s="94">
        <v>20</v>
      </c>
      <c r="IR75" s="94">
        <v>20</v>
      </c>
      <c r="IS75" s="59">
        <f t="shared" si="2"/>
        <v>0</v>
      </c>
    </row>
    <row r="76" spans="1:253" ht="13.5" customHeight="1">
      <c r="A76" s="97">
        <v>72</v>
      </c>
      <c r="B76" s="77" t="s">
        <v>220</v>
      </c>
      <c r="C76" s="6">
        <v>70</v>
      </c>
      <c r="D76" s="6">
        <v>40</v>
      </c>
      <c r="E76" s="6">
        <v>30</v>
      </c>
      <c r="F76" s="94" t="s">
        <v>126</v>
      </c>
      <c r="G76" s="31" t="s">
        <v>126</v>
      </c>
      <c r="H76" s="31" t="s">
        <v>126</v>
      </c>
      <c r="I76" s="31" t="s">
        <v>126</v>
      </c>
      <c r="J76" s="31" t="s">
        <v>126</v>
      </c>
      <c r="K76" s="31" t="s">
        <v>126</v>
      </c>
      <c r="L76" s="31" t="s">
        <v>126</v>
      </c>
      <c r="M76" s="31" t="s">
        <v>126</v>
      </c>
      <c r="N76" s="31" t="s">
        <v>126</v>
      </c>
      <c r="O76" s="31" t="s">
        <v>126</v>
      </c>
      <c r="P76" s="31" t="s">
        <v>126</v>
      </c>
      <c r="Q76" s="31" t="s">
        <v>126</v>
      </c>
      <c r="R76" s="31" t="s">
        <v>126</v>
      </c>
      <c r="S76" s="31" t="s">
        <v>126</v>
      </c>
      <c r="T76" s="31" t="s">
        <v>126</v>
      </c>
      <c r="U76" s="31" t="s">
        <v>126</v>
      </c>
      <c r="V76" s="31" t="s">
        <v>126</v>
      </c>
      <c r="W76" s="94" t="s">
        <v>126</v>
      </c>
      <c r="X76" s="94" t="s">
        <v>126</v>
      </c>
      <c r="Y76" s="94" t="s">
        <v>126</v>
      </c>
      <c r="Z76" s="94" t="s">
        <v>126</v>
      </c>
      <c r="AA76" s="94" t="s">
        <v>126</v>
      </c>
      <c r="AB76" s="94" t="s">
        <v>126</v>
      </c>
      <c r="AC76" s="94" t="s">
        <v>126</v>
      </c>
      <c r="AD76" s="16" t="s">
        <v>126</v>
      </c>
      <c r="AE76" s="16" t="s">
        <v>126</v>
      </c>
      <c r="AF76" s="16" t="s">
        <v>126</v>
      </c>
      <c r="AG76" s="16" t="s">
        <v>126</v>
      </c>
      <c r="AH76" s="16" t="s">
        <v>126</v>
      </c>
      <c r="AI76" s="94" t="s">
        <v>126</v>
      </c>
      <c r="AJ76" s="94" t="s">
        <v>126</v>
      </c>
      <c r="AK76" s="94" t="s">
        <v>126</v>
      </c>
      <c r="AL76" s="94" t="s">
        <v>126</v>
      </c>
      <c r="AM76" s="94" t="s">
        <v>126</v>
      </c>
      <c r="AN76" s="94" t="s">
        <v>126</v>
      </c>
      <c r="AO76" s="94" t="s">
        <v>126</v>
      </c>
      <c r="AP76" s="94" t="s">
        <v>126</v>
      </c>
      <c r="AQ76" s="94" t="s">
        <v>126</v>
      </c>
      <c r="AR76" s="95"/>
      <c r="AS76" s="94">
        <v>59</v>
      </c>
      <c r="AT76" s="94">
        <v>64</v>
      </c>
      <c r="AU76" s="95"/>
      <c r="AV76" s="16">
        <v>61</v>
      </c>
      <c r="AW76" s="16" t="s">
        <v>126</v>
      </c>
      <c r="AX76" s="16" t="s">
        <v>126</v>
      </c>
      <c r="AY76" s="16" t="s">
        <v>126</v>
      </c>
      <c r="AZ76" s="16" t="s">
        <v>126</v>
      </c>
      <c r="BA76" s="16" t="s">
        <v>126</v>
      </c>
      <c r="BB76" s="16" t="s">
        <v>126</v>
      </c>
      <c r="BC76" s="16" t="s">
        <v>126</v>
      </c>
      <c r="BD76" s="16" t="s">
        <v>126</v>
      </c>
      <c r="BE76" s="6" t="s">
        <v>126</v>
      </c>
      <c r="BF76" s="16" t="s">
        <v>126</v>
      </c>
      <c r="BG76" s="16" t="s">
        <v>126</v>
      </c>
      <c r="BH76" s="16" t="s">
        <v>126</v>
      </c>
      <c r="BI76" s="16" t="s">
        <v>126</v>
      </c>
      <c r="BJ76" s="16" t="s">
        <v>126</v>
      </c>
      <c r="BK76" s="16" t="s">
        <v>126</v>
      </c>
      <c r="BL76" s="16" t="s">
        <v>126</v>
      </c>
      <c r="BM76" s="16" t="s">
        <v>126</v>
      </c>
      <c r="BN76" s="16" t="s">
        <v>126</v>
      </c>
      <c r="BO76" s="16" t="s">
        <v>126</v>
      </c>
      <c r="BP76" s="16" t="s">
        <v>126</v>
      </c>
      <c r="BQ76" s="94" t="s">
        <v>126</v>
      </c>
      <c r="BR76" s="16" t="s">
        <v>126</v>
      </c>
      <c r="BS76" s="16" t="s">
        <v>126</v>
      </c>
      <c r="BT76" s="16" t="s">
        <v>126</v>
      </c>
      <c r="BU76" s="16" t="s">
        <v>126</v>
      </c>
      <c r="BV76" s="6" t="s">
        <v>126</v>
      </c>
      <c r="BW76" s="16" t="s">
        <v>126</v>
      </c>
      <c r="BX76" s="16" t="s">
        <v>126</v>
      </c>
      <c r="BY76" s="16" t="s">
        <v>126</v>
      </c>
      <c r="BZ76" s="16" t="s">
        <v>126</v>
      </c>
      <c r="CA76" s="16" t="s">
        <v>126</v>
      </c>
      <c r="CB76" s="16" t="s">
        <v>126</v>
      </c>
      <c r="CC76" s="16" t="s">
        <v>126</v>
      </c>
      <c r="CD76" s="16" t="s">
        <v>126</v>
      </c>
      <c r="CE76" s="16" t="s">
        <v>126</v>
      </c>
      <c r="CF76" s="16" t="s">
        <v>126</v>
      </c>
      <c r="CG76" s="16" t="s">
        <v>126</v>
      </c>
      <c r="CH76" s="16" t="s">
        <v>126</v>
      </c>
      <c r="CI76" s="16" t="s">
        <v>126</v>
      </c>
      <c r="CJ76" s="16" t="s">
        <v>126</v>
      </c>
      <c r="CK76" s="16" t="s">
        <v>126</v>
      </c>
      <c r="CL76" s="16" t="s">
        <v>126</v>
      </c>
      <c r="CM76" s="16" t="s">
        <v>126</v>
      </c>
      <c r="CN76" s="16" t="s">
        <v>126</v>
      </c>
      <c r="CO76" s="16" t="s">
        <v>126</v>
      </c>
      <c r="CP76" s="16" t="s">
        <v>126</v>
      </c>
      <c r="CQ76" s="16" t="s">
        <v>126</v>
      </c>
      <c r="CR76" s="16" t="s">
        <v>126</v>
      </c>
      <c r="CS76" s="16" t="s">
        <v>126</v>
      </c>
      <c r="CT76" s="16" t="s">
        <v>126</v>
      </c>
      <c r="CU76" s="16" t="s">
        <v>126</v>
      </c>
      <c r="CV76" s="16" t="s">
        <v>126</v>
      </c>
      <c r="CW76" s="16" t="s">
        <v>126</v>
      </c>
      <c r="CX76" s="16" t="s">
        <v>126</v>
      </c>
      <c r="CY76" s="16" t="s">
        <v>126</v>
      </c>
      <c r="CZ76" s="16" t="s">
        <v>126</v>
      </c>
      <c r="DA76" s="16" t="s">
        <v>126</v>
      </c>
      <c r="DB76" s="16" t="s">
        <v>126</v>
      </c>
      <c r="DC76" s="16" t="s">
        <v>126</v>
      </c>
      <c r="DD76" s="16" t="s">
        <v>126</v>
      </c>
      <c r="DE76" s="16" t="s">
        <v>126</v>
      </c>
      <c r="DF76" s="16" t="s">
        <v>126</v>
      </c>
      <c r="DG76" s="16" t="s">
        <v>126</v>
      </c>
      <c r="DH76" s="16" t="s">
        <v>126</v>
      </c>
      <c r="DI76" s="16" t="s">
        <v>126</v>
      </c>
      <c r="DJ76" s="16" t="s">
        <v>126</v>
      </c>
      <c r="DK76" s="16" t="s">
        <v>126</v>
      </c>
      <c r="DL76" s="16" t="s">
        <v>126</v>
      </c>
      <c r="DM76" s="16" t="s">
        <v>126</v>
      </c>
      <c r="DN76" s="16" t="s">
        <v>126</v>
      </c>
      <c r="DO76" s="16" t="s">
        <v>126</v>
      </c>
      <c r="DP76" s="16" t="s">
        <v>126</v>
      </c>
      <c r="DQ76" s="16" t="s">
        <v>126</v>
      </c>
      <c r="DR76" s="16" t="s">
        <v>126</v>
      </c>
      <c r="DS76" s="16" t="s">
        <v>126</v>
      </c>
      <c r="DT76" s="16" t="s">
        <v>126</v>
      </c>
      <c r="DU76" s="16" t="s">
        <v>126</v>
      </c>
      <c r="DV76" s="16" t="s">
        <v>126</v>
      </c>
      <c r="DW76" s="16" t="s">
        <v>126</v>
      </c>
      <c r="DX76" s="16" t="s">
        <v>126</v>
      </c>
      <c r="DY76" s="16" t="s">
        <v>126</v>
      </c>
      <c r="DZ76" s="16" t="s">
        <v>126</v>
      </c>
      <c r="EA76" s="16" t="s">
        <v>126</v>
      </c>
      <c r="EB76" s="16" t="s">
        <v>126</v>
      </c>
      <c r="EC76" s="16" t="s">
        <v>126</v>
      </c>
      <c r="ED76" s="16" t="s">
        <v>126</v>
      </c>
      <c r="EE76" s="16" t="s">
        <v>126</v>
      </c>
      <c r="EF76" s="16" t="s">
        <v>126</v>
      </c>
      <c r="EG76" s="16" t="s">
        <v>126</v>
      </c>
      <c r="EH76" s="16" t="s">
        <v>126</v>
      </c>
      <c r="EI76" s="16" t="s">
        <v>126</v>
      </c>
      <c r="EJ76" s="16" t="s">
        <v>126</v>
      </c>
      <c r="EK76" s="16" t="s">
        <v>126</v>
      </c>
      <c r="EL76" s="16" t="s">
        <v>126</v>
      </c>
      <c r="EM76" s="16" t="s">
        <v>126</v>
      </c>
      <c r="EN76" s="16" t="s">
        <v>126</v>
      </c>
      <c r="EO76" s="16" t="s">
        <v>126</v>
      </c>
      <c r="EP76" s="16" t="s">
        <v>126</v>
      </c>
      <c r="EQ76" s="16" t="s">
        <v>126</v>
      </c>
      <c r="ER76" s="16" t="s">
        <v>126</v>
      </c>
      <c r="ES76" s="16" t="s">
        <v>126</v>
      </c>
      <c r="ET76" s="16" t="s">
        <v>126</v>
      </c>
      <c r="EU76" s="16" t="s">
        <v>126</v>
      </c>
      <c r="EV76" s="16" t="s">
        <v>126</v>
      </c>
      <c r="EW76" s="16" t="s">
        <v>126</v>
      </c>
      <c r="EX76" s="16" t="s">
        <v>126</v>
      </c>
      <c r="EY76" s="16" t="s">
        <v>126</v>
      </c>
      <c r="EZ76" s="16" t="s">
        <v>126</v>
      </c>
      <c r="FA76" s="16" t="s">
        <v>126</v>
      </c>
      <c r="FB76" s="16" t="s">
        <v>126</v>
      </c>
      <c r="FC76" s="16" t="s">
        <v>126</v>
      </c>
      <c r="FD76" s="16" t="s">
        <v>126</v>
      </c>
      <c r="FE76" s="16" t="s">
        <v>126</v>
      </c>
      <c r="FF76" s="16" t="s">
        <v>126</v>
      </c>
      <c r="FG76" s="16" t="s">
        <v>126</v>
      </c>
      <c r="FH76" s="16" t="s">
        <v>126</v>
      </c>
      <c r="FI76" s="16" t="s">
        <v>126</v>
      </c>
      <c r="FJ76" s="16" t="s">
        <v>126</v>
      </c>
      <c r="FK76" s="16" t="s">
        <v>126</v>
      </c>
      <c r="FL76" s="16" t="s">
        <v>126</v>
      </c>
      <c r="FM76" s="16" t="s">
        <v>126</v>
      </c>
      <c r="FN76" s="16" t="s">
        <v>126</v>
      </c>
      <c r="FO76" s="16" t="s">
        <v>126</v>
      </c>
      <c r="FP76" s="16" t="s">
        <v>126</v>
      </c>
      <c r="FQ76" s="16" t="s">
        <v>126</v>
      </c>
      <c r="FR76" s="16" t="s">
        <v>126</v>
      </c>
      <c r="FS76" s="16" t="s">
        <v>126</v>
      </c>
      <c r="FT76" s="16" t="s">
        <v>126</v>
      </c>
      <c r="FU76" s="16" t="s">
        <v>126</v>
      </c>
      <c r="FV76" s="16" t="s">
        <v>126</v>
      </c>
      <c r="FW76" s="16" t="s">
        <v>126</v>
      </c>
      <c r="FX76" s="16" t="s">
        <v>126</v>
      </c>
      <c r="FY76" s="16" t="s">
        <v>126</v>
      </c>
      <c r="FZ76" s="16" t="s">
        <v>126</v>
      </c>
      <c r="GA76" s="16" t="s">
        <v>126</v>
      </c>
      <c r="GB76" s="16" t="s">
        <v>126</v>
      </c>
      <c r="GC76" s="16" t="s">
        <v>126</v>
      </c>
      <c r="GD76" s="16" t="s">
        <v>126</v>
      </c>
      <c r="GE76" s="16" t="s">
        <v>126</v>
      </c>
      <c r="GF76" s="16" t="s">
        <v>126</v>
      </c>
      <c r="GG76" s="16" t="s">
        <v>126</v>
      </c>
      <c r="GH76" s="16" t="s">
        <v>126</v>
      </c>
      <c r="GI76" s="16" t="s">
        <v>126</v>
      </c>
      <c r="GJ76" s="16" t="s">
        <v>126</v>
      </c>
      <c r="GK76" s="16" t="s">
        <v>126</v>
      </c>
      <c r="GL76" s="16" t="s">
        <v>126</v>
      </c>
      <c r="GM76" s="16" t="s">
        <v>126</v>
      </c>
      <c r="GN76" s="16" t="s">
        <v>126</v>
      </c>
      <c r="GO76" s="16" t="s">
        <v>126</v>
      </c>
      <c r="GP76" s="16" t="s">
        <v>126</v>
      </c>
      <c r="GQ76" s="16" t="s">
        <v>126</v>
      </c>
      <c r="GR76" s="16" t="s">
        <v>126</v>
      </c>
      <c r="GS76" s="16" t="s">
        <v>126</v>
      </c>
      <c r="GT76" s="16" t="s">
        <v>126</v>
      </c>
      <c r="GU76" s="16" t="s">
        <v>126</v>
      </c>
      <c r="GV76" s="16" t="s">
        <v>126</v>
      </c>
      <c r="GW76" s="16" t="s">
        <v>126</v>
      </c>
      <c r="GX76" s="16" t="s">
        <v>126</v>
      </c>
      <c r="GY76" s="16" t="s">
        <v>126</v>
      </c>
      <c r="GZ76" s="16" t="s">
        <v>126</v>
      </c>
      <c r="HA76" s="16" t="s">
        <v>126</v>
      </c>
      <c r="HB76" s="16" t="s">
        <v>126</v>
      </c>
      <c r="HC76" s="16" t="s">
        <v>126</v>
      </c>
      <c r="HD76" s="16" t="s">
        <v>126</v>
      </c>
      <c r="HE76" s="16" t="s">
        <v>126</v>
      </c>
      <c r="HF76" s="16" t="s">
        <v>126</v>
      </c>
      <c r="HG76" s="16" t="s">
        <v>126</v>
      </c>
      <c r="HH76" s="16" t="s">
        <v>126</v>
      </c>
      <c r="HI76" s="16" t="s">
        <v>126</v>
      </c>
      <c r="HJ76" s="16" t="s">
        <v>126</v>
      </c>
      <c r="HK76" s="16" t="s">
        <v>126</v>
      </c>
      <c r="HL76" s="16" t="s">
        <v>126</v>
      </c>
      <c r="HM76" s="16" t="s">
        <v>126</v>
      </c>
      <c r="HN76" s="16" t="s">
        <v>126</v>
      </c>
      <c r="HO76" s="16" t="s">
        <v>126</v>
      </c>
      <c r="HP76" s="16" t="s">
        <v>126</v>
      </c>
      <c r="HQ76" s="16" t="s">
        <v>126</v>
      </c>
      <c r="HR76" s="16" t="s">
        <v>126</v>
      </c>
      <c r="HS76" s="16" t="s">
        <v>126</v>
      </c>
      <c r="HT76" s="16" t="s">
        <v>126</v>
      </c>
      <c r="HU76" s="16" t="s">
        <v>126</v>
      </c>
      <c r="HV76" s="16" t="s">
        <v>126</v>
      </c>
      <c r="HW76" s="16" t="s">
        <v>126</v>
      </c>
      <c r="HX76" s="16" t="s">
        <v>126</v>
      </c>
      <c r="HY76" s="16" t="s">
        <v>126</v>
      </c>
      <c r="HZ76" s="16" t="s">
        <v>126</v>
      </c>
      <c r="IA76" s="16" t="s">
        <v>126</v>
      </c>
      <c r="IB76" s="16" t="s">
        <v>126</v>
      </c>
      <c r="IC76" s="16" t="s">
        <v>126</v>
      </c>
      <c r="ID76" s="16" t="s">
        <v>126</v>
      </c>
      <c r="IE76" s="16" t="s">
        <v>126</v>
      </c>
      <c r="IF76" s="16" t="s">
        <v>126</v>
      </c>
      <c r="IG76" s="16" t="s">
        <v>126</v>
      </c>
      <c r="IH76" s="16" t="s">
        <v>126</v>
      </c>
      <c r="II76" s="16" t="s">
        <v>126</v>
      </c>
      <c r="IJ76" s="16" t="s">
        <v>126</v>
      </c>
      <c r="IK76" s="16" t="s">
        <v>126</v>
      </c>
      <c r="IL76" s="16" t="s">
        <v>126</v>
      </c>
      <c r="IM76" s="16" t="s">
        <v>126</v>
      </c>
      <c r="IN76" s="16" t="s">
        <v>126</v>
      </c>
      <c r="IO76" s="16" t="s">
        <v>126</v>
      </c>
      <c r="IP76" s="16" t="s">
        <v>126</v>
      </c>
      <c r="IQ76" s="16" t="s">
        <v>126</v>
      </c>
      <c r="IR76" s="16" t="s">
        <v>126</v>
      </c>
      <c r="IS76" s="59">
        <f t="shared" si="2"/>
        <v>0</v>
      </c>
    </row>
    <row r="77" spans="1:253" ht="13.5" customHeight="1" thickBot="1">
      <c r="A77" s="98">
        <v>73</v>
      </c>
      <c r="B77" s="99" t="s">
        <v>221</v>
      </c>
      <c r="C77" s="13">
        <v>40</v>
      </c>
      <c r="D77" s="13">
        <v>20</v>
      </c>
      <c r="E77" s="13">
        <v>30</v>
      </c>
      <c r="F77" s="100" t="s">
        <v>126</v>
      </c>
      <c r="G77" s="101" t="s">
        <v>126</v>
      </c>
      <c r="H77" s="101" t="s">
        <v>126</v>
      </c>
      <c r="I77" s="101" t="s">
        <v>126</v>
      </c>
      <c r="J77" s="101" t="s">
        <v>126</v>
      </c>
      <c r="K77" s="101" t="s">
        <v>126</v>
      </c>
      <c r="L77" s="101" t="s">
        <v>126</v>
      </c>
      <c r="M77" s="101" t="s">
        <v>126</v>
      </c>
      <c r="N77" s="101" t="s">
        <v>126</v>
      </c>
      <c r="O77" s="101" t="s">
        <v>126</v>
      </c>
      <c r="P77" s="101" t="s">
        <v>126</v>
      </c>
      <c r="Q77" s="101" t="s">
        <v>126</v>
      </c>
      <c r="R77" s="101" t="s">
        <v>126</v>
      </c>
      <c r="S77" s="101" t="s">
        <v>126</v>
      </c>
      <c r="T77" s="101" t="s">
        <v>126</v>
      </c>
      <c r="U77" s="101" t="s">
        <v>126</v>
      </c>
      <c r="V77" s="101" t="s">
        <v>126</v>
      </c>
      <c r="W77" s="100" t="s">
        <v>126</v>
      </c>
      <c r="X77" s="100" t="s">
        <v>126</v>
      </c>
      <c r="Y77" s="100" t="s">
        <v>126</v>
      </c>
      <c r="Z77" s="100" t="s">
        <v>126</v>
      </c>
      <c r="AA77" s="100" t="s">
        <v>126</v>
      </c>
      <c r="AB77" s="100" t="s">
        <v>126</v>
      </c>
      <c r="AC77" s="100" t="s">
        <v>126</v>
      </c>
      <c r="AD77" s="17" t="s">
        <v>126</v>
      </c>
      <c r="AE77" s="17" t="s">
        <v>126</v>
      </c>
      <c r="AF77" s="17" t="s">
        <v>126</v>
      </c>
      <c r="AG77" s="17" t="s">
        <v>126</v>
      </c>
      <c r="AH77" s="17" t="s">
        <v>126</v>
      </c>
      <c r="AI77" s="100" t="s">
        <v>126</v>
      </c>
      <c r="AJ77" s="100" t="s">
        <v>126</v>
      </c>
      <c r="AK77" s="100" t="s">
        <v>126</v>
      </c>
      <c r="AL77" s="100" t="s">
        <v>126</v>
      </c>
      <c r="AM77" s="100" t="s">
        <v>126</v>
      </c>
      <c r="AN77" s="100" t="s">
        <v>126</v>
      </c>
      <c r="AO77" s="100" t="s">
        <v>126</v>
      </c>
      <c r="AP77" s="100" t="s">
        <v>126</v>
      </c>
      <c r="AQ77" s="100" t="s">
        <v>126</v>
      </c>
      <c r="AR77" s="102"/>
      <c r="AS77" s="100" t="s">
        <v>126</v>
      </c>
      <c r="AT77" s="100" t="s">
        <v>126</v>
      </c>
      <c r="AU77" s="102"/>
      <c r="AV77" s="100" t="s">
        <v>126</v>
      </c>
      <c r="AW77" s="100" t="s">
        <v>126</v>
      </c>
      <c r="AX77" s="100" t="s">
        <v>126</v>
      </c>
      <c r="AY77" s="100" t="s">
        <v>126</v>
      </c>
      <c r="AZ77" s="100" t="s">
        <v>126</v>
      </c>
      <c r="BA77" s="100" t="s">
        <v>126</v>
      </c>
      <c r="BB77" s="100" t="s">
        <v>126</v>
      </c>
      <c r="BC77" s="100" t="s">
        <v>126</v>
      </c>
      <c r="BD77" s="100" t="s">
        <v>126</v>
      </c>
      <c r="BE77" s="100" t="s">
        <v>126</v>
      </c>
      <c r="BF77" s="100" t="s">
        <v>126</v>
      </c>
      <c r="BG77" s="100" t="s">
        <v>126</v>
      </c>
      <c r="BH77" s="100" t="s">
        <v>126</v>
      </c>
      <c r="BI77" s="100" t="s">
        <v>126</v>
      </c>
      <c r="BJ77" s="100" t="s">
        <v>126</v>
      </c>
      <c r="BK77" s="100" t="s">
        <v>126</v>
      </c>
      <c r="BL77" s="100" t="s">
        <v>126</v>
      </c>
      <c r="BM77" s="100" t="s">
        <v>126</v>
      </c>
      <c r="BN77" s="100" t="s">
        <v>126</v>
      </c>
      <c r="BO77" s="100" t="s">
        <v>126</v>
      </c>
      <c r="BP77" s="100" t="s">
        <v>126</v>
      </c>
      <c r="BQ77" s="100" t="s">
        <v>126</v>
      </c>
      <c r="BR77" s="100" t="s">
        <v>126</v>
      </c>
      <c r="BS77" s="100" t="s">
        <v>126</v>
      </c>
      <c r="BT77" s="17" t="s">
        <v>126</v>
      </c>
      <c r="BU77" s="17" t="s">
        <v>126</v>
      </c>
      <c r="BV77" s="13" t="s">
        <v>126</v>
      </c>
      <c r="BW77" s="17" t="s">
        <v>126</v>
      </c>
      <c r="BX77" s="17" t="s">
        <v>126</v>
      </c>
      <c r="BY77" s="17" t="s">
        <v>126</v>
      </c>
      <c r="BZ77" s="17" t="s">
        <v>126</v>
      </c>
      <c r="CA77" s="17" t="s">
        <v>126</v>
      </c>
      <c r="CB77" s="17" t="s">
        <v>126</v>
      </c>
      <c r="CC77" s="17" t="s">
        <v>126</v>
      </c>
      <c r="CD77" s="17" t="s">
        <v>126</v>
      </c>
      <c r="CE77" s="17" t="s">
        <v>126</v>
      </c>
      <c r="CF77" s="17" t="s">
        <v>126</v>
      </c>
      <c r="CG77" s="17" t="s">
        <v>126</v>
      </c>
      <c r="CH77" s="17" t="s">
        <v>126</v>
      </c>
      <c r="CI77" s="17" t="s">
        <v>126</v>
      </c>
      <c r="CJ77" s="17" t="s">
        <v>126</v>
      </c>
      <c r="CK77" s="17" t="s">
        <v>126</v>
      </c>
      <c r="CL77" s="17" t="s">
        <v>126</v>
      </c>
      <c r="CM77" s="17" t="s">
        <v>126</v>
      </c>
      <c r="CN77" s="17" t="s">
        <v>126</v>
      </c>
      <c r="CO77" s="17" t="s">
        <v>126</v>
      </c>
      <c r="CP77" s="17" t="s">
        <v>126</v>
      </c>
      <c r="CQ77" s="17" t="s">
        <v>126</v>
      </c>
      <c r="CR77" s="17" t="s">
        <v>126</v>
      </c>
      <c r="CS77" s="17" t="s">
        <v>126</v>
      </c>
      <c r="CT77" s="17" t="s">
        <v>126</v>
      </c>
      <c r="CU77" s="17" t="s">
        <v>126</v>
      </c>
      <c r="CV77" s="17" t="s">
        <v>126</v>
      </c>
      <c r="CW77" s="17" t="s">
        <v>126</v>
      </c>
      <c r="CX77" s="17" t="s">
        <v>126</v>
      </c>
      <c r="CY77" s="17" t="s">
        <v>126</v>
      </c>
      <c r="CZ77" s="17" t="s">
        <v>126</v>
      </c>
      <c r="DA77" s="17" t="s">
        <v>126</v>
      </c>
      <c r="DB77" s="17" t="s">
        <v>126</v>
      </c>
      <c r="DC77" s="17" t="s">
        <v>126</v>
      </c>
      <c r="DD77" s="17" t="s">
        <v>126</v>
      </c>
      <c r="DE77" s="17" t="s">
        <v>126</v>
      </c>
      <c r="DF77" s="17" t="s">
        <v>126</v>
      </c>
      <c r="DG77" s="17" t="s">
        <v>126</v>
      </c>
      <c r="DH77" s="17" t="s">
        <v>126</v>
      </c>
      <c r="DI77" s="17" t="s">
        <v>126</v>
      </c>
      <c r="DJ77" s="17" t="s">
        <v>126</v>
      </c>
      <c r="DK77" s="17" t="s">
        <v>126</v>
      </c>
      <c r="DL77" s="17" t="s">
        <v>126</v>
      </c>
      <c r="DM77" s="17" t="s">
        <v>126</v>
      </c>
      <c r="DN77" s="17" t="s">
        <v>126</v>
      </c>
      <c r="DO77" s="17" t="s">
        <v>126</v>
      </c>
      <c r="DP77" s="17" t="s">
        <v>126</v>
      </c>
      <c r="DQ77" s="17" t="s">
        <v>126</v>
      </c>
      <c r="DR77" s="17" t="s">
        <v>126</v>
      </c>
      <c r="DS77" s="17" t="s">
        <v>126</v>
      </c>
      <c r="DT77" s="17" t="s">
        <v>126</v>
      </c>
      <c r="DU77" s="17" t="s">
        <v>126</v>
      </c>
      <c r="DV77" s="17" t="s">
        <v>126</v>
      </c>
      <c r="DW77" s="17" t="s">
        <v>126</v>
      </c>
      <c r="DX77" s="17" t="s">
        <v>126</v>
      </c>
      <c r="DY77" s="17" t="s">
        <v>126</v>
      </c>
      <c r="DZ77" s="17" t="s">
        <v>126</v>
      </c>
      <c r="EA77" s="17" t="s">
        <v>126</v>
      </c>
      <c r="EB77" s="17" t="s">
        <v>126</v>
      </c>
      <c r="EC77" s="17" t="s">
        <v>126</v>
      </c>
      <c r="ED77" s="17" t="s">
        <v>126</v>
      </c>
      <c r="EE77" s="17" t="s">
        <v>126</v>
      </c>
      <c r="EF77" s="17" t="s">
        <v>126</v>
      </c>
      <c r="EG77" s="17" t="s">
        <v>126</v>
      </c>
      <c r="EH77" s="17" t="s">
        <v>126</v>
      </c>
      <c r="EI77" s="17" t="s">
        <v>126</v>
      </c>
      <c r="EJ77" s="17" t="s">
        <v>126</v>
      </c>
      <c r="EK77" s="17" t="s">
        <v>126</v>
      </c>
      <c r="EL77" s="17" t="s">
        <v>126</v>
      </c>
      <c r="EM77" s="17" t="s">
        <v>126</v>
      </c>
      <c r="EN77" s="17" t="s">
        <v>126</v>
      </c>
      <c r="EO77" s="17" t="s">
        <v>126</v>
      </c>
      <c r="EP77" s="17" t="s">
        <v>126</v>
      </c>
      <c r="EQ77" s="17" t="s">
        <v>126</v>
      </c>
      <c r="ER77" s="17" t="s">
        <v>126</v>
      </c>
      <c r="ES77" s="17" t="s">
        <v>126</v>
      </c>
      <c r="ET77" s="17" t="s">
        <v>126</v>
      </c>
      <c r="EU77" s="17" t="s">
        <v>126</v>
      </c>
      <c r="EV77" s="17" t="s">
        <v>126</v>
      </c>
      <c r="EW77" s="17" t="s">
        <v>126</v>
      </c>
      <c r="EX77" s="17" t="s">
        <v>126</v>
      </c>
      <c r="EY77" s="17" t="s">
        <v>126</v>
      </c>
      <c r="EZ77" s="17" t="s">
        <v>126</v>
      </c>
      <c r="FA77" s="17" t="s">
        <v>126</v>
      </c>
      <c r="FB77" s="17" t="s">
        <v>126</v>
      </c>
      <c r="FC77" s="17" t="s">
        <v>126</v>
      </c>
      <c r="FD77" s="17" t="s">
        <v>126</v>
      </c>
      <c r="FE77" s="17" t="s">
        <v>126</v>
      </c>
      <c r="FF77" s="17" t="s">
        <v>126</v>
      </c>
      <c r="FG77" s="17" t="s">
        <v>126</v>
      </c>
      <c r="FH77" s="17" t="s">
        <v>126</v>
      </c>
      <c r="FI77" s="17" t="s">
        <v>126</v>
      </c>
      <c r="FJ77" s="17" t="s">
        <v>126</v>
      </c>
      <c r="FK77" s="17" t="s">
        <v>126</v>
      </c>
      <c r="FL77" s="17" t="s">
        <v>126</v>
      </c>
      <c r="FM77" s="17" t="s">
        <v>126</v>
      </c>
      <c r="FN77" s="17" t="s">
        <v>126</v>
      </c>
      <c r="FO77" s="17" t="s">
        <v>126</v>
      </c>
      <c r="FP77" s="17" t="s">
        <v>126</v>
      </c>
      <c r="FQ77" s="17" t="s">
        <v>126</v>
      </c>
      <c r="FR77" s="17" t="s">
        <v>126</v>
      </c>
      <c r="FS77" s="17" t="s">
        <v>126</v>
      </c>
      <c r="FT77" s="17" t="s">
        <v>126</v>
      </c>
      <c r="FU77" s="17" t="s">
        <v>126</v>
      </c>
      <c r="FV77" s="17" t="s">
        <v>126</v>
      </c>
      <c r="FW77" s="17" t="s">
        <v>126</v>
      </c>
      <c r="FX77" s="17" t="s">
        <v>126</v>
      </c>
      <c r="FY77" s="17" t="s">
        <v>126</v>
      </c>
      <c r="FZ77" s="17" t="s">
        <v>126</v>
      </c>
      <c r="GA77" s="17" t="s">
        <v>126</v>
      </c>
      <c r="GB77" s="17" t="s">
        <v>126</v>
      </c>
      <c r="GC77" s="17" t="s">
        <v>126</v>
      </c>
      <c r="GD77" s="17" t="s">
        <v>126</v>
      </c>
      <c r="GE77" s="17" t="s">
        <v>126</v>
      </c>
      <c r="GF77" s="17" t="s">
        <v>126</v>
      </c>
      <c r="GG77" s="17" t="s">
        <v>126</v>
      </c>
      <c r="GH77" s="17" t="s">
        <v>126</v>
      </c>
      <c r="GI77" s="17" t="s">
        <v>126</v>
      </c>
      <c r="GJ77" s="17" t="s">
        <v>126</v>
      </c>
      <c r="GK77" s="17" t="s">
        <v>126</v>
      </c>
      <c r="GL77" s="17" t="s">
        <v>126</v>
      </c>
      <c r="GM77" s="17" t="s">
        <v>126</v>
      </c>
      <c r="GN77" s="17" t="s">
        <v>126</v>
      </c>
      <c r="GO77" s="17" t="s">
        <v>126</v>
      </c>
      <c r="GP77" s="17" t="s">
        <v>126</v>
      </c>
      <c r="GQ77" s="17" t="s">
        <v>126</v>
      </c>
      <c r="GR77" s="17" t="s">
        <v>126</v>
      </c>
      <c r="GS77" s="17" t="s">
        <v>126</v>
      </c>
      <c r="GT77" s="17" t="s">
        <v>126</v>
      </c>
      <c r="GU77" s="17" t="s">
        <v>126</v>
      </c>
      <c r="GV77" s="17" t="s">
        <v>126</v>
      </c>
      <c r="GW77" s="17" t="s">
        <v>126</v>
      </c>
      <c r="GX77" s="17" t="s">
        <v>126</v>
      </c>
      <c r="GY77" s="17" t="s">
        <v>126</v>
      </c>
      <c r="GZ77" s="17" t="s">
        <v>126</v>
      </c>
      <c r="HA77" s="17" t="s">
        <v>126</v>
      </c>
      <c r="HB77" s="17" t="s">
        <v>126</v>
      </c>
      <c r="HC77" s="17" t="s">
        <v>126</v>
      </c>
      <c r="HD77" s="17" t="s">
        <v>126</v>
      </c>
      <c r="HE77" s="17" t="s">
        <v>126</v>
      </c>
      <c r="HF77" s="17" t="s">
        <v>126</v>
      </c>
      <c r="HG77" s="17" t="s">
        <v>126</v>
      </c>
      <c r="HH77" s="17" t="s">
        <v>126</v>
      </c>
      <c r="HI77" s="17" t="s">
        <v>126</v>
      </c>
      <c r="HJ77" s="17" t="s">
        <v>126</v>
      </c>
      <c r="HK77" s="17" t="s">
        <v>126</v>
      </c>
      <c r="HL77" s="17" t="s">
        <v>126</v>
      </c>
      <c r="HM77" s="17" t="s">
        <v>126</v>
      </c>
      <c r="HN77" s="17" t="s">
        <v>126</v>
      </c>
      <c r="HO77" s="17" t="s">
        <v>126</v>
      </c>
      <c r="HP77" s="17" t="s">
        <v>126</v>
      </c>
      <c r="HQ77" s="17" t="s">
        <v>126</v>
      </c>
      <c r="HR77" s="17" t="s">
        <v>126</v>
      </c>
      <c r="HS77" s="17" t="s">
        <v>126</v>
      </c>
      <c r="HT77" s="17" t="s">
        <v>126</v>
      </c>
      <c r="HU77" s="17" t="s">
        <v>126</v>
      </c>
      <c r="HV77" s="17" t="s">
        <v>126</v>
      </c>
      <c r="HW77" s="17" t="s">
        <v>126</v>
      </c>
      <c r="HX77" s="17" t="s">
        <v>126</v>
      </c>
      <c r="HY77" s="17" t="s">
        <v>126</v>
      </c>
      <c r="HZ77" s="17" t="s">
        <v>126</v>
      </c>
      <c r="IA77" s="17" t="s">
        <v>126</v>
      </c>
      <c r="IB77" s="17" t="s">
        <v>126</v>
      </c>
      <c r="IC77" s="17" t="s">
        <v>126</v>
      </c>
      <c r="ID77" s="17" t="s">
        <v>126</v>
      </c>
      <c r="IE77" s="17" t="s">
        <v>126</v>
      </c>
      <c r="IF77" s="17" t="s">
        <v>126</v>
      </c>
      <c r="IG77" s="17" t="s">
        <v>126</v>
      </c>
      <c r="IH77" s="17" t="s">
        <v>126</v>
      </c>
      <c r="II77" s="17" t="s">
        <v>126</v>
      </c>
      <c r="IJ77" s="17" t="s">
        <v>126</v>
      </c>
      <c r="IK77" s="17" t="s">
        <v>126</v>
      </c>
      <c r="IL77" s="17" t="s">
        <v>126</v>
      </c>
      <c r="IM77" s="17" t="s">
        <v>126</v>
      </c>
      <c r="IN77" s="17" t="s">
        <v>126</v>
      </c>
      <c r="IO77" s="17" t="s">
        <v>126</v>
      </c>
      <c r="IP77" s="17" t="s">
        <v>126</v>
      </c>
      <c r="IQ77" s="17" t="s">
        <v>126</v>
      </c>
      <c r="IR77" s="17" t="s">
        <v>126</v>
      </c>
      <c r="IS77" s="59">
        <f t="shared" si="2"/>
        <v>0</v>
      </c>
    </row>
  </sheetData>
  <mergeCells count="5">
    <mergeCell ref="C2:C3"/>
    <mergeCell ref="A2:A3"/>
    <mergeCell ref="B2:B3"/>
    <mergeCell ref="D2:D3"/>
    <mergeCell ref="E2:E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Traffic-Status</vt:lpstr>
      <vt:lpstr>Keywords</vt:lpstr>
      <vt:lpstr>Old Targeted Generic Keywords</vt:lpstr>
      <vt:lpstr>Keywords Removed From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omnie</dc:creator>
  <cp:lastModifiedBy>asus</cp:lastModifiedBy>
  <dcterms:created xsi:type="dcterms:W3CDTF">2023-04-04T11:38:34Z</dcterms:created>
  <dcterms:modified xsi:type="dcterms:W3CDTF">2026-01-07T19:38:42Z</dcterms:modified>
</cp:coreProperties>
</file>